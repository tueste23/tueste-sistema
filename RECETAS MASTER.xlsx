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mc:AlternateContent xmlns:mc="http://schemas.openxmlformats.org/markup-compatibility/2006">
    <mc:Choice Requires="x15">
      <x15ac:absPath xmlns:x15ac="http://schemas.microsoft.com/office/spreadsheetml/2010/11/ac" url="/Users/vanu/Desktop/"/>
    </mc:Choice>
  </mc:AlternateContent>
  <xr:revisionPtr revIDLastSave="0" documentId="13_ncr:1_{0131DF1B-2FE6-1248-9697-D36BC6C3B62B}" xr6:coauthVersionLast="47" xr6:coauthVersionMax="47" xr10:uidLastSave="{00000000-0000-0000-0000-000000000000}"/>
  <bookViews>
    <workbookView xWindow="0" yWindow="500" windowWidth="28800" windowHeight="16300" activeTab="6" xr2:uid="{00000000-000D-0000-FFFF-FFFF00000000}"/>
  </bookViews>
  <sheets>
    <sheet name="COCINA TUESTE" sheetId="1" r:id="rId1"/>
    <sheet name="PRECIOS RAPPI" sheetId="2" r:id="rId2"/>
    <sheet name="CAFETERIA TUESTE" sheetId="3" r:id="rId3"/>
    <sheet name="PASTELERIA PARA TUESTE" sheetId="4" r:id="rId4"/>
    <sheet name="SUBRECETAS TUESTE  CP" sheetId="5" r:id="rId5"/>
    <sheet name="PASTELERIA CP" sheetId="6" r:id="rId6"/>
    <sheet name="TUESTE AL PÚBLICO" sheetId="7" r:id="rId7"/>
    <sheet name="PRECIO PROVEEDORES" sheetId="8" r:id="rId8"/>
    <sheet name="DESPER. 04-26" sheetId="9" r:id="rId9"/>
    <sheet name="DESPER. 05-26" sheetId="10" r:id="rId10"/>
  </sheets>
  <externalReferences>
    <externalReference r:id="rId11"/>
  </externalReferences>
  <definedNames>
    <definedName name="_xlnm._FilterDatabase" localSheetId="7" hidden="1">'PRECIO PROVEEDORES'!$A$2:$G$460</definedName>
    <definedName name="NombreIntervalo1">'PRECIO PROVEEDORES'!$A$3:$A$543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14" roundtripDataChecksum="mVvFxxyI+wqeOSYU590Lc/eZxE8sy7b/NPi1Rk9PhjI="/>
    </ext>
  </extLst>
</workbook>
</file>

<file path=xl/calcChain.xml><?xml version="1.0" encoding="utf-8"?>
<calcChain xmlns="http://schemas.openxmlformats.org/spreadsheetml/2006/main">
  <c r="BM117" i="10" l="1"/>
  <c r="BM116" i="10"/>
  <c r="BM115" i="10"/>
  <c r="BM114" i="10"/>
  <c r="BM113" i="10"/>
  <c r="BM112" i="10"/>
  <c r="BM111" i="10"/>
  <c r="BM110" i="10"/>
  <c r="BM109" i="10"/>
  <c r="BM108" i="10"/>
  <c r="BM107" i="10"/>
  <c r="BM106" i="10"/>
  <c r="BM105" i="10"/>
  <c r="BM104" i="10"/>
  <c r="BM103" i="10"/>
  <c r="BM102" i="10"/>
  <c r="BM101" i="10"/>
  <c r="BM100" i="10"/>
  <c r="BM99" i="10"/>
  <c r="BM98" i="10"/>
  <c r="BM97" i="10"/>
  <c r="BM96" i="10"/>
  <c r="BM95" i="10"/>
  <c r="BM94" i="10"/>
  <c r="BM93" i="10"/>
  <c r="BM92" i="10"/>
  <c r="BM91" i="10"/>
  <c r="BM90" i="10"/>
  <c r="BM89" i="10"/>
  <c r="BM88" i="10"/>
  <c r="BM87" i="10"/>
  <c r="BM86" i="10"/>
  <c r="BM85" i="10"/>
  <c r="BM84" i="10"/>
  <c r="BM83" i="10"/>
  <c r="BM82" i="10"/>
  <c r="BM81" i="10"/>
  <c r="BM80" i="10"/>
  <c r="BM79" i="10"/>
  <c r="BM78" i="10"/>
  <c r="BM77" i="10"/>
  <c r="BM76" i="10"/>
  <c r="BM75" i="10"/>
  <c r="BM74" i="10"/>
  <c r="BM73" i="10"/>
  <c r="BM72" i="10"/>
  <c r="BM71" i="10"/>
  <c r="BM70" i="10"/>
  <c r="BM69" i="10"/>
  <c r="BM68" i="10"/>
  <c r="BM67" i="10"/>
  <c r="BM66" i="10"/>
  <c r="BM65" i="10"/>
  <c r="BM64" i="10"/>
  <c r="BM63" i="10"/>
  <c r="BM62" i="10"/>
  <c r="BM61" i="10"/>
  <c r="BM60" i="10"/>
  <c r="BM59" i="10"/>
  <c r="BM58" i="10"/>
  <c r="BM57" i="10"/>
  <c r="BM56" i="10"/>
  <c r="BM55" i="10"/>
  <c r="BM54" i="10"/>
  <c r="BM53" i="10"/>
  <c r="BM52" i="10"/>
  <c r="BM51" i="10"/>
  <c r="BM50" i="10"/>
  <c r="BM49" i="10"/>
  <c r="BM48" i="10"/>
  <c r="BM47" i="10"/>
  <c r="BM46" i="10"/>
  <c r="BM45" i="10"/>
  <c r="BM44" i="10"/>
  <c r="BM43" i="10"/>
  <c r="BM42" i="10"/>
  <c r="BM41" i="10"/>
  <c r="BM40" i="10"/>
  <c r="BM39" i="10"/>
  <c r="BM38" i="10"/>
  <c r="BM37" i="10"/>
  <c r="BM36" i="10"/>
  <c r="BM35" i="10"/>
  <c r="BM34" i="10"/>
  <c r="BM33" i="10"/>
  <c r="BM32" i="10"/>
  <c r="BM31" i="10"/>
  <c r="BM30" i="10"/>
  <c r="BM29" i="10"/>
  <c r="BM28" i="10"/>
  <c r="BM27" i="10"/>
  <c r="BM26" i="10"/>
  <c r="BM25" i="10"/>
  <c r="BM24" i="10"/>
  <c r="BM23" i="10"/>
  <c r="BM22" i="10"/>
  <c r="BM21" i="10"/>
  <c r="BM20" i="10"/>
  <c r="BM19" i="10"/>
  <c r="BM18" i="10"/>
  <c r="BM17" i="10"/>
  <c r="BM16" i="10"/>
  <c r="BM15" i="10"/>
  <c r="BM14" i="10"/>
  <c r="BM13" i="10"/>
  <c r="BM12" i="10"/>
  <c r="BM11" i="10"/>
  <c r="BM10" i="10"/>
  <c r="BM9" i="10"/>
  <c r="BM8" i="10"/>
  <c r="BM7" i="10"/>
  <c r="BM6" i="10"/>
  <c r="BM5" i="10"/>
  <c r="BM117" i="9"/>
  <c r="BM116" i="9"/>
  <c r="BM115" i="9"/>
  <c r="BM114" i="9"/>
  <c r="BM113" i="9"/>
  <c r="BM112" i="9"/>
  <c r="BM111" i="9"/>
  <c r="BM110" i="9"/>
  <c r="BM109" i="9"/>
  <c r="BM108" i="9"/>
  <c r="BM107" i="9"/>
  <c r="BM106" i="9"/>
  <c r="BM105" i="9"/>
  <c r="BM104" i="9"/>
  <c r="BM103" i="9"/>
  <c r="BM102" i="9"/>
  <c r="BM101" i="9"/>
  <c r="BM100" i="9"/>
  <c r="BM99" i="9"/>
  <c r="BM98" i="9"/>
  <c r="BM97" i="9"/>
  <c r="BM96" i="9"/>
  <c r="BM95" i="9"/>
  <c r="BM94" i="9"/>
  <c r="BM93" i="9"/>
  <c r="BM92" i="9"/>
  <c r="BM91" i="9"/>
  <c r="BM90" i="9"/>
  <c r="BM89" i="9"/>
  <c r="BM88" i="9"/>
  <c r="BM87" i="9"/>
  <c r="BM86" i="9"/>
  <c r="BM85" i="9"/>
  <c r="BM84" i="9"/>
  <c r="BM83" i="9"/>
  <c r="BM82" i="9"/>
  <c r="BM81" i="9"/>
  <c r="BM80" i="9"/>
  <c r="BM79" i="9"/>
  <c r="BM78" i="9"/>
  <c r="BM77" i="9"/>
  <c r="BM76" i="9"/>
  <c r="BM75" i="9"/>
  <c r="BM74" i="9"/>
  <c r="BM73" i="9"/>
  <c r="BM72" i="9"/>
  <c r="BM71" i="9"/>
  <c r="BM70" i="9"/>
  <c r="BM69" i="9"/>
  <c r="BM68" i="9"/>
  <c r="BM67" i="9"/>
  <c r="BM66" i="9"/>
  <c r="BM65" i="9"/>
  <c r="BM64" i="9"/>
  <c r="BM63" i="9"/>
  <c r="BM62" i="9"/>
  <c r="BM61" i="9"/>
  <c r="BM60" i="9"/>
  <c r="BM59" i="9"/>
  <c r="BM58" i="9"/>
  <c r="BM57" i="9"/>
  <c r="BM56" i="9"/>
  <c r="BM55" i="9"/>
  <c r="BM54" i="9"/>
  <c r="BM53" i="9"/>
  <c r="BM52" i="9"/>
  <c r="BM51" i="9"/>
  <c r="BM50" i="9"/>
  <c r="BM49" i="9"/>
  <c r="BM48" i="9"/>
  <c r="BM47" i="9"/>
  <c r="BM46" i="9"/>
  <c r="BM45" i="9"/>
  <c r="BM44" i="9"/>
  <c r="BM43" i="9"/>
  <c r="BM42" i="9"/>
  <c r="BM41" i="9"/>
  <c r="BM40" i="9"/>
  <c r="BM39" i="9"/>
  <c r="BM38" i="9"/>
  <c r="BM37" i="9"/>
  <c r="BM36" i="9"/>
  <c r="BM35" i="9"/>
  <c r="BM34" i="9"/>
  <c r="BM33" i="9"/>
  <c r="BM32" i="9"/>
  <c r="BM31" i="9"/>
  <c r="BM30" i="9"/>
  <c r="BM29" i="9"/>
  <c r="BM28" i="9"/>
  <c r="BM27" i="9"/>
  <c r="BM26" i="9"/>
  <c r="BM25" i="9"/>
  <c r="BM24" i="9"/>
  <c r="BM23" i="9"/>
  <c r="BM22" i="9"/>
  <c r="BM21" i="9"/>
  <c r="BM20" i="9"/>
  <c r="BM19" i="9"/>
  <c r="BM18" i="9"/>
  <c r="BM17" i="9"/>
  <c r="BM16" i="9"/>
  <c r="BM15" i="9"/>
  <c r="BM14" i="9"/>
  <c r="BM13" i="9"/>
  <c r="BM12" i="9"/>
  <c r="BM11" i="9"/>
  <c r="BM10" i="9"/>
  <c r="BM9" i="9"/>
  <c r="BM8" i="9"/>
  <c r="BM7" i="9"/>
  <c r="BM6" i="9"/>
  <c r="BM5" i="9"/>
  <c r="B543" i="8"/>
  <c r="B540" i="8"/>
  <c r="B539" i="8"/>
  <c r="B538" i="8"/>
  <c r="B537" i="8"/>
  <c r="B530" i="8"/>
  <c r="B529" i="8"/>
  <c r="B528" i="8"/>
  <c r="B527" i="8"/>
  <c r="B526" i="8"/>
  <c r="B525" i="8"/>
  <c r="B524" i="8"/>
  <c r="B523" i="8"/>
  <c r="B522" i="8"/>
  <c r="B521" i="8"/>
  <c r="B520" i="8"/>
  <c r="B519" i="8"/>
  <c r="B518" i="8"/>
  <c r="B517" i="8"/>
  <c r="B516" i="8"/>
  <c r="B515" i="8"/>
  <c r="B514" i="8"/>
  <c r="B513" i="8"/>
  <c r="B512" i="8"/>
  <c r="B511" i="8"/>
  <c r="B510" i="8"/>
  <c r="B509" i="8"/>
  <c r="B508" i="8"/>
  <c r="B507" i="8"/>
  <c r="B506" i="8"/>
  <c r="B505" i="8"/>
  <c r="B504" i="8"/>
  <c r="B503" i="8"/>
  <c r="B502" i="8"/>
  <c r="B499" i="8"/>
  <c r="B497" i="8"/>
  <c r="B488" i="8"/>
  <c r="B483" i="8"/>
  <c r="B476" i="8"/>
  <c r="B475" i="8"/>
  <c r="B474" i="8"/>
  <c r="B473" i="8"/>
  <c r="D472" i="8"/>
  <c r="B472" i="8"/>
  <c r="D461" i="8"/>
  <c r="B461" i="8" s="1"/>
  <c r="D460" i="8"/>
  <c r="B460" i="8" s="1"/>
  <c r="D459" i="8"/>
  <c r="B459" i="8" s="1"/>
  <c r="D458" i="8"/>
  <c r="B458" i="8" s="1"/>
  <c r="B457" i="8"/>
  <c r="B456" i="8"/>
  <c r="B455" i="8"/>
  <c r="B453" i="8"/>
  <c r="B452" i="8"/>
  <c r="B451" i="8"/>
  <c r="B450" i="8"/>
  <c r="D447" i="8"/>
  <c r="B447" i="8"/>
  <c r="D446" i="8"/>
  <c r="B446" i="8" s="1"/>
  <c r="B442" i="8"/>
  <c r="D441" i="8"/>
  <c r="B441" i="8" s="1"/>
  <c r="B440" i="8"/>
  <c r="B439" i="8"/>
  <c r="B438" i="8"/>
  <c r="D437" i="8"/>
  <c r="B437" i="8"/>
  <c r="B436" i="8"/>
  <c r="B435" i="8"/>
  <c r="B434" i="8"/>
  <c r="B433" i="8"/>
  <c r="B431" i="8"/>
  <c r="B428" i="8"/>
  <c r="D426" i="8"/>
  <c r="B426" i="8"/>
  <c r="B422" i="8"/>
  <c r="D418" i="8"/>
  <c r="B418" i="8" s="1"/>
  <c r="B414" i="8"/>
  <c r="B413" i="8"/>
  <c r="B412" i="8"/>
  <c r="B411" i="8"/>
  <c r="B410" i="8"/>
  <c r="B409" i="8"/>
  <c r="B408" i="8"/>
  <c r="B407" i="8"/>
  <c r="B406" i="8"/>
  <c r="B405" i="8"/>
  <c r="B404" i="8"/>
  <c r="B403" i="8"/>
  <c r="B402" i="8"/>
  <c r="B401" i="8"/>
  <c r="B400" i="8"/>
  <c r="B399" i="8"/>
  <c r="B398" i="8"/>
  <c r="B397" i="8"/>
  <c r="B396" i="8"/>
  <c r="B395" i="8"/>
  <c r="B394" i="8"/>
  <c r="B393" i="8"/>
  <c r="B392" i="8"/>
  <c r="B391" i="8"/>
  <c r="B390" i="8"/>
  <c r="B389" i="8"/>
  <c r="B388" i="8"/>
  <c r="B387" i="8"/>
  <c r="B386" i="8"/>
  <c r="B385" i="8"/>
  <c r="B384" i="8"/>
  <c r="B383" i="8"/>
  <c r="B382" i="8"/>
  <c r="B381" i="8"/>
  <c r="B380" i="8"/>
  <c r="B379" i="8"/>
  <c r="B378" i="8"/>
  <c r="B377" i="8"/>
  <c r="B376" i="8"/>
  <c r="B375" i="8"/>
  <c r="B374" i="8"/>
  <c r="B373" i="8"/>
  <c r="B372" i="8"/>
  <c r="B371" i="8"/>
  <c r="B370" i="8"/>
  <c r="B369" i="8"/>
  <c r="B368" i="8"/>
  <c r="B367" i="8"/>
  <c r="B366" i="8"/>
  <c r="B365" i="8"/>
  <c r="B364" i="8"/>
  <c r="B363" i="8"/>
  <c r="B362" i="8"/>
  <c r="B361" i="8"/>
  <c r="B360" i="8"/>
  <c r="B359" i="8"/>
  <c r="B358" i="8"/>
  <c r="B357" i="8"/>
  <c r="B356" i="8"/>
  <c r="B355" i="8"/>
  <c r="B354" i="8"/>
  <c r="B353" i="8"/>
  <c r="B352" i="8"/>
  <c r="B351" i="8"/>
  <c r="B350" i="8"/>
  <c r="B349" i="8"/>
  <c r="B348" i="8"/>
  <c r="B347" i="8"/>
  <c r="B346" i="8"/>
  <c r="B345" i="8"/>
  <c r="B344" i="8"/>
  <c r="B343" i="8"/>
  <c r="B342" i="8"/>
  <c r="B341" i="8"/>
  <c r="B340" i="8"/>
  <c r="B339" i="8"/>
  <c r="B338" i="8"/>
  <c r="B337" i="8"/>
  <c r="B336" i="8"/>
  <c r="B335" i="8"/>
  <c r="B334" i="8"/>
  <c r="B333" i="8"/>
  <c r="B332" i="8"/>
  <c r="B331" i="8"/>
  <c r="B330" i="8"/>
  <c r="B329" i="8"/>
  <c r="B328" i="8"/>
  <c r="B327" i="8"/>
  <c r="B326" i="8"/>
  <c r="B325" i="8"/>
  <c r="B324" i="8"/>
  <c r="B323" i="8"/>
  <c r="B322" i="8"/>
  <c r="B321" i="8"/>
  <c r="B320" i="8"/>
  <c r="B319" i="8"/>
  <c r="B318" i="8"/>
  <c r="B317" i="8"/>
  <c r="B316" i="8"/>
  <c r="B315" i="8"/>
  <c r="B314" i="8"/>
  <c r="B313" i="8"/>
  <c r="B312" i="8"/>
  <c r="B311" i="8"/>
  <c r="B310" i="8"/>
  <c r="B309" i="8"/>
  <c r="B308" i="8"/>
  <c r="B307" i="8"/>
  <c r="B306" i="8"/>
  <c r="B305" i="8"/>
  <c r="B304" i="8"/>
  <c r="B303" i="8"/>
  <c r="B302" i="8"/>
  <c r="B301" i="8"/>
  <c r="B300" i="8"/>
  <c r="B299" i="8"/>
  <c r="B298" i="8"/>
  <c r="B297" i="8"/>
  <c r="B296" i="8"/>
  <c r="B295" i="8"/>
  <c r="B294" i="8"/>
  <c r="B293" i="8"/>
  <c r="B292" i="8"/>
  <c r="B291" i="8"/>
  <c r="B290" i="8"/>
  <c r="B289" i="8"/>
  <c r="B288" i="8"/>
  <c r="B287" i="8"/>
  <c r="B286" i="8"/>
  <c r="B285" i="8"/>
  <c r="B284" i="8"/>
  <c r="B283" i="8"/>
  <c r="B282" i="8"/>
  <c r="B281" i="8"/>
  <c r="B280" i="8"/>
  <c r="B279" i="8"/>
  <c r="B278" i="8"/>
  <c r="B277" i="8"/>
  <c r="B276" i="8"/>
  <c r="B275" i="8"/>
  <c r="B274" i="8"/>
  <c r="B273" i="8"/>
  <c r="B272" i="8"/>
  <c r="B271" i="8"/>
  <c r="B270" i="8"/>
  <c r="B269" i="8"/>
  <c r="B268" i="8"/>
  <c r="B267" i="8"/>
  <c r="B266" i="8"/>
  <c r="B265" i="8"/>
  <c r="B264" i="8"/>
  <c r="B263" i="8"/>
  <c r="B262" i="8"/>
  <c r="B261" i="8"/>
  <c r="B260" i="8"/>
  <c r="B259" i="8"/>
  <c r="B258" i="8"/>
  <c r="B257" i="8"/>
  <c r="B256" i="8"/>
  <c r="B255" i="8"/>
  <c r="B254" i="8"/>
  <c r="B253" i="8"/>
  <c r="B252" i="8"/>
  <c r="B251" i="8"/>
  <c r="B250" i="8"/>
  <c r="B249" i="8"/>
  <c r="B248" i="8"/>
  <c r="B247" i="8"/>
  <c r="B246" i="8"/>
  <c r="B245" i="8"/>
  <c r="B244" i="8"/>
  <c r="B242" i="8"/>
  <c r="B240" i="8"/>
  <c r="B239" i="8"/>
  <c r="B238" i="8"/>
  <c r="B237" i="8"/>
  <c r="B236" i="8"/>
  <c r="B235" i="8"/>
  <c r="B234" i="8"/>
  <c r="B233" i="8"/>
  <c r="B232" i="8"/>
  <c r="B231" i="8"/>
  <c r="D230" i="8"/>
  <c r="B230" i="8"/>
  <c r="B229" i="8"/>
  <c r="B228" i="8"/>
  <c r="B227" i="8"/>
  <c r="B226" i="8"/>
  <c r="B225" i="8"/>
  <c r="B224" i="8"/>
  <c r="B223" i="8"/>
  <c r="B222" i="8"/>
  <c r="B221" i="8"/>
  <c r="B220" i="8"/>
  <c r="B219" i="8"/>
  <c r="B218" i="8"/>
  <c r="B217" i="8"/>
  <c r="B216" i="8"/>
  <c r="B215" i="8"/>
  <c r="B214" i="8"/>
  <c r="B213" i="8"/>
  <c r="B212" i="8"/>
  <c r="B211" i="8"/>
  <c r="B210" i="8"/>
  <c r="B209" i="8"/>
  <c r="B208" i="8"/>
  <c r="B207" i="8"/>
  <c r="B206" i="8"/>
  <c r="B205" i="8"/>
  <c r="B204" i="8"/>
  <c r="B203" i="8"/>
  <c r="B202" i="8"/>
  <c r="B201" i="8"/>
  <c r="B200" i="8"/>
  <c r="B199" i="8"/>
  <c r="B198" i="8"/>
  <c r="B197" i="8"/>
  <c r="B196" i="8"/>
  <c r="B195" i="8"/>
  <c r="B194" i="8"/>
  <c r="B193" i="8"/>
  <c r="B192" i="8"/>
  <c r="B191" i="8"/>
  <c r="B190" i="8"/>
  <c r="B189" i="8"/>
  <c r="B188" i="8"/>
  <c r="B187" i="8"/>
  <c r="B186" i="8"/>
  <c r="B185" i="8"/>
  <c r="B184" i="8"/>
  <c r="B183" i="8"/>
  <c r="B182" i="8"/>
  <c r="B181" i="8"/>
  <c r="B180" i="8"/>
  <c r="B179" i="8"/>
  <c r="B178" i="8"/>
  <c r="B177" i="8"/>
  <c r="B176" i="8"/>
  <c r="B175" i="8"/>
  <c r="B174" i="8"/>
  <c r="B173" i="8"/>
  <c r="B172" i="8"/>
  <c r="B171" i="8"/>
  <c r="B170" i="8"/>
  <c r="B169" i="8"/>
  <c r="B168" i="8"/>
  <c r="B167" i="8"/>
  <c r="B166" i="8"/>
  <c r="B165" i="8"/>
  <c r="B164" i="8"/>
  <c r="B163" i="8"/>
  <c r="B162" i="8"/>
  <c r="B161" i="8"/>
  <c r="B160" i="8"/>
  <c r="B159" i="8"/>
  <c r="B158" i="8"/>
  <c r="B157" i="8"/>
  <c r="B156" i="8"/>
  <c r="B155" i="8"/>
  <c r="B154" i="8"/>
  <c r="B153" i="8"/>
  <c r="B152" i="8"/>
  <c r="B151"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N5" i="8"/>
  <c r="M6" i="8" s="1"/>
  <c r="N7" i="8" s="1"/>
  <c r="L5" i="8" s="1"/>
  <c r="L7" i="8" s="1"/>
  <c r="B5" i="8"/>
  <c r="N4" i="8"/>
  <c r="M4" i="8"/>
  <c r="L4" i="8"/>
  <c r="B4" i="8"/>
  <c r="B3" i="8"/>
  <c r="F76" i="7"/>
  <c r="F75" i="7"/>
  <c r="F74" i="7"/>
  <c r="F73" i="7"/>
  <c r="F72" i="7"/>
  <c r="F71" i="7"/>
  <c r="F70" i="7"/>
  <c r="F69" i="7"/>
  <c r="F68" i="7"/>
  <c r="F67" i="7"/>
  <c r="F66" i="7"/>
  <c r="F65" i="7"/>
  <c r="F64" i="7"/>
  <c r="F63" i="7"/>
  <c r="F62" i="7"/>
  <c r="F61" i="7"/>
  <c r="F60" i="7"/>
  <c r="F59" i="7"/>
  <c r="F58" i="7"/>
  <c r="F56" i="7"/>
  <c r="F55" i="7"/>
  <c r="F54" i="7"/>
  <c r="F53" i="7"/>
  <c r="F52" i="7"/>
  <c r="F51" i="7"/>
  <c r="F50" i="7"/>
  <c r="C50" i="7"/>
  <c r="C49" i="7"/>
  <c r="F49" i="7" s="1"/>
  <c r="C48" i="7"/>
  <c r="F48" i="7" s="1"/>
  <c r="C47" i="7"/>
  <c r="F47" i="7" s="1"/>
  <c r="F46" i="7"/>
  <c r="C46" i="7"/>
  <c r="C45" i="7"/>
  <c r="F45" i="7" s="1"/>
  <c r="C44" i="7"/>
  <c r="F44" i="7" s="1"/>
  <c r="F42" i="7"/>
  <c r="F41" i="7"/>
  <c r="C41" i="7"/>
  <c r="F40" i="7"/>
  <c r="C40" i="7"/>
  <c r="F39" i="7"/>
  <c r="C39" i="7"/>
  <c r="C38" i="7"/>
  <c r="F38" i="7" s="1"/>
  <c r="F36" i="7"/>
  <c r="F35" i="7"/>
  <c r="F34" i="7"/>
  <c r="F33" i="7"/>
  <c r="F32" i="7"/>
  <c r="F31" i="7"/>
  <c r="F30" i="7"/>
  <c r="C30" i="7"/>
  <c r="C27" i="7"/>
  <c r="F27" i="7" s="1"/>
  <c r="C25" i="7"/>
  <c r="F25" i="7" s="1"/>
  <c r="F24" i="7"/>
  <c r="C24" i="7"/>
  <c r="C23" i="7"/>
  <c r="F23" i="7" s="1"/>
  <c r="F22" i="7"/>
  <c r="C22" i="7"/>
  <c r="F20" i="7"/>
  <c r="C20" i="7"/>
  <c r="C13" i="7"/>
  <c r="F13" i="7" s="1"/>
  <c r="F12" i="7"/>
  <c r="C12" i="7"/>
  <c r="C11" i="7"/>
  <c r="F11" i="7" s="1"/>
  <c r="F10" i="7"/>
  <c r="C10" i="7"/>
  <c r="F8" i="7"/>
  <c r="C8" i="7"/>
  <c r="C7" i="7"/>
  <c r="F7" i="7" s="1"/>
  <c r="F6" i="7"/>
  <c r="C6" i="7"/>
  <c r="C5" i="7"/>
  <c r="F5" i="7" s="1"/>
  <c r="F4" i="7"/>
  <c r="C4" i="7"/>
  <c r="I814" i="6"/>
  <c r="J814" i="6" s="1"/>
  <c r="D814" i="6"/>
  <c r="E814" i="6" s="1"/>
  <c r="I813" i="6"/>
  <c r="J813" i="6" s="1"/>
  <c r="D813" i="6"/>
  <c r="E813" i="6" s="1"/>
  <c r="N812" i="6"/>
  <c r="O812" i="6" s="1"/>
  <c r="I812" i="6"/>
  <c r="J812" i="6" s="1"/>
  <c r="D812" i="6"/>
  <c r="E812" i="6" s="1"/>
  <c r="N811" i="6"/>
  <c r="O811" i="6" s="1"/>
  <c r="I811" i="6"/>
  <c r="J811" i="6" s="1"/>
  <c r="D811" i="6"/>
  <c r="E811" i="6" s="1"/>
  <c r="D793" i="6"/>
  <c r="E793" i="6" s="1"/>
  <c r="N792" i="6"/>
  <c r="O792" i="6" s="1"/>
  <c r="I792" i="6"/>
  <c r="J792" i="6" s="1"/>
  <c r="D792" i="6"/>
  <c r="E792" i="6" s="1"/>
  <c r="N791" i="6"/>
  <c r="O791" i="6" s="1"/>
  <c r="I791" i="6"/>
  <c r="J791" i="6" s="1"/>
  <c r="D791" i="6"/>
  <c r="E791" i="6" s="1"/>
  <c r="N790" i="6"/>
  <c r="O790" i="6" s="1"/>
  <c r="I790" i="6"/>
  <c r="J790" i="6" s="1"/>
  <c r="D790" i="6"/>
  <c r="E790" i="6" s="1"/>
  <c r="N789" i="6"/>
  <c r="O789" i="6" s="1"/>
  <c r="I789" i="6"/>
  <c r="J789" i="6" s="1"/>
  <c r="D789" i="6"/>
  <c r="E789" i="6" s="1"/>
  <c r="N788" i="6"/>
  <c r="O788" i="6" s="1"/>
  <c r="I788" i="6"/>
  <c r="J788" i="6" s="1"/>
  <c r="D788" i="6"/>
  <c r="E788" i="6" s="1"/>
  <c r="N787" i="6"/>
  <c r="O787" i="6" s="1"/>
  <c r="I787" i="6"/>
  <c r="J787" i="6" s="1"/>
  <c r="D787" i="6"/>
  <c r="E787" i="6" s="1"/>
  <c r="N786" i="6"/>
  <c r="O786" i="6" s="1"/>
  <c r="I786" i="6"/>
  <c r="J786" i="6" s="1"/>
  <c r="D786" i="6"/>
  <c r="E786" i="6" s="1"/>
  <c r="N785" i="6"/>
  <c r="O785" i="6" s="1"/>
  <c r="I785" i="6"/>
  <c r="J785" i="6" s="1"/>
  <c r="D785" i="6"/>
  <c r="E785" i="6" s="1"/>
  <c r="N784" i="6"/>
  <c r="O784" i="6" s="1"/>
  <c r="I784" i="6"/>
  <c r="J784" i="6" s="1"/>
  <c r="D784" i="6"/>
  <c r="E784" i="6" s="1"/>
  <c r="N783" i="6"/>
  <c r="O783" i="6" s="1"/>
  <c r="I783" i="6"/>
  <c r="J783" i="6" s="1"/>
  <c r="J798" i="6" s="1"/>
  <c r="J799" i="6" s="1"/>
  <c r="J800" i="6" s="1"/>
  <c r="D783" i="6"/>
  <c r="E783" i="6" s="1"/>
  <c r="E798" i="6" s="1"/>
  <c r="E799" i="6" s="1"/>
  <c r="E800" i="6" s="1"/>
  <c r="I776" i="6"/>
  <c r="C43" i="7" s="1"/>
  <c r="F43" i="7" s="1"/>
  <c r="E769" i="6"/>
  <c r="D769" i="6"/>
  <c r="E768" i="6"/>
  <c r="D768" i="6"/>
  <c r="E767" i="6"/>
  <c r="D767" i="6"/>
  <c r="O766" i="6"/>
  <c r="N766" i="6"/>
  <c r="E766" i="6"/>
  <c r="D766" i="6"/>
  <c r="O765" i="6"/>
  <c r="N765" i="6"/>
  <c r="E765" i="6"/>
  <c r="D765" i="6"/>
  <c r="O764" i="6"/>
  <c r="N764" i="6"/>
  <c r="E764" i="6"/>
  <c r="D764" i="6"/>
  <c r="O763" i="6"/>
  <c r="N763" i="6"/>
  <c r="E763" i="6"/>
  <c r="D763" i="6"/>
  <c r="O762" i="6"/>
  <c r="N762" i="6"/>
  <c r="J762" i="6"/>
  <c r="I762" i="6"/>
  <c r="E762" i="6"/>
  <c r="D762" i="6"/>
  <c r="O761" i="6"/>
  <c r="N761" i="6"/>
  <c r="J761" i="6"/>
  <c r="I761" i="6"/>
  <c r="E761" i="6"/>
  <c r="D761" i="6"/>
  <c r="O760" i="6"/>
  <c r="N760" i="6"/>
  <c r="J760" i="6"/>
  <c r="I760" i="6"/>
  <c r="E760" i="6"/>
  <c r="D760" i="6"/>
  <c r="O759" i="6"/>
  <c r="N759" i="6"/>
  <c r="J759" i="6"/>
  <c r="I759" i="6"/>
  <c r="E759" i="6"/>
  <c r="D759" i="6"/>
  <c r="O758" i="6"/>
  <c r="N758" i="6"/>
  <c r="J758" i="6"/>
  <c r="I758" i="6"/>
  <c r="E758" i="6"/>
  <c r="D758" i="6"/>
  <c r="O757" i="6"/>
  <c r="N757" i="6"/>
  <c r="J757" i="6"/>
  <c r="I757" i="6"/>
  <c r="E757" i="6"/>
  <c r="D757" i="6"/>
  <c r="O756" i="6"/>
  <c r="O771" i="6" s="1"/>
  <c r="O772" i="6" s="1"/>
  <c r="O773" i="6" s="1"/>
  <c r="N756" i="6"/>
  <c r="J756" i="6"/>
  <c r="I756" i="6"/>
  <c r="E756" i="6"/>
  <c r="D756" i="6"/>
  <c r="O737" i="6"/>
  <c r="N737" i="6"/>
  <c r="O736" i="6"/>
  <c r="N736" i="6"/>
  <c r="O735" i="6"/>
  <c r="N735" i="6"/>
  <c r="J735" i="6"/>
  <c r="I735" i="6"/>
  <c r="E735" i="6"/>
  <c r="D735" i="6"/>
  <c r="O734" i="6"/>
  <c r="N734" i="6"/>
  <c r="I734" i="6"/>
  <c r="J734" i="6" s="1"/>
  <c r="D734" i="6"/>
  <c r="E734" i="6" s="1"/>
  <c r="O733" i="6"/>
  <c r="N733" i="6"/>
  <c r="I733" i="6"/>
  <c r="J733" i="6" s="1"/>
  <c r="D733" i="6"/>
  <c r="E733" i="6" s="1"/>
  <c r="N732" i="6"/>
  <c r="O732" i="6" s="1"/>
  <c r="I732" i="6"/>
  <c r="J732" i="6" s="1"/>
  <c r="E732" i="6"/>
  <c r="D732" i="6"/>
  <c r="N731" i="6"/>
  <c r="O731" i="6" s="1"/>
  <c r="I731" i="6"/>
  <c r="J731" i="6" s="1"/>
  <c r="D731" i="6"/>
  <c r="E731" i="6" s="1"/>
  <c r="N730" i="6"/>
  <c r="O730" i="6" s="1"/>
  <c r="I730" i="6"/>
  <c r="J730" i="6" s="1"/>
  <c r="D730" i="6"/>
  <c r="E730" i="6" s="1"/>
  <c r="N729" i="6"/>
  <c r="O729" i="6" s="1"/>
  <c r="I729" i="6"/>
  <c r="J729" i="6" s="1"/>
  <c r="D729" i="6"/>
  <c r="E729" i="6" s="1"/>
  <c r="N722" i="6"/>
  <c r="C37" i="7" s="1"/>
  <c r="F37" i="7" s="1"/>
  <c r="J712" i="6"/>
  <c r="I712" i="6"/>
  <c r="J711" i="6"/>
  <c r="I711" i="6"/>
  <c r="E711" i="6"/>
  <c r="D711" i="6"/>
  <c r="N710" i="6"/>
  <c r="O710" i="6" s="1"/>
  <c r="I710" i="6"/>
  <c r="J710" i="6" s="1"/>
  <c r="E710" i="6"/>
  <c r="D710" i="6"/>
  <c r="O709" i="6"/>
  <c r="N709" i="6"/>
  <c r="I709" i="6"/>
  <c r="J709" i="6" s="1"/>
  <c r="E709" i="6"/>
  <c r="D709" i="6"/>
  <c r="O708" i="6"/>
  <c r="N708" i="6"/>
  <c r="J708" i="6"/>
  <c r="I708" i="6"/>
  <c r="D708" i="6"/>
  <c r="E708" i="6" s="1"/>
  <c r="N707" i="6"/>
  <c r="O707" i="6" s="1"/>
  <c r="I707" i="6"/>
  <c r="J707" i="6" s="1"/>
  <c r="E707" i="6"/>
  <c r="D707" i="6"/>
  <c r="N706" i="6"/>
  <c r="O706" i="6" s="1"/>
  <c r="I706" i="6"/>
  <c r="J706" i="6" s="1"/>
  <c r="E706" i="6"/>
  <c r="D706" i="6"/>
  <c r="O705" i="6"/>
  <c r="N705" i="6"/>
  <c r="I705" i="6"/>
  <c r="J705" i="6" s="1"/>
  <c r="E705" i="6"/>
  <c r="D705" i="6"/>
  <c r="O704" i="6"/>
  <c r="N704" i="6"/>
  <c r="J704" i="6"/>
  <c r="I704" i="6"/>
  <c r="D704" i="6"/>
  <c r="E704" i="6" s="1"/>
  <c r="N703" i="6"/>
  <c r="O703" i="6" s="1"/>
  <c r="I703" i="6"/>
  <c r="J703" i="6" s="1"/>
  <c r="E703" i="6"/>
  <c r="D703" i="6"/>
  <c r="N702" i="6"/>
  <c r="O702" i="6" s="1"/>
  <c r="I702" i="6"/>
  <c r="J702" i="6" s="1"/>
  <c r="E702" i="6"/>
  <c r="E717" i="6" s="1"/>
  <c r="E718" i="6" s="1"/>
  <c r="E719" i="6" s="1"/>
  <c r="D702" i="6"/>
  <c r="N685" i="6"/>
  <c r="O685" i="6" s="1"/>
  <c r="N684" i="6"/>
  <c r="O684" i="6" s="1"/>
  <c r="O683" i="6"/>
  <c r="N683" i="6"/>
  <c r="J683" i="6"/>
  <c r="I683" i="6"/>
  <c r="D683" i="6"/>
  <c r="E683" i="6" s="1"/>
  <c r="N682" i="6"/>
  <c r="O682" i="6" s="1"/>
  <c r="J682" i="6"/>
  <c r="I682" i="6"/>
  <c r="E682" i="6"/>
  <c r="D682" i="6"/>
  <c r="N681" i="6"/>
  <c r="O681" i="6" s="1"/>
  <c r="I681" i="6"/>
  <c r="J681" i="6" s="1"/>
  <c r="E681" i="6"/>
  <c r="D681" i="6"/>
  <c r="N680" i="6"/>
  <c r="O680" i="6" s="1"/>
  <c r="I680" i="6"/>
  <c r="J680" i="6" s="1"/>
  <c r="E680" i="6"/>
  <c r="D680" i="6"/>
  <c r="N679" i="6"/>
  <c r="O679" i="6" s="1"/>
  <c r="J679" i="6"/>
  <c r="I679" i="6"/>
  <c r="D679" i="6"/>
  <c r="E679" i="6" s="1"/>
  <c r="N678" i="6"/>
  <c r="O678" i="6" s="1"/>
  <c r="I678" i="6"/>
  <c r="J678" i="6" s="1"/>
  <c r="E678" i="6"/>
  <c r="D678" i="6"/>
  <c r="N677" i="6"/>
  <c r="O677" i="6" s="1"/>
  <c r="J677" i="6"/>
  <c r="I677" i="6"/>
  <c r="D677" i="6"/>
  <c r="E677" i="6" s="1"/>
  <c r="N676" i="6"/>
  <c r="O676" i="6" s="1"/>
  <c r="I676" i="6"/>
  <c r="J676" i="6" s="1"/>
  <c r="E676" i="6"/>
  <c r="D676" i="6"/>
  <c r="N675" i="6"/>
  <c r="O675" i="6" s="1"/>
  <c r="J675" i="6"/>
  <c r="I675" i="6"/>
  <c r="D675" i="6"/>
  <c r="E675" i="6" s="1"/>
  <c r="D658" i="6"/>
  <c r="E658" i="6" s="1"/>
  <c r="O657" i="6"/>
  <c r="N657" i="6"/>
  <c r="N656" i="6"/>
  <c r="O656" i="6" s="1"/>
  <c r="J656" i="6"/>
  <c r="I656" i="6"/>
  <c r="E656" i="6"/>
  <c r="D656" i="6"/>
  <c r="N655" i="6"/>
  <c r="O655" i="6" s="1"/>
  <c r="I655" i="6"/>
  <c r="J655" i="6" s="1"/>
  <c r="D655" i="6"/>
  <c r="E655" i="6" s="1"/>
  <c r="N654" i="6"/>
  <c r="O654" i="6" s="1"/>
  <c r="I654" i="6"/>
  <c r="J654" i="6" s="1"/>
  <c r="D654" i="6"/>
  <c r="E654" i="6" s="1"/>
  <c r="N653" i="6"/>
  <c r="O653" i="6" s="1"/>
  <c r="J653" i="6"/>
  <c r="I653" i="6"/>
  <c r="D653" i="6"/>
  <c r="E653" i="6" s="1"/>
  <c r="N652" i="6"/>
  <c r="O652" i="6" s="1"/>
  <c r="I652" i="6"/>
  <c r="J652" i="6" s="1"/>
  <c r="D652" i="6"/>
  <c r="E652" i="6" s="1"/>
  <c r="N651" i="6"/>
  <c r="O651" i="6" s="1"/>
  <c r="I651" i="6"/>
  <c r="J651" i="6" s="1"/>
  <c r="D651" i="6"/>
  <c r="E651" i="6" s="1"/>
  <c r="N650" i="6"/>
  <c r="O650" i="6" s="1"/>
  <c r="I650" i="6"/>
  <c r="J650" i="6" s="1"/>
  <c r="D650" i="6"/>
  <c r="E650" i="6" s="1"/>
  <c r="O649" i="6"/>
  <c r="N649" i="6"/>
  <c r="I649" i="6"/>
  <c r="J649" i="6" s="1"/>
  <c r="D649" i="6"/>
  <c r="E649" i="6" s="1"/>
  <c r="J648" i="6"/>
  <c r="I648" i="6"/>
  <c r="E648" i="6"/>
  <c r="D648" i="6"/>
  <c r="O641" i="6"/>
  <c r="C14" i="7" s="1"/>
  <c r="F14" i="7" s="1"/>
  <c r="N641" i="6"/>
  <c r="N628" i="6"/>
  <c r="O628" i="6" s="1"/>
  <c r="N627" i="6"/>
  <c r="O627" i="6" s="1"/>
  <c r="N626" i="6"/>
  <c r="O626" i="6" s="1"/>
  <c r="N625" i="6"/>
  <c r="O625" i="6" s="1"/>
  <c r="I625" i="6"/>
  <c r="J625" i="6" s="1"/>
  <c r="N624" i="6"/>
  <c r="O624" i="6" s="1"/>
  <c r="J624" i="6"/>
  <c r="I624" i="6"/>
  <c r="N623" i="6"/>
  <c r="O623" i="6" s="1"/>
  <c r="N622" i="6"/>
  <c r="O622" i="6" s="1"/>
  <c r="I622" i="6"/>
  <c r="J622" i="6" s="1"/>
  <c r="D622" i="6"/>
  <c r="E622" i="6" s="1"/>
  <c r="N621" i="6"/>
  <c r="O621" i="6" s="1"/>
  <c r="J621" i="6"/>
  <c r="I621" i="6"/>
  <c r="D621" i="6"/>
  <c r="E621" i="6" s="1"/>
  <c r="I600" i="6"/>
  <c r="J600" i="6" s="1"/>
  <c r="J599" i="6"/>
  <c r="I599" i="6"/>
  <c r="D599" i="6"/>
  <c r="E599" i="6" s="1"/>
  <c r="I598" i="6"/>
  <c r="J598" i="6" s="1"/>
  <c r="E598" i="6"/>
  <c r="D598" i="6"/>
  <c r="J597" i="6"/>
  <c r="I597" i="6"/>
  <c r="D597" i="6"/>
  <c r="E597" i="6" s="1"/>
  <c r="I596" i="6"/>
  <c r="J596" i="6" s="1"/>
  <c r="D596" i="6"/>
  <c r="E596" i="6" s="1"/>
  <c r="N595" i="6"/>
  <c r="O595" i="6" s="1"/>
  <c r="I595" i="6"/>
  <c r="J595" i="6" s="1"/>
  <c r="D595" i="6"/>
  <c r="E595" i="6" s="1"/>
  <c r="E609" i="6" s="1"/>
  <c r="E610" i="6" s="1"/>
  <c r="E611" i="6" s="1"/>
  <c r="J594" i="6"/>
  <c r="I594" i="6"/>
  <c r="D594" i="6"/>
  <c r="E594" i="6" s="1"/>
  <c r="S588" i="6"/>
  <c r="C21" i="7" s="1"/>
  <c r="F21" i="7" s="1"/>
  <c r="D587" i="6"/>
  <c r="S579" i="6"/>
  <c r="T579" i="6" s="1"/>
  <c r="I579" i="6"/>
  <c r="J579" i="6" s="1"/>
  <c r="T578" i="6"/>
  <c r="S578" i="6"/>
  <c r="O578" i="6"/>
  <c r="N578" i="6"/>
  <c r="I578" i="6"/>
  <c r="J578" i="6" s="1"/>
  <c r="S577" i="6"/>
  <c r="T577" i="6" s="1"/>
  <c r="J577" i="6"/>
  <c r="I577" i="6"/>
  <c r="S576" i="6"/>
  <c r="T576" i="6" s="1"/>
  <c r="N576" i="6"/>
  <c r="O576" i="6" s="1"/>
  <c r="J576" i="6"/>
  <c r="I576" i="6"/>
  <c r="D576" i="6"/>
  <c r="E576" i="6" s="1"/>
  <c r="S575" i="6"/>
  <c r="T575" i="6" s="1"/>
  <c r="N575" i="6"/>
  <c r="O575" i="6" s="1"/>
  <c r="J575" i="6"/>
  <c r="I575" i="6"/>
  <c r="S574" i="6"/>
  <c r="T574" i="6" s="1"/>
  <c r="N574" i="6"/>
  <c r="O574" i="6" s="1"/>
  <c r="I574" i="6"/>
  <c r="J574" i="6" s="1"/>
  <c r="E574" i="6"/>
  <c r="D574" i="6"/>
  <c r="S573" i="6"/>
  <c r="T573" i="6" s="1"/>
  <c r="N573" i="6"/>
  <c r="O573" i="6" s="1"/>
  <c r="I573" i="6"/>
  <c r="J573" i="6" s="1"/>
  <c r="E573" i="6"/>
  <c r="D573" i="6"/>
  <c r="S572" i="6"/>
  <c r="T572" i="6" s="1"/>
  <c r="N572" i="6"/>
  <c r="O572" i="6" s="1"/>
  <c r="I572" i="6"/>
  <c r="J572" i="6" s="1"/>
  <c r="E572" i="6"/>
  <c r="D572" i="6"/>
  <c r="S571" i="6"/>
  <c r="T571" i="6" s="1"/>
  <c r="N571" i="6"/>
  <c r="O571" i="6" s="1"/>
  <c r="I571" i="6"/>
  <c r="J571" i="6" s="1"/>
  <c r="E571" i="6"/>
  <c r="D571" i="6"/>
  <c r="S570" i="6"/>
  <c r="T570" i="6" s="1"/>
  <c r="N570" i="6"/>
  <c r="O570" i="6" s="1"/>
  <c r="I570" i="6"/>
  <c r="J570" i="6" s="1"/>
  <c r="D570" i="6"/>
  <c r="E570" i="6" s="1"/>
  <c r="S569" i="6"/>
  <c r="T569" i="6" s="1"/>
  <c r="N569" i="6"/>
  <c r="O569" i="6" s="1"/>
  <c r="I569" i="6"/>
  <c r="J569" i="6" s="1"/>
  <c r="D569" i="6"/>
  <c r="E569" i="6" s="1"/>
  <c r="S568" i="6"/>
  <c r="T568" i="6" s="1"/>
  <c r="N568" i="6"/>
  <c r="O568" i="6" s="1"/>
  <c r="I568" i="6"/>
  <c r="J568" i="6" s="1"/>
  <c r="D568" i="6"/>
  <c r="E568" i="6" s="1"/>
  <c r="I567" i="6"/>
  <c r="J567" i="6" s="1"/>
  <c r="D567" i="6"/>
  <c r="E567" i="6" s="1"/>
  <c r="N545" i="6"/>
  <c r="O545" i="6" s="1"/>
  <c r="I545" i="6"/>
  <c r="J545" i="6" s="1"/>
  <c r="N544" i="6"/>
  <c r="O544" i="6" s="1"/>
  <c r="I544" i="6"/>
  <c r="J544" i="6" s="1"/>
  <c r="I543" i="6"/>
  <c r="J543" i="6" s="1"/>
  <c r="N542" i="6"/>
  <c r="O542" i="6" s="1"/>
  <c r="I542" i="6"/>
  <c r="J542" i="6" s="1"/>
  <c r="D542" i="6"/>
  <c r="E542" i="6" s="1"/>
  <c r="N541" i="6"/>
  <c r="O541" i="6" s="1"/>
  <c r="I541" i="6"/>
  <c r="J541" i="6" s="1"/>
  <c r="D541" i="6"/>
  <c r="E541" i="6" s="1"/>
  <c r="I540" i="6"/>
  <c r="J540" i="6" s="1"/>
  <c r="D540" i="6"/>
  <c r="E540" i="6" s="1"/>
  <c r="E555" i="6" s="1"/>
  <c r="E556" i="6" s="1"/>
  <c r="E557" i="6" s="1"/>
  <c r="J517" i="6"/>
  <c r="I517" i="6"/>
  <c r="E517" i="6"/>
  <c r="D517" i="6"/>
  <c r="J516" i="6"/>
  <c r="I516" i="6"/>
  <c r="E516" i="6"/>
  <c r="D516" i="6"/>
  <c r="J515" i="6"/>
  <c r="I515" i="6"/>
  <c r="E515" i="6"/>
  <c r="D515" i="6"/>
  <c r="O514" i="6"/>
  <c r="N514" i="6"/>
  <c r="J514" i="6"/>
  <c r="I514" i="6"/>
  <c r="E514" i="6"/>
  <c r="D514" i="6"/>
  <c r="O513" i="6"/>
  <c r="N513" i="6"/>
  <c r="J513" i="6"/>
  <c r="I513" i="6"/>
  <c r="E513" i="6"/>
  <c r="D513" i="6"/>
  <c r="O512" i="6"/>
  <c r="O527" i="6" s="1"/>
  <c r="O528" i="6" s="1"/>
  <c r="O529" i="6" s="1"/>
  <c r="N512" i="6"/>
  <c r="J512" i="6"/>
  <c r="J527" i="6" s="1"/>
  <c r="J528" i="6" s="1"/>
  <c r="J529" i="6" s="1"/>
  <c r="I512" i="6"/>
  <c r="E512" i="6"/>
  <c r="E527" i="6" s="1"/>
  <c r="E528" i="6" s="1"/>
  <c r="E529" i="6" s="1"/>
  <c r="D512" i="6"/>
  <c r="I492" i="6"/>
  <c r="J492" i="6" s="1"/>
  <c r="I491" i="6"/>
  <c r="J491" i="6" s="1"/>
  <c r="I490" i="6"/>
  <c r="J490" i="6" s="1"/>
  <c r="I489" i="6"/>
  <c r="J489" i="6" s="1"/>
  <c r="D489" i="6"/>
  <c r="E489" i="6" s="1"/>
  <c r="N488" i="6"/>
  <c r="O488" i="6" s="1"/>
  <c r="I488" i="6"/>
  <c r="J488" i="6" s="1"/>
  <c r="D488" i="6"/>
  <c r="E488" i="6" s="1"/>
  <c r="N487" i="6"/>
  <c r="O487" i="6" s="1"/>
  <c r="I487" i="6"/>
  <c r="J487" i="6" s="1"/>
  <c r="D487" i="6"/>
  <c r="E487" i="6" s="1"/>
  <c r="N486" i="6"/>
  <c r="O486" i="6" s="1"/>
  <c r="I486" i="6"/>
  <c r="J486" i="6" s="1"/>
  <c r="D486" i="6"/>
  <c r="E486" i="6" s="1"/>
  <c r="N485" i="6"/>
  <c r="O485" i="6" s="1"/>
  <c r="I485" i="6"/>
  <c r="J485" i="6" s="1"/>
  <c r="D485" i="6"/>
  <c r="E485" i="6" s="1"/>
  <c r="N484" i="6"/>
  <c r="O484" i="6" s="1"/>
  <c r="I484" i="6"/>
  <c r="J484" i="6" s="1"/>
  <c r="D484" i="6"/>
  <c r="E484" i="6" s="1"/>
  <c r="N483" i="6"/>
  <c r="O483" i="6" s="1"/>
  <c r="O498" i="6" s="1"/>
  <c r="O499" i="6" s="1"/>
  <c r="O500" i="6" s="1"/>
  <c r="I483" i="6"/>
  <c r="J483" i="6" s="1"/>
  <c r="D483" i="6"/>
  <c r="E483" i="6" s="1"/>
  <c r="N467" i="6"/>
  <c r="O467" i="6" s="1"/>
  <c r="N466" i="6"/>
  <c r="O466" i="6" s="1"/>
  <c r="N465" i="6"/>
  <c r="O465" i="6" s="1"/>
  <c r="N464" i="6"/>
  <c r="O464" i="6" s="1"/>
  <c r="N463" i="6"/>
  <c r="O463" i="6" s="1"/>
  <c r="N462" i="6"/>
  <c r="O462" i="6" s="1"/>
  <c r="D462" i="6"/>
  <c r="E462" i="6" s="1"/>
  <c r="N461" i="6"/>
  <c r="O461" i="6" s="1"/>
  <c r="D461" i="6"/>
  <c r="E461" i="6" s="1"/>
  <c r="N460" i="6"/>
  <c r="O460" i="6" s="1"/>
  <c r="N459" i="6"/>
  <c r="O459" i="6" s="1"/>
  <c r="D459" i="6"/>
  <c r="E459" i="6" s="1"/>
  <c r="N458" i="6"/>
  <c r="O458" i="6" s="1"/>
  <c r="D458" i="6"/>
  <c r="E458" i="6" s="1"/>
  <c r="N457" i="6"/>
  <c r="O457" i="6" s="1"/>
  <c r="D457" i="6"/>
  <c r="E457" i="6" s="1"/>
  <c r="N456" i="6"/>
  <c r="O456" i="6" s="1"/>
  <c r="I456" i="6"/>
  <c r="J456" i="6" s="1"/>
  <c r="D456" i="6"/>
  <c r="E456" i="6" s="1"/>
  <c r="N455" i="6"/>
  <c r="O455" i="6" s="1"/>
  <c r="I455" i="6"/>
  <c r="J455" i="6" s="1"/>
  <c r="D455" i="6"/>
  <c r="E455" i="6" s="1"/>
  <c r="N454" i="6"/>
  <c r="O454" i="6" s="1"/>
  <c r="I454" i="6"/>
  <c r="J454" i="6" s="1"/>
  <c r="D454" i="6"/>
  <c r="E454" i="6" s="1"/>
  <c r="E469" i="6" s="1"/>
  <c r="E470" i="6" s="1"/>
  <c r="E471" i="6" s="1"/>
  <c r="N437" i="6"/>
  <c r="O437" i="6" s="1"/>
  <c r="N436" i="6"/>
  <c r="O436" i="6" s="1"/>
  <c r="I436" i="6"/>
  <c r="J436" i="6" s="1"/>
  <c r="N435" i="6"/>
  <c r="O435" i="6" s="1"/>
  <c r="I435" i="6"/>
  <c r="J435" i="6" s="1"/>
  <c r="D435" i="6"/>
  <c r="E435" i="6" s="1"/>
  <c r="N434" i="6"/>
  <c r="O434" i="6" s="1"/>
  <c r="I434" i="6"/>
  <c r="J434" i="6" s="1"/>
  <c r="D434" i="6"/>
  <c r="E434" i="6" s="1"/>
  <c r="N433" i="6"/>
  <c r="O433" i="6" s="1"/>
  <c r="I433" i="6"/>
  <c r="J433" i="6" s="1"/>
  <c r="D433" i="6"/>
  <c r="E433" i="6" s="1"/>
  <c r="N432" i="6"/>
  <c r="O432" i="6" s="1"/>
  <c r="I432" i="6"/>
  <c r="J432" i="6" s="1"/>
  <c r="D432" i="6"/>
  <c r="E432" i="6" s="1"/>
  <c r="N431" i="6"/>
  <c r="O431" i="6" s="1"/>
  <c r="I431" i="6"/>
  <c r="J431" i="6" s="1"/>
  <c r="D431" i="6"/>
  <c r="E431" i="6" s="1"/>
  <c r="N430" i="6"/>
  <c r="O430" i="6" s="1"/>
  <c r="I430" i="6"/>
  <c r="J430" i="6" s="1"/>
  <c r="D430" i="6"/>
  <c r="E430" i="6" s="1"/>
  <c r="N429" i="6"/>
  <c r="O429" i="6" s="1"/>
  <c r="I429" i="6"/>
  <c r="J429" i="6" s="1"/>
  <c r="D429" i="6"/>
  <c r="E429" i="6" s="1"/>
  <c r="N428" i="6"/>
  <c r="O428" i="6" s="1"/>
  <c r="I428" i="6"/>
  <c r="J428" i="6" s="1"/>
  <c r="D428" i="6"/>
  <c r="E428" i="6" s="1"/>
  <c r="N427" i="6"/>
  <c r="O427" i="6" s="1"/>
  <c r="O442" i="6" s="1"/>
  <c r="O443" i="6" s="1"/>
  <c r="O444" i="6" s="1"/>
  <c r="I427" i="6"/>
  <c r="J427" i="6" s="1"/>
  <c r="D427" i="6"/>
  <c r="E427" i="6" s="1"/>
  <c r="O408" i="6"/>
  <c r="N408" i="6"/>
  <c r="N407" i="6"/>
  <c r="O407" i="6" s="1"/>
  <c r="O406" i="6"/>
  <c r="N406" i="6"/>
  <c r="D406" i="6"/>
  <c r="E406" i="6" s="1"/>
  <c r="N405" i="6"/>
  <c r="O405" i="6" s="1"/>
  <c r="E405" i="6"/>
  <c r="D405" i="6"/>
  <c r="O404" i="6"/>
  <c r="N404" i="6"/>
  <c r="E404" i="6"/>
  <c r="D404" i="6"/>
  <c r="N403" i="6"/>
  <c r="O403" i="6" s="1"/>
  <c r="J403" i="6"/>
  <c r="I403" i="6"/>
  <c r="D403" i="6"/>
  <c r="E403" i="6" s="1"/>
  <c r="N402" i="6"/>
  <c r="O402" i="6" s="1"/>
  <c r="I402" i="6"/>
  <c r="J402" i="6" s="1"/>
  <c r="E402" i="6"/>
  <c r="D402" i="6"/>
  <c r="O401" i="6"/>
  <c r="N401" i="6"/>
  <c r="J401" i="6"/>
  <c r="I401" i="6"/>
  <c r="D401" i="6"/>
  <c r="E401" i="6" s="1"/>
  <c r="O400" i="6"/>
  <c r="N400" i="6"/>
  <c r="I400" i="6"/>
  <c r="J400" i="6" s="1"/>
  <c r="J415" i="6" s="1"/>
  <c r="J416" i="6" s="1"/>
  <c r="J417" i="6" s="1"/>
  <c r="D400" i="6"/>
  <c r="E400" i="6" s="1"/>
  <c r="D386" i="6"/>
  <c r="E386" i="6" s="1"/>
  <c r="E385" i="6"/>
  <c r="D385" i="6"/>
  <c r="D384" i="6"/>
  <c r="E384" i="6" s="1"/>
  <c r="D383" i="6"/>
  <c r="E383" i="6" s="1"/>
  <c r="E382" i="6"/>
  <c r="D382" i="6"/>
  <c r="E381" i="6"/>
  <c r="D381" i="6"/>
  <c r="E380" i="6"/>
  <c r="D380" i="6"/>
  <c r="D379" i="6"/>
  <c r="E379" i="6" s="1"/>
  <c r="I378" i="6"/>
  <c r="J378" i="6" s="1"/>
  <c r="E378" i="6"/>
  <c r="D378" i="6"/>
  <c r="I377" i="6"/>
  <c r="J377" i="6" s="1"/>
  <c r="D377" i="6"/>
  <c r="E377" i="6" s="1"/>
  <c r="J376" i="6"/>
  <c r="I376" i="6"/>
  <c r="E376" i="6"/>
  <c r="D376" i="6"/>
  <c r="J375" i="6"/>
  <c r="I375" i="6"/>
  <c r="D375" i="6"/>
  <c r="E375" i="6" s="1"/>
  <c r="N374" i="6"/>
  <c r="O374" i="6" s="1"/>
  <c r="J374" i="6"/>
  <c r="I374" i="6"/>
  <c r="D374" i="6"/>
  <c r="E374" i="6" s="1"/>
  <c r="N373" i="6"/>
  <c r="O373" i="6" s="1"/>
  <c r="J373" i="6"/>
  <c r="I373" i="6"/>
  <c r="E373" i="6"/>
  <c r="D373" i="6"/>
  <c r="O372" i="6"/>
  <c r="N372" i="6"/>
  <c r="I372" i="6"/>
  <c r="J372" i="6" s="1"/>
  <c r="D372" i="6"/>
  <c r="E372" i="6" s="1"/>
  <c r="O371" i="6"/>
  <c r="N371" i="6"/>
  <c r="I371" i="6"/>
  <c r="J371" i="6" s="1"/>
  <c r="D371" i="6"/>
  <c r="E371" i="6" s="1"/>
  <c r="O370" i="6"/>
  <c r="N370" i="6"/>
  <c r="J370" i="6"/>
  <c r="I370" i="6"/>
  <c r="E370" i="6"/>
  <c r="D370" i="6"/>
  <c r="N369" i="6"/>
  <c r="O369" i="6" s="1"/>
  <c r="O384" i="6" s="1"/>
  <c r="O385" i="6" s="1"/>
  <c r="O386" i="6" s="1"/>
  <c r="I369" i="6"/>
  <c r="J369" i="6" s="1"/>
  <c r="E369" i="6"/>
  <c r="D369" i="6"/>
  <c r="D353" i="6"/>
  <c r="E353" i="6" s="1"/>
  <c r="E352" i="6"/>
  <c r="D352" i="6"/>
  <c r="E351" i="6"/>
  <c r="D351" i="6"/>
  <c r="E350" i="6"/>
  <c r="D350" i="6"/>
  <c r="D349" i="6"/>
  <c r="E349" i="6" s="1"/>
  <c r="D348" i="6"/>
  <c r="E348" i="6" s="1"/>
  <c r="E347" i="6"/>
  <c r="D347" i="6"/>
  <c r="D346" i="6"/>
  <c r="E346" i="6" s="1"/>
  <c r="N345" i="6"/>
  <c r="O345" i="6" s="1"/>
  <c r="D345" i="6"/>
  <c r="E345" i="6" s="1"/>
  <c r="O344" i="6"/>
  <c r="N344" i="6"/>
  <c r="E344" i="6"/>
  <c r="D344" i="6"/>
  <c r="N343" i="6"/>
  <c r="O343" i="6" s="1"/>
  <c r="D343" i="6"/>
  <c r="E343" i="6" s="1"/>
  <c r="O342" i="6"/>
  <c r="N342" i="6"/>
  <c r="I342" i="6"/>
  <c r="J342" i="6" s="1"/>
  <c r="D342" i="6"/>
  <c r="E342" i="6" s="1"/>
  <c r="O341" i="6"/>
  <c r="N341" i="6"/>
  <c r="J341" i="6"/>
  <c r="I341" i="6"/>
  <c r="E341" i="6"/>
  <c r="D341" i="6"/>
  <c r="N340" i="6"/>
  <c r="O340" i="6" s="1"/>
  <c r="I340" i="6"/>
  <c r="J340" i="6" s="1"/>
  <c r="E340" i="6"/>
  <c r="D340" i="6"/>
  <c r="O339" i="6"/>
  <c r="N339" i="6"/>
  <c r="I339" i="6"/>
  <c r="J339" i="6" s="1"/>
  <c r="E339" i="6"/>
  <c r="D339" i="6"/>
  <c r="O338" i="6"/>
  <c r="N338" i="6"/>
  <c r="I338" i="6"/>
  <c r="J338" i="6" s="1"/>
  <c r="J353" i="6" s="1"/>
  <c r="J354" i="6" s="1"/>
  <c r="J355" i="6" s="1"/>
  <c r="D338" i="6"/>
  <c r="E338" i="6" s="1"/>
  <c r="N331" i="6"/>
  <c r="C28" i="7" s="1"/>
  <c r="F28" i="7" s="1"/>
  <c r="I331" i="6"/>
  <c r="C29" i="7" s="1"/>
  <c r="F29" i="7" s="1"/>
  <c r="E331" i="6"/>
  <c r="E323" i="6"/>
  <c r="D323" i="6"/>
  <c r="E322" i="6"/>
  <c r="D322" i="6"/>
  <c r="E321" i="6"/>
  <c r="D321" i="6"/>
  <c r="N320" i="6"/>
  <c r="O320" i="6" s="1"/>
  <c r="E320" i="6"/>
  <c r="D320" i="6"/>
  <c r="N319" i="6"/>
  <c r="O319" i="6" s="1"/>
  <c r="D319" i="6"/>
  <c r="E319" i="6" s="1"/>
  <c r="N318" i="6"/>
  <c r="O318" i="6" s="1"/>
  <c r="E318" i="6"/>
  <c r="D318" i="6"/>
  <c r="O317" i="6"/>
  <c r="N317" i="6"/>
  <c r="E317" i="6"/>
  <c r="D317" i="6"/>
  <c r="N316" i="6"/>
  <c r="O316" i="6" s="1"/>
  <c r="E316" i="6"/>
  <c r="D316" i="6"/>
  <c r="N315" i="6"/>
  <c r="O315" i="6" s="1"/>
  <c r="D315" i="6"/>
  <c r="E315" i="6" s="1"/>
  <c r="N314" i="6"/>
  <c r="O314" i="6" s="1"/>
  <c r="E314" i="6"/>
  <c r="D314" i="6"/>
  <c r="O313" i="6"/>
  <c r="N313" i="6"/>
  <c r="E313" i="6"/>
  <c r="D313" i="6"/>
  <c r="N312" i="6"/>
  <c r="O312" i="6" s="1"/>
  <c r="I312" i="6"/>
  <c r="J312" i="6" s="1"/>
  <c r="D312" i="6"/>
  <c r="E312" i="6" s="1"/>
  <c r="N311" i="6"/>
  <c r="O311" i="6" s="1"/>
  <c r="I311" i="6"/>
  <c r="J311" i="6" s="1"/>
  <c r="E311" i="6"/>
  <c r="D311" i="6"/>
  <c r="N310" i="6"/>
  <c r="O310" i="6" s="1"/>
  <c r="J310" i="6"/>
  <c r="I310" i="6"/>
  <c r="D310" i="6"/>
  <c r="E310" i="6" s="1"/>
  <c r="N309" i="6"/>
  <c r="O309" i="6" s="1"/>
  <c r="I309" i="6"/>
  <c r="J309" i="6" s="1"/>
  <c r="E309" i="6"/>
  <c r="D309" i="6"/>
  <c r="N308" i="6"/>
  <c r="O308" i="6" s="1"/>
  <c r="J308" i="6"/>
  <c r="I308" i="6"/>
  <c r="E308" i="6"/>
  <c r="D308" i="6"/>
  <c r="N307" i="6"/>
  <c r="O307" i="6" s="1"/>
  <c r="O326" i="6" s="1"/>
  <c r="O327" i="6" s="1"/>
  <c r="O328" i="6" s="1"/>
  <c r="I307" i="6"/>
  <c r="J307" i="6" s="1"/>
  <c r="D307" i="6"/>
  <c r="E307" i="6" s="1"/>
  <c r="D289" i="6"/>
  <c r="E289" i="6" s="1"/>
  <c r="D288" i="6"/>
  <c r="E288" i="6" s="1"/>
  <c r="E287" i="6"/>
  <c r="E295" i="6" s="1"/>
  <c r="E296" i="6" s="1"/>
  <c r="E297" i="6" s="1"/>
  <c r="D287" i="6"/>
  <c r="O286" i="6"/>
  <c r="N286" i="6"/>
  <c r="E286" i="6"/>
  <c r="D286" i="6"/>
  <c r="N285" i="6"/>
  <c r="O285" i="6" s="1"/>
  <c r="D285" i="6"/>
  <c r="E285" i="6" s="1"/>
  <c r="O284" i="6"/>
  <c r="N284" i="6"/>
  <c r="D284" i="6"/>
  <c r="E284" i="6" s="1"/>
  <c r="N283" i="6"/>
  <c r="O283" i="6" s="1"/>
  <c r="E283" i="6"/>
  <c r="D283" i="6"/>
  <c r="N282" i="6"/>
  <c r="O282" i="6" s="1"/>
  <c r="E282" i="6"/>
  <c r="D282" i="6"/>
  <c r="N281" i="6"/>
  <c r="O281" i="6" s="1"/>
  <c r="D281" i="6"/>
  <c r="E281" i="6" s="1"/>
  <c r="N280" i="6"/>
  <c r="O280" i="6" s="1"/>
  <c r="J280" i="6"/>
  <c r="J295" i="6" s="1"/>
  <c r="J296" i="6" s="1"/>
  <c r="J297" i="6" s="1"/>
  <c r="I280" i="6"/>
  <c r="D280" i="6"/>
  <c r="E280" i="6" s="1"/>
  <c r="J268" i="6"/>
  <c r="J269" i="6" s="1"/>
  <c r="J270" i="6" s="1"/>
  <c r="O267" i="6"/>
  <c r="N267" i="6"/>
  <c r="O266" i="6"/>
  <c r="N266" i="6"/>
  <c r="N265" i="6"/>
  <c r="O265" i="6" s="1"/>
  <c r="N264" i="6"/>
  <c r="O264" i="6" s="1"/>
  <c r="N263" i="6"/>
  <c r="O263" i="6" s="1"/>
  <c r="N262" i="6"/>
  <c r="O262" i="6" s="1"/>
  <c r="N261" i="6"/>
  <c r="O261" i="6" s="1"/>
  <c r="N260" i="6"/>
  <c r="O260" i="6" s="1"/>
  <c r="O259" i="6"/>
  <c r="N259" i="6"/>
  <c r="O258" i="6"/>
  <c r="N258" i="6"/>
  <c r="N257" i="6"/>
  <c r="O257" i="6" s="1"/>
  <c r="N256" i="6"/>
  <c r="O256" i="6" s="1"/>
  <c r="N255" i="6"/>
  <c r="O255" i="6" s="1"/>
  <c r="N254" i="6"/>
  <c r="O254" i="6" s="1"/>
  <c r="N253" i="6"/>
  <c r="O253" i="6" s="1"/>
  <c r="J253" i="6"/>
  <c r="I253" i="6"/>
  <c r="D253" i="6"/>
  <c r="E253" i="6" s="1"/>
  <c r="O252" i="6"/>
  <c r="N252" i="6"/>
  <c r="I252" i="6"/>
  <c r="J252" i="6" s="1"/>
  <c r="D252" i="6"/>
  <c r="E252" i="6" s="1"/>
  <c r="N251" i="6"/>
  <c r="O251" i="6" s="1"/>
  <c r="J251" i="6"/>
  <c r="I251" i="6"/>
  <c r="D251" i="6"/>
  <c r="E251" i="6" s="1"/>
  <c r="O229" i="6"/>
  <c r="N229" i="6"/>
  <c r="O228" i="6"/>
  <c r="N228" i="6"/>
  <c r="D228" i="6"/>
  <c r="E228" i="6" s="1"/>
  <c r="O227" i="6"/>
  <c r="N227" i="6"/>
  <c r="D227" i="6"/>
  <c r="E227" i="6" s="1"/>
  <c r="N226" i="6"/>
  <c r="O226" i="6" s="1"/>
  <c r="I226" i="6"/>
  <c r="J226" i="6" s="1"/>
  <c r="O225" i="6"/>
  <c r="N225" i="6"/>
  <c r="I225" i="6"/>
  <c r="J225" i="6" s="1"/>
  <c r="O224" i="6"/>
  <c r="N224" i="6"/>
  <c r="O203" i="6"/>
  <c r="N203" i="6"/>
  <c r="N202" i="6"/>
  <c r="O202" i="6" s="1"/>
  <c r="N201" i="6"/>
  <c r="O201" i="6" s="1"/>
  <c r="N200" i="6"/>
  <c r="O200" i="6" s="1"/>
  <c r="N199" i="6"/>
  <c r="O199" i="6" s="1"/>
  <c r="O198" i="6"/>
  <c r="N198" i="6"/>
  <c r="N197" i="6"/>
  <c r="O197" i="6" s="1"/>
  <c r="O212" i="6" s="1"/>
  <c r="O213" i="6" s="1"/>
  <c r="O214" i="6" s="1"/>
  <c r="E178" i="6"/>
  <c r="D178" i="6"/>
  <c r="E177" i="6"/>
  <c r="D177" i="6"/>
  <c r="E176" i="6"/>
  <c r="D176" i="6"/>
  <c r="J175" i="6"/>
  <c r="I175" i="6"/>
  <c r="D175" i="6"/>
  <c r="E175" i="6" s="1"/>
  <c r="J174" i="6"/>
  <c r="I174" i="6"/>
  <c r="E174" i="6"/>
  <c r="D174" i="6"/>
  <c r="J173" i="6"/>
  <c r="I173" i="6"/>
  <c r="D173" i="6"/>
  <c r="E173" i="6" s="1"/>
  <c r="O172" i="6"/>
  <c r="N172" i="6"/>
  <c r="J172" i="6"/>
  <c r="I172" i="6"/>
  <c r="E172" i="6"/>
  <c r="D172" i="6"/>
  <c r="N171" i="6"/>
  <c r="O171" i="6" s="1"/>
  <c r="J171" i="6"/>
  <c r="I171" i="6"/>
  <c r="E171" i="6"/>
  <c r="D171" i="6"/>
  <c r="I170" i="6"/>
  <c r="J170" i="6" s="1"/>
  <c r="E170" i="6"/>
  <c r="D170" i="6"/>
  <c r="D163" i="6"/>
  <c r="C19" i="7" s="1"/>
  <c r="F19" i="7" s="1"/>
  <c r="O156" i="6"/>
  <c r="N156" i="6"/>
  <c r="N155" i="6"/>
  <c r="O155" i="6" s="1"/>
  <c r="N154" i="6"/>
  <c r="O154" i="6" s="1"/>
  <c r="O153" i="6"/>
  <c r="N153" i="6"/>
  <c r="E153" i="6"/>
  <c r="D153" i="6"/>
  <c r="N152" i="6"/>
  <c r="O152" i="6" s="1"/>
  <c r="D152" i="6"/>
  <c r="E152" i="6" s="1"/>
  <c r="O151" i="6"/>
  <c r="N151" i="6"/>
  <c r="E151" i="6"/>
  <c r="D151" i="6"/>
  <c r="N150" i="6"/>
  <c r="O150" i="6" s="1"/>
  <c r="D150" i="6"/>
  <c r="E150" i="6" s="1"/>
  <c r="O149" i="6"/>
  <c r="N149" i="6"/>
  <c r="E149" i="6"/>
  <c r="D149" i="6"/>
  <c r="N148" i="6"/>
  <c r="O148" i="6" s="1"/>
  <c r="I148" i="6"/>
  <c r="J148" i="6" s="1"/>
  <c r="E148" i="6"/>
  <c r="D148" i="6"/>
  <c r="O147" i="6"/>
  <c r="N147" i="6"/>
  <c r="D147" i="6"/>
  <c r="E147" i="6" s="1"/>
  <c r="O146" i="6"/>
  <c r="N146" i="6"/>
  <c r="J146" i="6"/>
  <c r="I146" i="6"/>
  <c r="D146" i="6"/>
  <c r="E146" i="6" s="1"/>
  <c r="N145" i="6"/>
  <c r="O145" i="6" s="1"/>
  <c r="J145" i="6"/>
  <c r="I145" i="6"/>
  <c r="E145" i="6"/>
  <c r="D145" i="6"/>
  <c r="N144" i="6"/>
  <c r="O144" i="6" s="1"/>
  <c r="I144" i="6"/>
  <c r="J144" i="6" s="1"/>
  <c r="E144" i="6"/>
  <c r="D144" i="6"/>
  <c r="O143" i="6"/>
  <c r="N143" i="6"/>
  <c r="D143" i="6"/>
  <c r="E143" i="6" s="1"/>
  <c r="N136" i="6"/>
  <c r="C18" i="7" s="1"/>
  <c r="F18" i="7" s="1"/>
  <c r="I136" i="6"/>
  <c r="C17" i="7" s="1"/>
  <c r="F17" i="7" s="1"/>
  <c r="D136" i="6"/>
  <c r="C16" i="7" s="1"/>
  <c r="F16" i="7" s="1"/>
  <c r="E129" i="6"/>
  <c r="D129" i="6"/>
  <c r="D128" i="6"/>
  <c r="E128" i="6" s="1"/>
  <c r="N127" i="6"/>
  <c r="O127" i="6" s="1"/>
  <c r="E127" i="6"/>
  <c r="D127" i="6"/>
  <c r="O126" i="6"/>
  <c r="N126" i="6"/>
  <c r="E126" i="6"/>
  <c r="D126" i="6"/>
  <c r="N125" i="6"/>
  <c r="O125" i="6" s="1"/>
  <c r="D125" i="6"/>
  <c r="E125" i="6" s="1"/>
  <c r="N124" i="6"/>
  <c r="O124" i="6" s="1"/>
  <c r="D124" i="6"/>
  <c r="E124" i="6" s="1"/>
  <c r="N123" i="6"/>
  <c r="O123" i="6" s="1"/>
  <c r="E123" i="6"/>
  <c r="D123" i="6"/>
  <c r="O122" i="6"/>
  <c r="N122" i="6"/>
  <c r="E122" i="6"/>
  <c r="D122" i="6"/>
  <c r="N121" i="6"/>
  <c r="O121" i="6" s="1"/>
  <c r="D121" i="6"/>
  <c r="E121" i="6" s="1"/>
  <c r="N120" i="6"/>
  <c r="O120" i="6" s="1"/>
  <c r="I120" i="6"/>
  <c r="J120" i="6" s="1"/>
  <c r="E120" i="6"/>
  <c r="D120" i="6"/>
  <c r="O119" i="6"/>
  <c r="N119" i="6"/>
  <c r="J119" i="6"/>
  <c r="I119" i="6"/>
  <c r="D119" i="6"/>
  <c r="E119" i="6" s="1"/>
  <c r="O118" i="6"/>
  <c r="N118" i="6"/>
  <c r="I118" i="6"/>
  <c r="J118" i="6" s="1"/>
  <c r="D118" i="6"/>
  <c r="E118" i="6" s="1"/>
  <c r="N117" i="6"/>
  <c r="O117" i="6" s="1"/>
  <c r="I117" i="6"/>
  <c r="J117" i="6" s="1"/>
  <c r="E117" i="6"/>
  <c r="D117" i="6"/>
  <c r="O116" i="6"/>
  <c r="N116" i="6"/>
  <c r="I116" i="6"/>
  <c r="J116" i="6" s="1"/>
  <c r="D116" i="6"/>
  <c r="E116" i="6" s="1"/>
  <c r="N115" i="6"/>
  <c r="O115" i="6" s="1"/>
  <c r="O131" i="6" s="1"/>
  <c r="O132" i="6" s="1"/>
  <c r="O133" i="6" s="1"/>
  <c r="I115" i="6"/>
  <c r="J115" i="6" s="1"/>
  <c r="D115" i="6"/>
  <c r="E115" i="6" s="1"/>
  <c r="O114" i="6"/>
  <c r="N114" i="6"/>
  <c r="E114" i="6"/>
  <c r="D114" i="6"/>
  <c r="N98" i="6"/>
  <c r="O98" i="6" s="1"/>
  <c r="I98" i="6"/>
  <c r="J98" i="6" s="1"/>
  <c r="N97" i="6"/>
  <c r="O97" i="6" s="1"/>
  <c r="I97" i="6"/>
  <c r="J97" i="6" s="1"/>
  <c r="O96" i="6"/>
  <c r="N96" i="6"/>
  <c r="J96" i="6"/>
  <c r="I96" i="6"/>
  <c r="O95" i="6"/>
  <c r="N95" i="6"/>
  <c r="I95" i="6"/>
  <c r="J95" i="6" s="1"/>
  <c r="O94" i="6"/>
  <c r="N94" i="6"/>
  <c r="I94" i="6"/>
  <c r="J94" i="6" s="1"/>
  <c r="N93" i="6"/>
  <c r="O93" i="6" s="1"/>
  <c r="I93" i="6"/>
  <c r="J93" i="6" s="1"/>
  <c r="N92" i="6"/>
  <c r="O92" i="6" s="1"/>
  <c r="J92" i="6"/>
  <c r="I92" i="6"/>
  <c r="O91" i="6"/>
  <c r="N91" i="6"/>
  <c r="I91" i="6"/>
  <c r="J91" i="6" s="1"/>
  <c r="N90" i="6"/>
  <c r="O90" i="6" s="1"/>
  <c r="O102" i="6" s="1"/>
  <c r="O103" i="6" s="1"/>
  <c r="O104" i="6" s="1"/>
  <c r="I90" i="6"/>
  <c r="J90" i="6" s="1"/>
  <c r="D90" i="6"/>
  <c r="E90" i="6" s="1"/>
  <c r="N89" i="6"/>
  <c r="O89" i="6" s="1"/>
  <c r="J89" i="6"/>
  <c r="I89" i="6"/>
  <c r="D89" i="6"/>
  <c r="E89" i="6" s="1"/>
  <c r="O88" i="6"/>
  <c r="N88" i="6"/>
  <c r="I88" i="6"/>
  <c r="J88" i="6" s="1"/>
  <c r="D88" i="6"/>
  <c r="E88" i="6" s="1"/>
  <c r="N87" i="6"/>
  <c r="O87" i="6" s="1"/>
  <c r="I87" i="6"/>
  <c r="J87" i="6" s="1"/>
  <c r="E73" i="6"/>
  <c r="D73" i="6"/>
  <c r="E72" i="6"/>
  <c r="D72" i="6"/>
  <c r="D71" i="6"/>
  <c r="E71" i="6" s="1"/>
  <c r="N70" i="6"/>
  <c r="O70" i="6" s="1"/>
  <c r="D70" i="6"/>
  <c r="E70" i="6" s="1"/>
  <c r="N69" i="6"/>
  <c r="O69" i="6" s="1"/>
  <c r="D69" i="6"/>
  <c r="E69" i="6" s="1"/>
  <c r="O68" i="6"/>
  <c r="N68" i="6"/>
  <c r="J68" i="6"/>
  <c r="I68" i="6"/>
  <c r="E68" i="6"/>
  <c r="D68" i="6"/>
  <c r="N67" i="6"/>
  <c r="O67" i="6" s="1"/>
  <c r="I67" i="6"/>
  <c r="J67" i="6" s="1"/>
  <c r="E67" i="6"/>
  <c r="D67" i="6"/>
  <c r="N66" i="6"/>
  <c r="O66" i="6" s="1"/>
  <c r="I66" i="6"/>
  <c r="J66" i="6" s="1"/>
  <c r="E66" i="6"/>
  <c r="D66" i="6"/>
  <c r="O65" i="6"/>
  <c r="N65" i="6"/>
  <c r="J65" i="6"/>
  <c r="I65" i="6"/>
  <c r="D65" i="6"/>
  <c r="E65" i="6" s="1"/>
  <c r="N64" i="6"/>
  <c r="O64" i="6" s="1"/>
  <c r="I64" i="6"/>
  <c r="J64" i="6" s="1"/>
  <c r="D64" i="6"/>
  <c r="E64" i="6" s="1"/>
  <c r="N63" i="6"/>
  <c r="O63" i="6" s="1"/>
  <c r="J63" i="6"/>
  <c r="I63" i="6"/>
  <c r="E63" i="6"/>
  <c r="D63" i="6"/>
  <c r="O62" i="6"/>
  <c r="N62" i="6"/>
  <c r="I62" i="6"/>
  <c r="J62" i="6" s="1"/>
  <c r="D62" i="6"/>
  <c r="E62" i="6" s="1"/>
  <c r="N61" i="6"/>
  <c r="O61" i="6" s="1"/>
  <c r="I61" i="6"/>
  <c r="J61" i="6" s="1"/>
  <c r="D61" i="6"/>
  <c r="E61" i="6" s="1"/>
  <c r="O60" i="6"/>
  <c r="N60" i="6"/>
  <c r="J60" i="6"/>
  <c r="I60" i="6"/>
  <c r="E60" i="6"/>
  <c r="D60" i="6"/>
  <c r="N59" i="6"/>
  <c r="O59" i="6" s="1"/>
  <c r="I59" i="6"/>
  <c r="J59" i="6" s="1"/>
  <c r="D59" i="6"/>
  <c r="E59" i="6" s="1"/>
  <c r="N58" i="6"/>
  <c r="O58" i="6" s="1"/>
  <c r="I58" i="6"/>
  <c r="J58" i="6" s="1"/>
  <c r="D58" i="6"/>
  <c r="E58" i="6" s="1"/>
  <c r="N51" i="6"/>
  <c r="C9" i="7" s="1"/>
  <c r="F9" i="7" s="1"/>
  <c r="Q50" i="6"/>
  <c r="I39" i="6"/>
  <c r="J39" i="6" s="1"/>
  <c r="I38" i="6"/>
  <c r="J38" i="6" s="1"/>
  <c r="I37" i="6"/>
  <c r="J37" i="6" s="1"/>
  <c r="E37" i="6"/>
  <c r="D37" i="6"/>
  <c r="I36" i="6"/>
  <c r="J36" i="6" s="1"/>
  <c r="E36" i="6"/>
  <c r="D36" i="6"/>
  <c r="O35" i="6"/>
  <c r="N35" i="6"/>
  <c r="I35" i="6"/>
  <c r="J35" i="6" s="1"/>
  <c r="D35" i="6"/>
  <c r="E35" i="6" s="1"/>
  <c r="N34" i="6"/>
  <c r="O34" i="6" s="1"/>
  <c r="I34" i="6"/>
  <c r="J34" i="6" s="1"/>
  <c r="D34" i="6"/>
  <c r="E34" i="6" s="1"/>
  <c r="N33" i="6"/>
  <c r="O33" i="6" s="1"/>
  <c r="J33" i="6"/>
  <c r="I33" i="6"/>
  <c r="E33" i="6"/>
  <c r="D33" i="6"/>
  <c r="O32" i="6"/>
  <c r="N32" i="6"/>
  <c r="I32" i="6"/>
  <c r="J32" i="6" s="1"/>
  <c r="J46" i="6" s="1"/>
  <c r="J47" i="6" s="1"/>
  <c r="J48" i="6" s="1"/>
  <c r="D32" i="6"/>
  <c r="E32" i="6" s="1"/>
  <c r="N31" i="6"/>
  <c r="O31" i="6" s="1"/>
  <c r="I31" i="6"/>
  <c r="J31" i="6" s="1"/>
  <c r="D31" i="6"/>
  <c r="E31" i="6" s="1"/>
  <c r="D16" i="6"/>
  <c r="E16" i="6" s="1"/>
  <c r="E15" i="6"/>
  <c r="D15" i="6"/>
  <c r="E14" i="6"/>
  <c r="D14" i="6"/>
  <c r="D13" i="6"/>
  <c r="E13" i="6" s="1"/>
  <c r="N12" i="6"/>
  <c r="O12" i="6" s="1"/>
  <c r="J12" i="6"/>
  <c r="I12" i="6"/>
  <c r="E12" i="6"/>
  <c r="D12" i="6"/>
  <c r="N11" i="6"/>
  <c r="O11" i="6" s="1"/>
  <c r="I11" i="6"/>
  <c r="J11" i="6" s="1"/>
  <c r="E11" i="6"/>
  <c r="D11" i="6"/>
  <c r="O10" i="6"/>
  <c r="N10" i="6"/>
  <c r="I10" i="6"/>
  <c r="J10" i="6" s="1"/>
  <c r="D10" i="6"/>
  <c r="E10" i="6" s="1"/>
  <c r="O9" i="6"/>
  <c r="N9" i="6"/>
  <c r="J9" i="6"/>
  <c r="I9" i="6"/>
  <c r="D9" i="6"/>
  <c r="E9" i="6" s="1"/>
  <c r="N8" i="6"/>
  <c r="O8" i="6" s="1"/>
  <c r="J8" i="6"/>
  <c r="I8" i="6"/>
  <c r="E8" i="6"/>
  <c r="D8" i="6"/>
  <c r="N7" i="6"/>
  <c r="O7" i="6" s="1"/>
  <c r="I7" i="6"/>
  <c r="J7" i="6" s="1"/>
  <c r="E7" i="6"/>
  <c r="D7" i="6"/>
  <c r="O6" i="6"/>
  <c r="N6" i="6"/>
  <c r="I6" i="6"/>
  <c r="J6" i="6" s="1"/>
  <c r="D6" i="6"/>
  <c r="E6" i="6" s="1"/>
  <c r="O5" i="6"/>
  <c r="N5" i="6"/>
  <c r="J5" i="6"/>
  <c r="I5" i="6"/>
  <c r="D5" i="6"/>
  <c r="E5" i="6" s="1"/>
  <c r="N4" i="6"/>
  <c r="O4" i="6" s="1"/>
  <c r="J4" i="6"/>
  <c r="I4" i="6"/>
  <c r="E4" i="6"/>
  <c r="D4" i="6"/>
  <c r="E316" i="5"/>
  <c r="E317" i="5" s="1"/>
  <c r="D432" i="8" s="1"/>
  <c r="B432" i="8" s="1"/>
  <c r="N810" i="6" s="1"/>
  <c r="O810" i="6" s="1"/>
  <c r="O825" i="6" s="1"/>
  <c r="O826" i="6" s="1"/>
  <c r="O827" i="6" s="1"/>
  <c r="O312" i="5"/>
  <c r="O313" i="5" s="1"/>
  <c r="S310" i="5"/>
  <c r="T310" i="5" s="1"/>
  <c r="N310" i="5"/>
  <c r="O310" i="5" s="1"/>
  <c r="J310" i="5"/>
  <c r="I310" i="5"/>
  <c r="T309" i="5"/>
  <c r="S309" i="5"/>
  <c r="N309" i="5"/>
  <c r="O309" i="5" s="1"/>
  <c r="I309" i="5"/>
  <c r="J309" i="5" s="1"/>
  <c r="S308" i="5"/>
  <c r="T308" i="5" s="1"/>
  <c r="T312" i="5" s="1"/>
  <c r="T313" i="5" s="1"/>
  <c r="O308" i="5"/>
  <c r="N308" i="5"/>
  <c r="I308" i="5"/>
  <c r="J308" i="5" s="1"/>
  <c r="J312" i="5" s="1"/>
  <c r="J313" i="5" s="1"/>
  <c r="S295" i="5"/>
  <c r="T295" i="5" s="1"/>
  <c r="S294" i="5"/>
  <c r="T294" i="5" s="1"/>
  <c r="O294" i="5"/>
  <c r="N294" i="5"/>
  <c r="E294" i="5"/>
  <c r="D294" i="5"/>
  <c r="T293" i="5"/>
  <c r="S293" i="5"/>
  <c r="N293" i="5"/>
  <c r="O293" i="5" s="1"/>
  <c r="E293" i="5"/>
  <c r="D293" i="5"/>
  <c r="S292" i="5"/>
  <c r="T292" i="5" s="1"/>
  <c r="N292" i="5"/>
  <c r="O292" i="5" s="1"/>
  <c r="E292" i="5"/>
  <c r="D292" i="5"/>
  <c r="T291" i="5"/>
  <c r="S291" i="5"/>
  <c r="N291" i="5"/>
  <c r="O291" i="5" s="1"/>
  <c r="I291" i="5"/>
  <c r="J291" i="5" s="1"/>
  <c r="E291" i="5"/>
  <c r="E296" i="5" s="1"/>
  <c r="E297" i="5" s="1"/>
  <c r="D291" i="5"/>
  <c r="T290" i="5"/>
  <c r="S290" i="5"/>
  <c r="N290" i="5"/>
  <c r="O290" i="5" s="1"/>
  <c r="I290" i="5"/>
  <c r="J290" i="5" s="1"/>
  <c r="E290" i="5"/>
  <c r="D290" i="5"/>
  <c r="T289" i="5"/>
  <c r="T297" i="5" s="1"/>
  <c r="T298" i="5" s="1"/>
  <c r="D429" i="8" s="1"/>
  <c r="B429" i="8" s="1"/>
  <c r="D810" i="6" s="1"/>
  <c r="E810" i="6" s="1"/>
  <c r="E825" i="6" s="1"/>
  <c r="E826" i="6" s="1"/>
  <c r="E827" i="6" s="1"/>
  <c r="S289" i="5"/>
  <c r="N289" i="5"/>
  <c r="O289" i="5" s="1"/>
  <c r="I289" i="5"/>
  <c r="J289" i="5" s="1"/>
  <c r="J293" i="5" s="1"/>
  <c r="J294" i="5" s="1"/>
  <c r="E289" i="5"/>
  <c r="D289" i="5"/>
  <c r="D281" i="5"/>
  <c r="E281" i="5" s="1"/>
  <c r="D280" i="5"/>
  <c r="E280" i="5" s="1"/>
  <c r="E279" i="5"/>
  <c r="D279" i="5"/>
  <c r="E278" i="5"/>
  <c r="D278" i="5"/>
  <c r="E277" i="5"/>
  <c r="D277" i="5"/>
  <c r="E276" i="5"/>
  <c r="D276" i="5"/>
  <c r="E275" i="5"/>
  <c r="D275" i="5"/>
  <c r="E274" i="5"/>
  <c r="D274" i="5"/>
  <c r="N273" i="5"/>
  <c r="O273" i="5" s="1"/>
  <c r="I273" i="5"/>
  <c r="J273" i="5" s="1"/>
  <c r="E273" i="5"/>
  <c r="D273" i="5"/>
  <c r="S272" i="5"/>
  <c r="T272" i="5" s="1"/>
  <c r="N272" i="5"/>
  <c r="O272" i="5" s="1"/>
  <c r="I272" i="5"/>
  <c r="J272" i="5" s="1"/>
  <c r="E272" i="5"/>
  <c r="D272" i="5"/>
  <c r="T271" i="5"/>
  <c r="S271" i="5"/>
  <c r="N271" i="5"/>
  <c r="O271" i="5" s="1"/>
  <c r="I271" i="5"/>
  <c r="J271" i="5" s="1"/>
  <c r="E271" i="5"/>
  <c r="D271" i="5"/>
  <c r="T270" i="5"/>
  <c r="S270" i="5"/>
  <c r="N270" i="5"/>
  <c r="O270" i="5" s="1"/>
  <c r="I270" i="5"/>
  <c r="J270" i="5" s="1"/>
  <c r="D270" i="5"/>
  <c r="E270" i="5" s="1"/>
  <c r="S259" i="5"/>
  <c r="T259" i="5" s="1"/>
  <c r="T258" i="5"/>
  <c r="S258" i="5"/>
  <c r="N258" i="5"/>
  <c r="O258" i="5" s="1"/>
  <c r="S257" i="5"/>
  <c r="T257" i="5" s="1"/>
  <c r="N257" i="5"/>
  <c r="O257" i="5" s="1"/>
  <c r="D257" i="5"/>
  <c r="E257" i="5" s="1"/>
  <c r="S256" i="5"/>
  <c r="T256" i="5" s="1"/>
  <c r="O256" i="5"/>
  <c r="N256" i="5"/>
  <c r="E256" i="5"/>
  <c r="D256" i="5"/>
  <c r="S255" i="5"/>
  <c r="T255" i="5" s="1"/>
  <c r="N255" i="5"/>
  <c r="O255" i="5" s="1"/>
  <c r="J255" i="5"/>
  <c r="I255" i="5"/>
  <c r="E255" i="5"/>
  <c r="D255" i="5"/>
  <c r="S254" i="5"/>
  <c r="T254" i="5" s="1"/>
  <c r="N254" i="5"/>
  <c r="O254" i="5" s="1"/>
  <c r="J254" i="5"/>
  <c r="I254" i="5"/>
  <c r="E254" i="5"/>
  <c r="D254" i="5"/>
  <c r="S253" i="5"/>
  <c r="T253" i="5" s="1"/>
  <c r="N253" i="5"/>
  <c r="O253" i="5" s="1"/>
  <c r="I253" i="5"/>
  <c r="J253" i="5" s="1"/>
  <c r="E253" i="5"/>
  <c r="D253" i="5"/>
  <c r="S252" i="5"/>
  <c r="T252" i="5" s="1"/>
  <c r="N252" i="5"/>
  <c r="O252" i="5" s="1"/>
  <c r="O260" i="5" s="1"/>
  <c r="O261" i="5" s="1"/>
  <c r="D469" i="8" s="1"/>
  <c r="B469" i="8" s="1"/>
  <c r="X114" i="1" s="1"/>
  <c r="Y114" i="1" s="1"/>
  <c r="J252" i="5"/>
  <c r="I252" i="5"/>
  <c r="D252" i="5"/>
  <c r="E252" i="5" s="1"/>
  <c r="S251" i="5"/>
  <c r="T251" i="5" s="1"/>
  <c r="N251" i="5"/>
  <c r="O251" i="5" s="1"/>
  <c r="I251" i="5"/>
  <c r="J251" i="5" s="1"/>
  <c r="J257" i="5" s="1"/>
  <c r="J258" i="5" s="1"/>
  <c r="D150" i="8" s="1"/>
  <c r="B150" i="8" s="1"/>
  <c r="E251" i="5"/>
  <c r="D251" i="5"/>
  <c r="T241" i="5"/>
  <c r="S241" i="5"/>
  <c r="T240" i="5"/>
  <c r="S240" i="5"/>
  <c r="T239" i="5"/>
  <c r="S239" i="5"/>
  <c r="O239" i="5"/>
  <c r="N239" i="5"/>
  <c r="S238" i="5"/>
  <c r="T238" i="5" s="1"/>
  <c r="N238" i="5"/>
  <c r="O238" i="5" s="1"/>
  <c r="S237" i="5"/>
  <c r="T237" i="5" s="1"/>
  <c r="O237" i="5"/>
  <c r="N237" i="5"/>
  <c r="T236" i="5"/>
  <c r="S236" i="5"/>
  <c r="O236" i="5"/>
  <c r="N236" i="5"/>
  <c r="I236" i="5"/>
  <c r="J236" i="5" s="1"/>
  <c r="T235" i="5"/>
  <c r="S235" i="5"/>
  <c r="N235" i="5"/>
  <c r="O235" i="5" s="1"/>
  <c r="I235" i="5"/>
  <c r="J235" i="5" s="1"/>
  <c r="E235" i="5"/>
  <c r="E236" i="5" s="1"/>
  <c r="D495" i="8" s="1"/>
  <c r="B495" i="8" s="1"/>
  <c r="D226" i="6" s="1"/>
  <c r="E226" i="6" s="1"/>
  <c r="S234" i="5"/>
  <c r="T234" i="5" s="1"/>
  <c r="O234" i="5"/>
  <c r="N234" i="5"/>
  <c r="J234" i="5"/>
  <c r="I234" i="5"/>
  <c r="T233" i="5"/>
  <c r="S233" i="5"/>
  <c r="N233" i="5"/>
  <c r="O233" i="5" s="1"/>
  <c r="O241" i="5" s="1"/>
  <c r="O242" i="5" s="1"/>
  <c r="J233" i="5"/>
  <c r="I233" i="5"/>
  <c r="E233" i="5"/>
  <c r="D233" i="5"/>
  <c r="S232" i="5"/>
  <c r="T232" i="5" s="1"/>
  <c r="N232" i="5"/>
  <c r="O232" i="5" s="1"/>
  <c r="J232" i="5"/>
  <c r="I232" i="5"/>
  <c r="E232" i="5"/>
  <c r="D232" i="5"/>
  <c r="N220" i="5"/>
  <c r="O220" i="5" s="1"/>
  <c r="O219" i="5"/>
  <c r="N219" i="5"/>
  <c r="N218" i="5"/>
  <c r="O218" i="5" s="1"/>
  <c r="O217" i="5"/>
  <c r="N217" i="5"/>
  <c r="N216" i="5"/>
  <c r="O216" i="5" s="1"/>
  <c r="T215" i="5"/>
  <c r="S215" i="5"/>
  <c r="O215" i="5"/>
  <c r="N215" i="5"/>
  <c r="J215" i="5"/>
  <c r="I215" i="5"/>
  <c r="D215" i="5"/>
  <c r="E215" i="5" s="1"/>
  <c r="S214" i="5"/>
  <c r="T214" i="5" s="1"/>
  <c r="O214" i="5"/>
  <c r="N214" i="5"/>
  <c r="J214" i="5"/>
  <c r="I214" i="5"/>
  <c r="D214" i="5"/>
  <c r="E214" i="5" s="1"/>
  <c r="T213" i="5"/>
  <c r="T217" i="5" s="1"/>
  <c r="T218" i="5" s="1"/>
  <c r="D494" i="8" s="1"/>
  <c r="B494" i="8" s="1"/>
  <c r="D225" i="6" s="1"/>
  <c r="E225" i="6" s="1"/>
  <c r="S213" i="5"/>
  <c r="O213" i="5"/>
  <c r="N213" i="5"/>
  <c r="J213" i="5"/>
  <c r="J217" i="5" s="1"/>
  <c r="D492" i="8" s="1"/>
  <c r="B492" i="8" s="1"/>
  <c r="I213" i="5"/>
  <c r="D213" i="5"/>
  <c r="E213" i="5" s="1"/>
  <c r="E217" i="5" s="1"/>
  <c r="O200" i="5"/>
  <c r="N200" i="5"/>
  <c r="O199" i="5"/>
  <c r="N199" i="5"/>
  <c r="N198" i="5"/>
  <c r="O198" i="5" s="1"/>
  <c r="J198" i="5"/>
  <c r="I198" i="5"/>
  <c r="T197" i="5"/>
  <c r="S197" i="5"/>
  <c r="O197" i="5"/>
  <c r="N197" i="5"/>
  <c r="D197" i="5"/>
  <c r="E197" i="5" s="1"/>
  <c r="T196" i="5"/>
  <c r="S196" i="5"/>
  <c r="O196" i="5"/>
  <c r="N196" i="5"/>
  <c r="J196" i="5"/>
  <c r="I196" i="5"/>
  <c r="D196" i="5"/>
  <c r="E196" i="5" s="1"/>
  <c r="T195" i="5"/>
  <c r="S195" i="5"/>
  <c r="O195" i="5"/>
  <c r="N195" i="5"/>
  <c r="J195" i="5"/>
  <c r="I195" i="5"/>
  <c r="D195" i="5"/>
  <c r="E195" i="5" s="1"/>
  <c r="T194" i="5"/>
  <c r="S194" i="5"/>
  <c r="O194" i="5"/>
  <c r="N194" i="5"/>
  <c r="J194" i="5"/>
  <c r="I194" i="5"/>
  <c r="D194" i="5"/>
  <c r="E194" i="5" s="1"/>
  <c r="J181" i="5"/>
  <c r="I181" i="5"/>
  <c r="T180" i="5"/>
  <c r="S180" i="5"/>
  <c r="O180" i="5"/>
  <c r="N180" i="5"/>
  <c r="J180" i="5"/>
  <c r="I180" i="5"/>
  <c r="T179" i="5"/>
  <c r="S179" i="5"/>
  <c r="O179" i="5"/>
  <c r="N179" i="5"/>
  <c r="J179" i="5"/>
  <c r="I179" i="5"/>
  <c r="T178" i="5"/>
  <c r="S178" i="5"/>
  <c r="O178" i="5"/>
  <c r="N178" i="5"/>
  <c r="J178" i="5"/>
  <c r="I178" i="5"/>
  <c r="S177" i="5"/>
  <c r="T177" i="5" s="1"/>
  <c r="N177" i="5"/>
  <c r="O177" i="5" s="1"/>
  <c r="J177" i="5"/>
  <c r="I177" i="5"/>
  <c r="S176" i="5"/>
  <c r="T176" i="5" s="1"/>
  <c r="N176" i="5"/>
  <c r="O176" i="5" s="1"/>
  <c r="I176" i="5"/>
  <c r="J176" i="5" s="1"/>
  <c r="D176" i="5"/>
  <c r="E176" i="5" s="1"/>
  <c r="E178" i="5" s="1"/>
  <c r="D498" i="8" s="1"/>
  <c r="B498" i="8" s="1"/>
  <c r="S175" i="5"/>
  <c r="T175" i="5" s="1"/>
  <c r="N175" i="5"/>
  <c r="O175" i="5" s="1"/>
  <c r="I175" i="5"/>
  <c r="J175" i="5" s="1"/>
  <c r="D175" i="5"/>
  <c r="E175" i="5" s="1"/>
  <c r="O161" i="5"/>
  <c r="N161" i="5"/>
  <c r="O160" i="5"/>
  <c r="N160" i="5"/>
  <c r="T159" i="5"/>
  <c r="S159" i="5"/>
  <c r="O159" i="5"/>
  <c r="N159" i="5"/>
  <c r="S158" i="5"/>
  <c r="T158" i="5" s="1"/>
  <c r="N158" i="5"/>
  <c r="O158" i="5" s="1"/>
  <c r="S157" i="5"/>
  <c r="T157" i="5" s="1"/>
  <c r="N157" i="5"/>
  <c r="O157" i="5" s="1"/>
  <c r="I157" i="5"/>
  <c r="J157" i="5" s="1"/>
  <c r="S156" i="5"/>
  <c r="T156" i="5" s="1"/>
  <c r="N156" i="5"/>
  <c r="O156" i="5" s="1"/>
  <c r="I156" i="5"/>
  <c r="J156" i="5" s="1"/>
  <c r="J159" i="5" s="1"/>
  <c r="D478" i="8" s="1"/>
  <c r="B478" i="8" s="1"/>
  <c r="D138" i="3" s="1"/>
  <c r="D156" i="5"/>
  <c r="E156" i="5" s="1"/>
  <c r="D477" i="8" s="1"/>
  <c r="B477" i="8" s="1"/>
  <c r="T143" i="5"/>
  <c r="S143" i="5"/>
  <c r="T142" i="5"/>
  <c r="S142" i="5"/>
  <c r="T141" i="5"/>
  <c r="S141" i="5"/>
  <c r="T140" i="5"/>
  <c r="S140" i="5"/>
  <c r="O140" i="5"/>
  <c r="D466" i="8" s="1"/>
  <c r="B466" i="8" s="1"/>
  <c r="I141" i="3" s="1"/>
  <c r="J141" i="3" s="1"/>
  <c r="T139" i="5"/>
  <c r="S139" i="5"/>
  <c r="T138" i="5"/>
  <c r="S138" i="5"/>
  <c r="O138" i="5"/>
  <c r="N138" i="5"/>
  <c r="I138" i="5"/>
  <c r="J138" i="5" s="1"/>
  <c r="D138" i="5"/>
  <c r="E138" i="5" s="1"/>
  <c r="T137" i="5"/>
  <c r="S137" i="5"/>
  <c r="O137" i="5"/>
  <c r="N137" i="5"/>
  <c r="I137" i="5"/>
  <c r="J137" i="5" s="1"/>
  <c r="J139" i="5" s="1"/>
  <c r="D465" i="8" s="1"/>
  <c r="B465" i="8" s="1"/>
  <c r="D137" i="5"/>
  <c r="E137" i="5" s="1"/>
  <c r="E140" i="5" s="1"/>
  <c r="D464" i="8" s="1"/>
  <c r="B464" i="8" s="1"/>
  <c r="J127" i="5"/>
  <c r="J128" i="5" s="1"/>
  <c r="D463" i="8" s="1"/>
  <c r="B463" i="8" s="1"/>
  <c r="I114" i="6" s="1"/>
  <c r="J114" i="6" s="1"/>
  <c r="D127" i="5"/>
  <c r="E127" i="5" s="1"/>
  <c r="D126" i="5"/>
  <c r="E126" i="5" s="1"/>
  <c r="J125" i="5"/>
  <c r="I125" i="5"/>
  <c r="E125" i="5"/>
  <c r="D125" i="5"/>
  <c r="I124" i="5"/>
  <c r="J124" i="5" s="1"/>
  <c r="D124" i="5"/>
  <c r="E124" i="5" s="1"/>
  <c r="I123" i="5"/>
  <c r="J123" i="5" s="1"/>
  <c r="E123" i="5"/>
  <c r="D123" i="5"/>
  <c r="I122" i="5"/>
  <c r="J122" i="5" s="1"/>
  <c r="E122" i="5"/>
  <c r="D122" i="5"/>
  <c r="J121" i="5"/>
  <c r="I121" i="5"/>
  <c r="E121" i="5"/>
  <c r="D121" i="5"/>
  <c r="O120" i="5"/>
  <c r="N120" i="5"/>
  <c r="J120" i="5"/>
  <c r="I120" i="5"/>
  <c r="E120" i="5"/>
  <c r="D120" i="5"/>
  <c r="T119" i="5"/>
  <c r="S119" i="5"/>
  <c r="O119" i="5"/>
  <c r="N119" i="5"/>
  <c r="J119" i="5"/>
  <c r="I119" i="5"/>
  <c r="E119" i="5"/>
  <c r="D119" i="5"/>
  <c r="T118" i="5"/>
  <c r="T121" i="5" s="1"/>
  <c r="D467" i="8" s="1"/>
  <c r="B467" i="8" s="1"/>
  <c r="S118" i="5"/>
  <c r="O118" i="5"/>
  <c r="O122" i="5" s="1"/>
  <c r="O123" i="5" s="1"/>
  <c r="D419" i="8" s="1"/>
  <c r="B419" i="8" s="1"/>
  <c r="N118" i="5"/>
  <c r="J118" i="5"/>
  <c r="I118" i="5"/>
  <c r="E118" i="5"/>
  <c r="D118" i="5"/>
  <c r="E105" i="5"/>
  <c r="D105" i="5"/>
  <c r="D104" i="5"/>
  <c r="E104" i="5" s="1"/>
  <c r="E103" i="5"/>
  <c r="D103" i="5"/>
  <c r="S102" i="5"/>
  <c r="T102" i="5" s="1"/>
  <c r="O102" i="5"/>
  <c r="O103" i="5" s="1"/>
  <c r="D102" i="5"/>
  <c r="E102" i="5" s="1"/>
  <c r="T101" i="5"/>
  <c r="S101" i="5"/>
  <c r="N101" i="5"/>
  <c r="O101" i="5" s="1"/>
  <c r="E101" i="5"/>
  <c r="D101" i="5"/>
  <c r="S100" i="5"/>
  <c r="T100" i="5" s="1"/>
  <c r="O100" i="5"/>
  <c r="N100" i="5"/>
  <c r="I100" i="5"/>
  <c r="J100" i="5" s="1"/>
  <c r="E100" i="5"/>
  <c r="D100" i="5"/>
  <c r="S99" i="5"/>
  <c r="T99" i="5" s="1"/>
  <c r="O99" i="5"/>
  <c r="N99" i="5"/>
  <c r="I99" i="5"/>
  <c r="J99" i="5" s="1"/>
  <c r="E99" i="5"/>
  <c r="E107" i="5" s="1"/>
  <c r="D99" i="5"/>
  <c r="S85" i="5"/>
  <c r="T85" i="5" s="1"/>
  <c r="T84" i="5"/>
  <c r="S84" i="5"/>
  <c r="J84" i="5"/>
  <c r="I84" i="5"/>
  <c r="T83" i="5"/>
  <c r="S83" i="5"/>
  <c r="I83" i="5"/>
  <c r="J83" i="5" s="1"/>
  <c r="E83" i="5"/>
  <c r="D83" i="5"/>
  <c r="T82" i="5"/>
  <c r="S82" i="5"/>
  <c r="O82" i="5"/>
  <c r="N82" i="5"/>
  <c r="I82" i="5"/>
  <c r="J82" i="5" s="1"/>
  <c r="E82" i="5"/>
  <c r="D82" i="5"/>
  <c r="T81" i="5"/>
  <c r="S81" i="5"/>
  <c r="O81" i="5"/>
  <c r="N81" i="5"/>
  <c r="I81" i="5"/>
  <c r="J81" i="5" s="1"/>
  <c r="E81" i="5"/>
  <c r="D81" i="5"/>
  <c r="T80" i="5"/>
  <c r="T87" i="5" s="1"/>
  <c r="T88" i="5" s="1"/>
  <c r="D468" i="8" s="1"/>
  <c r="B468" i="8" s="1"/>
  <c r="S80" i="5"/>
  <c r="O80" i="5"/>
  <c r="O84" i="5" s="1"/>
  <c r="O85" i="5" s="1"/>
  <c r="D423" i="8" s="1"/>
  <c r="B423" i="8" s="1"/>
  <c r="N80" i="5"/>
  <c r="I80" i="5"/>
  <c r="J80" i="5" s="1"/>
  <c r="E80" i="5"/>
  <c r="E85" i="5" s="1"/>
  <c r="E86" i="5" s="1"/>
  <c r="D448" i="8" s="1"/>
  <c r="B448" i="8" s="1"/>
  <c r="D80" i="5"/>
  <c r="J67" i="5"/>
  <c r="I67" i="5"/>
  <c r="T66" i="5"/>
  <c r="S66" i="5"/>
  <c r="J66" i="5"/>
  <c r="I66" i="5"/>
  <c r="E66" i="5"/>
  <c r="D66" i="5"/>
  <c r="T65" i="5"/>
  <c r="S65" i="5"/>
  <c r="O65" i="5"/>
  <c r="N65" i="5"/>
  <c r="J65" i="5"/>
  <c r="I65" i="5"/>
  <c r="E65" i="5"/>
  <c r="D65" i="5"/>
  <c r="T64" i="5"/>
  <c r="S64" i="5"/>
  <c r="O64" i="5"/>
  <c r="N64" i="5"/>
  <c r="J64" i="5"/>
  <c r="I64" i="5"/>
  <c r="E64" i="5"/>
  <c r="D64" i="5"/>
  <c r="T63" i="5"/>
  <c r="S63" i="5"/>
  <c r="O63" i="5"/>
  <c r="N63" i="5"/>
  <c r="J63" i="5"/>
  <c r="I63" i="5"/>
  <c r="E63" i="5"/>
  <c r="D63" i="5"/>
  <c r="T62" i="5"/>
  <c r="S62" i="5"/>
  <c r="O62" i="5"/>
  <c r="N62" i="5"/>
  <c r="J62" i="5"/>
  <c r="I62" i="5"/>
  <c r="E62" i="5"/>
  <c r="D62" i="5"/>
  <c r="T61" i="5"/>
  <c r="S61" i="5"/>
  <c r="O61" i="5"/>
  <c r="O67" i="5" s="1"/>
  <c r="O68" i="5" s="1"/>
  <c r="D416" i="8" s="1"/>
  <c r="B416" i="8" s="1"/>
  <c r="S34" i="2" s="1"/>
  <c r="T34" i="2" s="1"/>
  <c r="N61" i="5"/>
  <c r="J61" i="5"/>
  <c r="I61" i="5"/>
  <c r="E61" i="5"/>
  <c r="E68" i="5" s="1"/>
  <c r="E69" i="5" s="1"/>
  <c r="D61" i="5"/>
  <c r="T50" i="5"/>
  <c r="S50" i="5"/>
  <c r="T49" i="5"/>
  <c r="S49" i="5"/>
  <c r="S48" i="5"/>
  <c r="T48" i="5" s="1"/>
  <c r="S47" i="5"/>
  <c r="T47" i="5" s="1"/>
  <c r="E47" i="5"/>
  <c r="S46" i="5"/>
  <c r="T46" i="5" s="1"/>
  <c r="I46" i="5"/>
  <c r="J46" i="5" s="1"/>
  <c r="S45" i="5"/>
  <c r="T45" i="5" s="1"/>
  <c r="N45" i="5"/>
  <c r="O45" i="5" s="1"/>
  <c r="I45" i="5"/>
  <c r="J45" i="5" s="1"/>
  <c r="E45" i="5"/>
  <c r="D45" i="5"/>
  <c r="S44" i="5"/>
  <c r="T44" i="5" s="1"/>
  <c r="N44" i="5"/>
  <c r="O44" i="5" s="1"/>
  <c r="I44" i="5"/>
  <c r="J44" i="5" s="1"/>
  <c r="E44" i="5"/>
  <c r="D44" i="5"/>
  <c r="S43" i="5"/>
  <c r="T43" i="5" s="1"/>
  <c r="N43" i="5"/>
  <c r="O43" i="5" s="1"/>
  <c r="I43" i="5"/>
  <c r="J43" i="5" s="1"/>
  <c r="E43" i="5"/>
  <c r="D43" i="5"/>
  <c r="S42" i="5"/>
  <c r="T42" i="5" s="1"/>
  <c r="N42" i="5"/>
  <c r="O42" i="5" s="1"/>
  <c r="I42" i="5"/>
  <c r="J42" i="5" s="1"/>
  <c r="E42" i="5"/>
  <c r="D42" i="5"/>
  <c r="D33" i="5"/>
  <c r="E33" i="5" s="1"/>
  <c r="E32" i="5"/>
  <c r="D32" i="5"/>
  <c r="S31" i="5"/>
  <c r="T31" i="5" s="1"/>
  <c r="E31" i="5"/>
  <c r="E35" i="5" s="1"/>
  <c r="E36" i="5" s="1"/>
  <c r="D430" i="8" s="1"/>
  <c r="B430" i="8" s="1"/>
  <c r="D31" i="5"/>
  <c r="T30" i="5"/>
  <c r="S30" i="5"/>
  <c r="D30" i="5"/>
  <c r="E30" i="5" s="1"/>
  <c r="T29" i="5"/>
  <c r="S29" i="5"/>
  <c r="E29" i="5"/>
  <c r="D29" i="5"/>
  <c r="S28" i="5"/>
  <c r="T28" i="5" s="1"/>
  <c r="T33" i="5" s="1"/>
  <c r="T34" i="5" s="1"/>
  <c r="O28" i="5"/>
  <c r="N28" i="5"/>
  <c r="D28" i="5"/>
  <c r="E28" i="5" s="1"/>
  <c r="T27" i="5"/>
  <c r="S27" i="5"/>
  <c r="N27" i="5"/>
  <c r="O27" i="5" s="1"/>
  <c r="J27" i="5"/>
  <c r="I27" i="5"/>
  <c r="D27" i="5"/>
  <c r="E27" i="5" s="1"/>
  <c r="T26" i="5"/>
  <c r="S26" i="5"/>
  <c r="N26" i="5"/>
  <c r="O26" i="5" s="1"/>
  <c r="J26" i="5"/>
  <c r="J29" i="5" s="1"/>
  <c r="J30" i="5" s="1"/>
  <c r="D445" i="8" s="1"/>
  <c r="B445" i="8" s="1"/>
  <c r="I26" i="5"/>
  <c r="D26" i="5"/>
  <c r="E26" i="5" s="1"/>
  <c r="T25" i="5"/>
  <c r="S25" i="5"/>
  <c r="N25" i="5"/>
  <c r="O25" i="5" s="1"/>
  <c r="J25" i="5"/>
  <c r="I25" i="5"/>
  <c r="D25" i="5"/>
  <c r="E25" i="5" s="1"/>
  <c r="T24" i="5"/>
  <c r="S24" i="5"/>
  <c r="N24" i="5"/>
  <c r="O24" i="5" s="1"/>
  <c r="J24" i="5"/>
  <c r="I24" i="5"/>
  <c r="D24" i="5"/>
  <c r="E24" i="5" s="1"/>
  <c r="T23" i="5"/>
  <c r="S23" i="5"/>
  <c r="N23" i="5"/>
  <c r="O23" i="5" s="1"/>
  <c r="J23" i="5"/>
  <c r="I23" i="5"/>
  <c r="D23" i="5"/>
  <c r="E23" i="5" s="1"/>
  <c r="O10" i="5"/>
  <c r="N10" i="5"/>
  <c r="I10" i="5"/>
  <c r="J10" i="5" s="1"/>
  <c r="N9" i="5"/>
  <c r="O9" i="5" s="1"/>
  <c r="I9" i="5"/>
  <c r="J9" i="5" s="1"/>
  <c r="T8" i="5"/>
  <c r="S8" i="5"/>
  <c r="N8" i="5"/>
  <c r="O8" i="5" s="1"/>
  <c r="I8" i="5"/>
  <c r="J8" i="5" s="1"/>
  <c r="S7" i="5"/>
  <c r="T7" i="5" s="1"/>
  <c r="T11" i="5" s="1"/>
  <c r="T12" i="5" s="1"/>
  <c r="D420" i="8" s="1"/>
  <c r="B420" i="8" s="1"/>
  <c r="O7" i="5"/>
  <c r="N7" i="5"/>
  <c r="J7" i="5"/>
  <c r="I7" i="5"/>
  <c r="T6" i="5"/>
  <c r="S6" i="5"/>
  <c r="N6" i="5"/>
  <c r="O6" i="5" s="1"/>
  <c r="J6" i="5"/>
  <c r="I6" i="5"/>
  <c r="E6" i="5"/>
  <c r="D6" i="5"/>
  <c r="T5" i="5"/>
  <c r="S5" i="5"/>
  <c r="N5" i="5"/>
  <c r="O5" i="5" s="1"/>
  <c r="J5" i="5"/>
  <c r="I5" i="5"/>
  <c r="D5" i="5"/>
  <c r="E5" i="5" s="1"/>
  <c r="T4" i="5"/>
  <c r="S4" i="5"/>
  <c r="N4" i="5"/>
  <c r="O4" i="5" s="1"/>
  <c r="J4" i="5"/>
  <c r="I4" i="5"/>
  <c r="E4" i="5"/>
  <c r="E8" i="5" s="1"/>
  <c r="D427" i="8" s="1"/>
  <c r="B427" i="8" s="1"/>
  <c r="D4" i="1" s="1"/>
  <c r="E4" i="1" s="1"/>
  <c r="D4" i="5"/>
  <c r="I218" i="4"/>
  <c r="C26" i="7" s="1"/>
  <c r="F26" i="7" s="1"/>
  <c r="I207" i="4"/>
  <c r="J207" i="4" s="1"/>
  <c r="I206" i="4"/>
  <c r="J206" i="4" s="1"/>
  <c r="I205" i="4"/>
  <c r="J205" i="4" s="1"/>
  <c r="I204" i="4"/>
  <c r="J204" i="4" s="1"/>
  <c r="J203" i="4"/>
  <c r="I203" i="4"/>
  <c r="E203" i="4"/>
  <c r="D203" i="4"/>
  <c r="J202" i="4"/>
  <c r="I202" i="4"/>
  <c r="D202" i="4"/>
  <c r="E202" i="4" s="1"/>
  <c r="O201" i="4"/>
  <c r="N201" i="4"/>
  <c r="I201" i="4"/>
  <c r="J201" i="4" s="1"/>
  <c r="D201" i="4"/>
  <c r="E201" i="4" s="1"/>
  <c r="N200" i="4"/>
  <c r="O200" i="4" s="1"/>
  <c r="J200" i="4"/>
  <c r="I200" i="4"/>
  <c r="E200" i="4"/>
  <c r="D200" i="4"/>
  <c r="I199" i="4"/>
  <c r="J199" i="4" s="1"/>
  <c r="D199" i="4"/>
  <c r="E199" i="4" s="1"/>
  <c r="E213" i="4" s="1"/>
  <c r="E214" i="4" s="1"/>
  <c r="E215" i="4" s="1"/>
  <c r="E217" i="4" s="1"/>
  <c r="E219" i="4" s="1"/>
  <c r="I198" i="4"/>
  <c r="J198" i="4" s="1"/>
  <c r="D198" i="4"/>
  <c r="E198" i="4" s="1"/>
  <c r="E182" i="4"/>
  <c r="D182" i="4"/>
  <c r="D181" i="4"/>
  <c r="E181" i="4" s="1"/>
  <c r="D180" i="4"/>
  <c r="E180" i="4" s="1"/>
  <c r="D179" i="4"/>
  <c r="E179" i="4" s="1"/>
  <c r="D178" i="4"/>
  <c r="E178" i="4" s="1"/>
  <c r="D177" i="4"/>
  <c r="E177" i="4" s="1"/>
  <c r="D176" i="4"/>
  <c r="E176" i="4" s="1"/>
  <c r="O175" i="4"/>
  <c r="N175" i="4"/>
  <c r="J175" i="4"/>
  <c r="I175" i="4"/>
  <c r="E175" i="4"/>
  <c r="D175" i="4"/>
  <c r="N174" i="4"/>
  <c r="O174" i="4" s="1"/>
  <c r="I174" i="4"/>
  <c r="J174" i="4" s="1"/>
  <c r="D174" i="4"/>
  <c r="E174" i="4" s="1"/>
  <c r="N173" i="4"/>
  <c r="O173" i="4" s="1"/>
  <c r="I173" i="4"/>
  <c r="J173" i="4" s="1"/>
  <c r="D173" i="4"/>
  <c r="E173" i="4" s="1"/>
  <c r="O172" i="4"/>
  <c r="N172" i="4"/>
  <c r="J172" i="4"/>
  <c r="I172" i="4"/>
  <c r="D172" i="4"/>
  <c r="E172" i="4" s="1"/>
  <c r="N171" i="4"/>
  <c r="O171" i="4" s="1"/>
  <c r="I171" i="4"/>
  <c r="J171" i="4" s="1"/>
  <c r="D171" i="4"/>
  <c r="E171" i="4" s="1"/>
  <c r="N170" i="4"/>
  <c r="O170" i="4" s="1"/>
  <c r="D170" i="4"/>
  <c r="E170" i="4" s="1"/>
  <c r="N153" i="4"/>
  <c r="O153" i="4" s="1"/>
  <c r="D153" i="4"/>
  <c r="E153" i="4" s="1"/>
  <c r="N152" i="4"/>
  <c r="O152" i="4" s="1"/>
  <c r="D152" i="4"/>
  <c r="E152" i="4" s="1"/>
  <c r="N151" i="4"/>
  <c r="O151" i="4" s="1"/>
  <c r="J151" i="4"/>
  <c r="I151" i="4"/>
  <c r="E151" i="4"/>
  <c r="D151" i="4"/>
  <c r="O150" i="4"/>
  <c r="N150" i="4"/>
  <c r="I150" i="4"/>
  <c r="J150" i="4" s="1"/>
  <c r="D150" i="4"/>
  <c r="E150" i="4" s="1"/>
  <c r="N149" i="4"/>
  <c r="O149" i="4" s="1"/>
  <c r="I149" i="4"/>
  <c r="J149" i="4" s="1"/>
  <c r="D149" i="4"/>
  <c r="E149" i="4" s="1"/>
  <c r="O148" i="4"/>
  <c r="N148" i="4"/>
  <c r="J148" i="4"/>
  <c r="I148" i="4"/>
  <c r="E148" i="4"/>
  <c r="D148" i="4"/>
  <c r="N147" i="4"/>
  <c r="O147" i="4" s="1"/>
  <c r="I147" i="4"/>
  <c r="J147" i="4" s="1"/>
  <c r="E147" i="4"/>
  <c r="D147" i="4"/>
  <c r="N146" i="4"/>
  <c r="O146" i="4" s="1"/>
  <c r="I146" i="4"/>
  <c r="J146" i="4" s="1"/>
  <c r="E146" i="4"/>
  <c r="D146" i="4"/>
  <c r="O145" i="4"/>
  <c r="N145" i="4"/>
  <c r="J145" i="4"/>
  <c r="I145" i="4"/>
  <c r="D145" i="4"/>
  <c r="E145" i="4" s="1"/>
  <c r="N144" i="4"/>
  <c r="O144" i="4" s="1"/>
  <c r="I144" i="4"/>
  <c r="J144" i="4" s="1"/>
  <c r="D144" i="4"/>
  <c r="E144" i="4" s="1"/>
  <c r="N143" i="4"/>
  <c r="O143" i="4" s="1"/>
  <c r="J143" i="4"/>
  <c r="I143" i="4"/>
  <c r="E143" i="4"/>
  <c r="E158" i="4" s="1"/>
  <c r="E159" i="4" s="1"/>
  <c r="E160" i="4" s="1"/>
  <c r="D143" i="4"/>
  <c r="D128" i="4"/>
  <c r="E128" i="4" s="1"/>
  <c r="O127" i="4"/>
  <c r="N127" i="4"/>
  <c r="E127" i="4"/>
  <c r="D127" i="4"/>
  <c r="O126" i="4"/>
  <c r="N126" i="4"/>
  <c r="D126" i="4"/>
  <c r="E126" i="4" s="1"/>
  <c r="O125" i="4"/>
  <c r="N125" i="4"/>
  <c r="E125" i="4"/>
  <c r="D125" i="4"/>
  <c r="O124" i="4"/>
  <c r="N124" i="4"/>
  <c r="D124" i="4"/>
  <c r="E124" i="4" s="1"/>
  <c r="O123" i="4"/>
  <c r="N123" i="4"/>
  <c r="E123" i="4"/>
  <c r="D123" i="4"/>
  <c r="O122" i="4"/>
  <c r="N122" i="4"/>
  <c r="I122" i="4"/>
  <c r="J122" i="4" s="1"/>
  <c r="E122" i="4"/>
  <c r="D122" i="4"/>
  <c r="O121" i="4"/>
  <c r="N121" i="4"/>
  <c r="J121" i="4"/>
  <c r="I121" i="4"/>
  <c r="D121" i="4"/>
  <c r="E121" i="4" s="1"/>
  <c r="O120" i="4"/>
  <c r="N120" i="4"/>
  <c r="J120" i="4"/>
  <c r="I120" i="4"/>
  <c r="E120" i="4"/>
  <c r="D120" i="4"/>
  <c r="N119" i="4"/>
  <c r="O119" i="4" s="1"/>
  <c r="J119" i="4"/>
  <c r="I119" i="4"/>
  <c r="E119" i="4"/>
  <c r="D119" i="4"/>
  <c r="O118" i="4"/>
  <c r="N118" i="4"/>
  <c r="I118" i="4"/>
  <c r="J118" i="4" s="1"/>
  <c r="E118" i="4"/>
  <c r="D118" i="4"/>
  <c r="O117" i="4"/>
  <c r="N117" i="4"/>
  <c r="J117" i="4"/>
  <c r="I117" i="4"/>
  <c r="D117" i="4"/>
  <c r="E117" i="4" s="1"/>
  <c r="O116" i="4"/>
  <c r="N116" i="4"/>
  <c r="J116" i="4"/>
  <c r="I116" i="4"/>
  <c r="E116" i="4"/>
  <c r="D116" i="4"/>
  <c r="N115" i="4"/>
  <c r="O115" i="4" s="1"/>
  <c r="J115" i="4"/>
  <c r="I115" i="4"/>
  <c r="E115" i="4"/>
  <c r="D115" i="4"/>
  <c r="O114" i="4"/>
  <c r="N114" i="4"/>
  <c r="E114" i="4"/>
  <c r="D114" i="4"/>
  <c r="O98" i="4"/>
  <c r="N98" i="4"/>
  <c r="I98" i="4"/>
  <c r="J98" i="4" s="1"/>
  <c r="O97" i="4"/>
  <c r="N97" i="4"/>
  <c r="J97" i="4"/>
  <c r="I97" i="4"/>
  <c r="O96" i="4"/>
  <c r="N96" i="4"/>
  <c r="I96" i="4"/>
  <c r="J96" i="4" s="1"/>
  <c r="O95" i="4"/>
  <c r="N95" i="4"/>
  <c r="J95" i="4"/>
  <c r="I95" i="4"/>
  <c r="O94" i="4"/>
  <c r="N94" i="4"/>
  <c r="I94" i="4"/>
  <c r="J94" i="4" s="1"/>
  <c r="O93" i="4"/>
  <c r="N93" i="4"/>
  <c r="J93" i="4"/>
  <c r="I93" i="4"/>
  <c r="O92" i="4"/>
  <c r="N92" i="4"/>
  <c r="I92" i="4"/>
  <c r="J92" i="4" s="1"/>
  <c r="O91" i="4"/>
  <c r="N91" i="4"/>
  <c r="J91" i="4"/>
  <c r="I91" i="4"/>
  <c r="O90" i="4"/>
  <c r="N90" i="4"/>
  <c r="I90" i="4"/>
  <c r="J90" i="4" s="1"/>
  <c r="E90" i="4"/>
  <c r="D90" i="4"/>
  <c r="O89" i="4"/>
  <c r="N89" i="4"/>
  <c r="J89" i="4"/>
  <c r="I89" i="4"/>
  <c r="D89" i="4"/>
  <c r="E89" i="4" s="1"/>
  <c r="O88" i="4"/>
  <c r="N88" i="4"/>
  <c r="J88" i="4"/>
  <c r="I88" i="4"/>
  <c r="E88" i="4"/>
  <c r="D88" i="4"/>
  <c r="N87" i="4"/>
  <c r="O87" i="4" s="1"/>
  <c r="O102" i="4" s="1"/>
  <c r="O103" i="4" s="1"/>
  <c r="O104" i="4" s="1"/>
  <c r="J87" i="4"/>
  <c r="I87" i="4"/>
  <c r="D72" i="4"/>
  <c r="E72" i="4" s="1"/>
  <c r="O71" i="4"/>
  <c r="N71" i="4"/>
  <c r="E71" i="4"/>
  <c r="D71" i="4"/>
  <c r="O70" i="4"/>
  <c r="N70" i="4"/>
  <c r="D70" i="4"/>
  <c r="E70" i="4" s="1"/>
  <c r="O69" i="4"/>
  <c r="N69" i="4"/>
  <c r="E69" i="4"/>
  <c r="D69" i="4"/>
  <c r="O68" i="4"/>
  <c r="N68" i="4"/>
  <c r="I68" i="4"/>
  <c r="J68" i="4" s="1"/>
  <c r="E68" i="4"/>
  <c r="D68" i="4"/>
  <c r="O67" i="4"/>
  <c r="N67" i="4"/>
  <c r="J67" i="4"/>
  <c r="I67" i="4"/>
  <c r="D67" i="4"/>
  <c r="E67" i="4" s="1"/>
  <c r="O66" i="4"/>
  <c r="N66" i="4"/>
  <c r="J66" i="4"/>
  <c r="I66" i="4"/>
  <c r="E66" i="4"/>
  <c r="D66" i="4"/>
  <c r="N65" i="4"/>
  <c r="O65" i="4" s="1"/>
  <c r="I65" i="4"/>
  <c r="J65" i="4" s="1"/>
  <c r="E65" i="4"/>
  <c r="D65" i="4"/>
  <c r="O64" i="4"/>
  <c r="N64" i="4"/>
  <c r="I64" i="4"/>
  <c r="J64" i="4" s="1"/>
  <c r="D64" i="4"/>
  <c r="E64" i="4" s="1"/>
  <c r="O63" i="4"/>
  <c r="N63" i="4"/>
  <c r="J63" i="4"/>
  <c r="I63" i="4"/>
  <c r="D63" i="4"/>
  <c r="E63" i="4" s="1"/>
  <c r="N62" i="4"/>
  <c r="O62" i="4" s="1"/>
  <c r="J62" i="4"/>
  <c r="I62" i="4"/>
  <c r="E62" i="4"/>
  <c r="D62" i="4"/>
  <c r="N61" i="4"/>
  <c r="O61" i="4" s="1"/>
  <c r="I61" i="4"/>
  <c r="J61" i="4" s="1"/>
  <c r="E61" i="4"/>
  <c r="D61" i="4"/>
  <c r="O60" i="4"/>
  <c r="N60" i="4"/>
  <c r="I60" i="4"/>
  <c r="J60" i="4" s="1"/>
  <c r="J75" i="4" s="1"/>
  <c r="J76" i="4" s="1"/>
  <c r="J77" i="4" s="1"/>
  <c r="D60" i="4"/>
  <c r="E60" i="4" s="1"/>
  <c r="O59" i="4"/>
  <c r="N59" i="4"/>
  <c r="J59" i="4"/>
  <c r="I59" i="4"/>
  <c r="E59" i="4"/>
  <c r="D59" i="4"/>
  <c r="N58" i="4"/>
  <c r="O58" i="4" s="1"/>
  <c r="J58" i="4"/>
  <c r="I58" i="4"/>
  <c r="E58" i="4"/>
  <c r="D58" i="4"/>
  <c r="N44" i="4"/>
  <c r="O44" i="4" s="1"/>
  <c r="O43" i="4"/>
  <c r="N43" i="4"/>
  <c r="O42" i="4"/>
  <c r="N42" i="4"/>
  <c r="N41" i="4"/>
  <c r="O41" i="4" s="1"/>
  <c r="N40" i="4"/>
  <c r="O40" i="4" s="1"/>
  <c r="O39" i="4"/>
  <c r="N39" i="4"/>
  <c r="O38" i="4"/>
  <c r="N38" i="4"/>
  <c r="I38" i="4"/>
  <c r="J38" i="4" s="1"/>
  <c r="N37" i="4"/>
  <c r="O37" i="4" s="1"/>
  <c r="J37" i="4"/>
  <c r="I37" i="4"/>
  <c r="E37" i="4"/>
  <c r="D37" i="4"/>
  <c r="N36" i="4"/>
  <c r="O36" i="4" s="1"/>
  <c r="I36" i="4"/>
  <c r="J36" i="4" s="1"/>
  <c r="E36" i="4"/>
  <c r="D36" i="4"/>
  <c r="O35" i="4"/>
  <c r="N35" i="4"/>
  <c r="I35" i="4"/>
  <c r="J35" i="4" s="1"/>
  <c r="D35" i="4"/>
  <c r="E35" i="4" s="1"/>
  <c r="O34" i="4"/>
  <c r="N34" i="4"/>
  <c r="J34" i="4"/>
  <c r="I34" i="4"/>
  <c r="D34" i="4"/>
  <c r="E34" i="4" s="1"/>
  <c r="N33" i="4"/>
  <c r="O33" i="4" s="1"/>
  <c r="J33" i="4"/>
  <c r="I33" i="4"/>
  <c r="E33" i="4"/>
  <c r="D33" i="4"/>
  <c r="N32" i="4"/>
  <c r="O32" i="4" s="1"/>
  <c r="I32" i="4"/>
  <c r="J32" i="4" s="1"/>
  <c r="E32" i="4"/>
  <c r="D32" i="4"/>
  <c r="O31" i="4"/>
  <c r="N31" i="4"/>
  <c r="I31" i="4"/>
  <c r="J31" i="4" s="1"/>
  <c r="D31" i="4"/>
  <c r="E31" i="4" s="1"/>
  <c r="E14" i="4"/>
  <c r="D14" i="4"/>
  <c r="D13" i="4"/>
  <c r="E13" i="4" s="1"/>
  <c r="O12" i="4"/>
  <c r="N12" i="4"/>
  <c r="E12" i="4"/>
  <c r="D12" i="4"/>
  <c r="O11" i="4"/>
  <c r="N11" i="4"/>
  <c r="D11" i="4"/>
  <c r="E11" i="4" s="1"/>
  <c r="O10" i="4"/>
  <c r="N10" i="4"/>
  <c r="E10" i="4"/>
  <c r="D10" i="4"/>
  <c r="O9" i="4"/>
  <c r="N9" i="4"/>
  <c r="I9" i="4"/>
  <c r="J9" i="4" s="1"/>
  <c r="E9" i="4"/>
  <c r="D9" i="4"/>
  <c r="O8" i="4"/>
  <c r="N8" i="4"/>
  <c r="J8" i="4"/>
  <c r="I8" i="4"/>
  <c r="D8" i="4"/>
  <c r="E8" i="4" s="1"/>
  <c r="O7" i="4"/>
  <c r="N7" i="4"/>
  <c r="J7" i="4"/>
  <c r="I7" i="4"/>
  <c r="E7" i="4"/>
  <c r="D7" i="4"/>
  <c r="N6" i="4"/>
  <c r="O6" i="4" s="1"/>
  <c r="J6" i="4"/>
  <c r="I6" i="4"/>
  <c r="E6" i="4"/>
  <c r="D6" i="4"/>
  <c r="O5" i="4"/>
  <c r="N5" i="4"/>
  <c r="I5" i="4"/>
  <c r="J5" i="4" s="1"/>
  <c r="E5" i="4"/>
  <c r="D5" i="4"/>
  <c r="O4" i="4"/>
  <c r="O19" i="4" s="1"/>
  <c r="O20" i="4" s="1"/>
  <c r="O21" i="4" s="1"/>
  <c r="N4" i="4"/>
  <c r="J4" i="4"/>
  <c r="I4" i="4"/>
  <c r="D4" i="4"/>
  <c r="E4" i="4" s="1"/>
  <c r="T179" i="3"/>
  <c r="S179" i="3"/>
  <c r="O179" i="3"/>
  <c r="N179" i="3"/>
  <c r="T178" i="3"/>
  <c r="S178" i="3"/>
  <c r="O178" i="3"/>
  <c r="O184" i="3" s="1"/>
  <c r="O185" i="3" s="1"/>
  <c r="O186" i="3" s="1"/>
  <c r="N178" i="3"/>
  <c r="J178" i="3"/>
  <c r="J183" i="3" s="1"/>
  <c r="J184" i="3" s="1"/>
  <c r="J185" i="3" s="1"/>
  <c r="I178" i="3"/>
  <c r="T177" i="3"/>
  <c r="S177" i="3"/>
  <c r="O177" i="3"/>
  <c r="N177" i="3"/>
  <c r="J177" i="3"/>
  <c r="I177" i="3"/>
  <c r="E177" i="3"/>
  <c r="D177" i="3"/>
  <c r="T176" i="3"/>
  <c r="S176" i="3"/>
  <c r="O176" i="3"/>
  <c r="N176" i="3"/>
  <c r="J176" i="3"/>
  <c r="I176" i="3"/>
  <c r="E176" i="3"/>
  <c r="E183" i="3" s="1"/>
  <c r="E184" i="3" s="1"/>
  <c r="E185" i="3" s="1"/>
  <c r="D176" i="3"/>
  <c r="J166" i="3"/>
  <c r="J165" i="3"/>
  <c r="J164" i="3"/>
  <c r="S160" i="3"/>
  <c r="N160" i="3"/>
  <c r="I160" i="3"/>
  <c r="S159" i="3"/>
  <c r="T159" i="3" s="1"/>
  <c r="O159" i="3"/>
  <c r="N159" i="3"/>
  <c r="J159" i="3"/>
  <c r="I159" i="3"/>
  <c r="S158" i="3"/>
  <c r="T158" i="3" s="1"/>
  <c r="N158" i="3"/>
  <c r="O158" i="3" s="1"/>
  <c r="J158" i="3"/>
  <c r="I158" i="3"/>
  <c r="T157" i="3"/>
  <c r="T164" i="3" s="1"/>
  <c r="T165" i="3" s="1"/>
  <c r="T166" i="3" s="1"/>
  <c r="S157" i="3"/>
  <c r="N157" i="3"/>
  <c r="O157" i="3" s="1"/>
  <c r="O164" i="3" s="1"/>
  <c r="O165" i="3" s="1"/>
  <c r="O166" i="3" s="1"/>
  <c r="I157" i="3"/>
  <c r="J157" i="3" s="1"/>
  <c r="D157" i="3"/>
  <c r="E157" i="3" s="1"/>
  <c r="E164" i="3" s="1"/>
  <c r="E165" i="3" s="1"/>
  <c r="E166" i="3" s="1"/>
  <c r="T149" i="3"/>
  <c r="T151" i="3" s="1"/>
  <c r="O144" i="3"/>
  <c r="O145" i="3" s="1"/>
  <c r="O146" i="3" s="1"/>
  <c r="O147" i="3" s="1"/>
  <c r="N144" i="3"/>
  <c r="N143" i="3"/>
  <c r="O143" i="3" s="1"/>
  <c r="N142" i="3"/>
  <c r="O142" i="3" s="1"/>
  <c r="J142" i="3"/>
  <c r="I142" i="3"/>
  <c r="S141" i="3"/>
  <c r="O141" i="3"/>
  <c r="N141" i="3"/>
  <c r="O140" i="3"/>
  <c r="N140" i="3"/>
  <c r="I140" i="3"/>
  <c r="J140" i="3" s="1"/>
  <c r="E140" i="3"/>
  <c r="D140" i="3"/>
  <c r="T139" i="3"/>
  <c r="S139" i="3"/>
  <c r="O139" i="3"/>
  <c r="N139" i="3"/>
  <c r="I139" i="3"/>
  <c r="J139" i="3" s="1"/>
  <c r="E139" i="3"/>
  <c r="D139" i="3"/>
  <c r="T138" i="3"/>
  <c r="T145" i="3" s="1"/>
  <c r="T146" i="3" s="1"/>
  <c r="T147" i="3" s="1"/>
  <c r="T152" i="3" s="1"/>
  <c r="S138" i="3"/>
  <c r="O138" i="3"/>
  <c r="N138" i="3"/>
  <c r="I138" i="3"/>
  <c r="J138" i="3" s="1"/>
  <c r="E138" i="3"/>
  <c r="E145" i="3" s="1"/>
  <c r="E146" i="3" s="1"/>
  <c r="E123" i="3"/>
  <c r="D123" i="3"/>
  <c r="N122" i="3"/>
  <c r="E122" i="3"/>
  <c r="D122" i="3"/>
  <c r="O121" i="3"/>
  <c r="N121" i="3"/>
  <c r="D121" i="3"/>
  <c r="E121" i="3" s="1"/>
  <c r="S120" i="3"/>
  <c r="T120" i="3" s="1"/>
  <c r="N120" i="3"/>
  <c r="O120" i="3" s="1"/>
  <c r="I120" i="3"/>
  <c r="J120" i="3" s="1"/>
  <c r="D120" i="3"/>
  <c r="E120" i="3" s="1"/>
  <c r="T119" i="3"/>
  <c r="T126" i="3" s="1"/>
  <c r="T127" i="3" s="1"/>
  <c r="T128" i="3" s="1"/>
  <c r="S119" i="3"/>
  <c r="O119" i="3"/>
  <c r="N119" i="3"/>
  <c r="I119" i="3"/>
  <c r="J119" i="3" s="1"/>
  <c r="J126" i="3" s="1"/>
  <c r="J127" i="3" s="1"/>
  <c r="J128" i="3" s="1"/>
  <c r="D119" i="3"/>
  <c r="E119" i="3" s="1"/>
  <c r="E126" i="3" s="1"/>
  <c r="E127" i="3" s="1"/>
  <c r="E128" i="3" s="1"/>
  <c r="S103" i="3"/>
  <c r="N103" i="3"/>
  <c r="O103" i="3" s="1"/>
  <c r="O107" i="3" s="1"/>
  <c r="O108" i="3" s="1"/>
  <c r="O109" i="3" s="1"/>
  <c r="S102" i="3"/>
  <c r="T102" i="3" s="1"/>
  <c r="O102" i="3"/>
  <c r="N102" i="3"/>
  <c r="I102" i="3"/>
  <c r="J102" i="3" s="1"/>
  <c r="D102" i="3"/>
  <c r="E102" i="3" s="1"/>
  <c r="S101" i="3"/>
  <c r="T101" i="3" s="1"/>
  <c r="O101" i="3"/>
  <c r="N101" i="3"/>
  <c r="I101" i="3"/>
  <c r="J101" i="3" s="1"/>
  <c r="D101" i="3"/>
  <c r="E101" i="3" s="1"/>
  <c r="O100" i="3"/>
  <c r="N100" i="3"/>
  <c r="I100" i="3"/>
  <c r="J100" i="3" s="1"/>
  <c r="D100" i="3"/>
  <c r="E100" i="3" s="1"/>
  <c r="E107" i="3" s="1"/>
  <c r="E108" i="3" s="1"/>
  <c r="E109" i="3" s="1"/>
  <c r="T88" i="3"/>
  <c r="T89" i="3" s="1"/>
  <c r="T90" i="3" s="1"/>
  <c r="O83" i="3"/>
  <c r="N83" i="3"/>
  <c r="J83" i="3"/>
  <c r="I83" i="3"/>
  <c r="T82" i="3"/>
  <c r="S82" i="3"/>
  <c r="O82" i="3"/>
  <c r="N82" i="3"/>
  <c r="J82" i="3"/>
  <c r="I82" i="3"/>
  <c r="E82" i="3"/>
  <c r="D82" i="3"/>
  <c r="T81" i="3"/>
  <c r="S81" i="3"/>
  <c r="O81" i="3"/>
  <c r="N81" i="3"/>
  <c r="J81" i="3"/>
  <c r="I81" i="3"/>
  <c r="E81" i="3"/>
  <c r="D81" i="3"/>
  <c r="T80" i="3"/>
  <c r="S80" i="3"/>
  <c r="O80" i="3"/>
  <c r="N80" i="3"/>
  <c r="J80" i="3"/>
  <c r="J88" i="3" s="1"/>
  <c r="J89" i="3" s="1"/>
  <c r="J90" i="3" s="1"/>
  <c r="J95" i="3" s="1"/>
  <c r="I80" i="3"/>
  <c r="E80" i="3"/>
  <c r="E88" i="3" s="1"/>
  <c r="E89" i="3" s="1"/>
  <c r="E90" i="3" s="1"/>
  <c r="D80" i="3"/>
  <c r="J68" i="3"/>
  <c r="J69" i="3" s="1"/>
  <c r="J70" i="3" s="1"/>
  <c r="S61" i="3"/>
  <c r="T61" i="3" s="1"/>
  <c r="T68" i="3" s="1"/>
  <c r="T69" i="3" s="1"/>
  <c r="N61" i="3"/>
  <c r="O61" i="3" s="1"/>
  <c r="O68" i="3" s="1"/>
  <c r="O69" i="3" s="1"/>
  <c r="O70" i="3" s="1"/>
  <c r="I61" i="3"/>
  <c r="J61" i="3" s="1"/>
  <c r="E61" i="3"/>
  <c r="E68" i="3" s="1"/>
  <c r="E69" i="3" s="1"/>
  <c r="E70" i="3" s="1"/>
  <c r="D61" i="3"/>
  <c r="O49" i="3"/>
  <c r="O50" i="3" s="1"/>
  <c r="O51" i="3" s="1"/>
  <c r="J44" i="3"/>
  <c r="I44" i="3"/>
  <c r="D44" i="3"/>
  <c r="E44" i="3" s="1"/>
  <c r="T43" i="3"/>
  <c r="S43" i="3"/>
  <c r="O43" i="3"/>
  <c r="N43" i="3"/>
  <c r="I43" i="3"/>
  <c r="J43" i="3" s="1"/>
  <c r="E43" i="3"/>
  <c r="D43" i="3"/>
  <c r="T42" i="3"/>
  <c r="T49" i="3" s="1"/>
  <c r="T50" i="3" s="1"/>
  <c r="T51" i="3" s="1"/>
  <c r="S42" i="3"/>
  <c r="O42" i="3"/>
  <c r="N42" i="3"/>
  <c r="I42" i="3"/>
  <c r="J42" i="3" s="1"/>
  <c r="D42" i="3"/>
  <c r="E42" i="3" s="1"/>
  <c r="N25" i="3"/>
  <c r="O25" i="3" s="1"/>
  <c r="J25" i="3"/>
  <c r="I25" i="3"/>
  <c r="D25" i="3"/>
  <c r="E25" i="3" s="1"/>
  <c r="S24" i="3"/>
  <c r="T24" i="3" s="1"/>
  <c r="N24" i="3"/>
  <c r="O24" i="3" s="1"/>
  <c r="O30" i="3" s="1"/>
  <c r="O31" i="3" s="1"/>
  <c r="O32" i="3" s="1"/>
  <c r="J24" i="3"/>
  <c r="I24" i="3"/>
  <c r="D24" i="3"/>
  <c r="E24" i="3" s="1"/>
  <c r="S23" i="3"/>
  <c r="T23" i="3" s="1"/>
  <c r="N23" i="3"/>
  <c r="O23" i="3" s="1"/>
  <c r="J23" i="3"/>
  <c r="J30" i="3" s="1"/>
  <c r="J31" i="3" s="1"/>
  <c r="J32" i="3" s="1"/>
  <c r="I23" i="3"/>
  <c r="D23" i="3"/>
  <c r="E23" i="3" s="1"/>
  <c r="E30" i="3" s="1"/>
  <c r="E31" i="3" s="1"/>
  <c r="E32" i="3" s="1"/>
  <c r="E13" i="3"/>
  <c r="E15" i="3" s="1"/>
  <c r="E17" i="3" s="1"/>
  <c r="E11" i="3"/>
  <c r="E12" i="3" s="1"/>
  <c r="T5" i="3"/>
  <c r="S5" i="3"/>
  <c r="N5" i="3"/>
  <c r="O5" i="3" s="1"/>
  <c r="I5" i="3"/>
  <c r="J5" i="3" s="1"/>
  <c r="D5" i="3"/>
  <c r="E5" i="3" s="1"/>
  <c r="S4" i="3"/>
  <c r="T4" i="3" s="1"/>
  <c r="T11" i="3" s="1"/>
  <c r="T12" i="3" s="1"/>
  <c r="O4" i="3"/>
  <c r="N4" i="3"/>
  <c r="J4" i="3"/>
  <c r="I4" i="3"/>
  <c r="D4" i="3"/>
  <c r="E4" i="3" s="1"/>
  <c r="T161" i="2"/>
  <c r="T156" i="2"/>
  <c r="T158" i="2" s="1"/>
  <c r="T159" i="2" s="1"/>
  <c r="T160" i="2" s="1"/>
  <c r="T154" i="2"/>
  <c r="T155" i="2" s="1"/>
  <c r="O154" i="2"/>
  <c r="O155" i="2" s="1"/>
  <c r="O156" i="2" s="1"/>
  <c r="E152" i="2"/>
  <c r="D152" i="2"/>
  <c r="E151" i="2"/>
  <c r="D151" i="2"/>
  <c r="D150" i="2"/>
  <c r="E150" i="2" s="1"/>
  <c r="I147" i="2"/>
  <c r="J147" i="2" s="1"/>
  <c r="D147" i="2"/>
  <c r="E147" i="2" s="1"/>
  <c r="I146" i="2"/>
  <c r="J146" i="2" s="1"/>
  <c r="D146" i="2"/>
  <c r="E146" i="2" s="1"/>
  <c r="AD145" i="2"/>
  <c r="AC145" i="2"/>
  <c r="Y145" i="2"/>
  <c r="X145" i="2"/>
  <c r="S145" i="2"/>
  <c r="T145" i="2" s="1"/>
  <c r="N145" i="2"/>
  <c r="O145" i="2" s="1"/>
  <c r="I145" i="2"/>
  <c r="J145" i="2" s="1"/>
  <c r="D145" i="2"/>
  <c r="E145" i="2" s="1"/>
  <c r="AC144" i="2"/>
  <c r="AD144" i="2" s="1"/>
  <c r="X144" i="2"/>
  <c r="Y144" i="2" s="1"/>
  <c r="S144" i="2"/>
  <c r="T144" i="2" s="1"/>
  <c r="O144" i="2"/>
  <c r="N144" i="2"/>
  <c r="I144" i="2"/>
  <c r="J144" i="2" s="1"/>
  <c r="D144" i="2"/>
  <c r="E144" i="2" s="1"/>
  <c r="AC143" i="2"/>
  <c r="AD143" i="2" s="1"/>
  <c r="Y143" i="2"/>
  <c r="X143" i="2"/>
  <c r="S143" i="2"/>
  <c r="T143" i="2" s="1"/>
  <c r="O143" i="2"/>
  <c r="N143" i="2"/>
  <c r="I143" i="2"/>
  <c r="J143" i="2" s="1"/>
  <c r="D143" i="2"/>
  <c r="E143" i="2" s="1"/>
  <c r="AC142" i="2"/>
  <c r="AD142" i="2" s="1"/>
  <c r="X142" i="2"/>
  <c r="Y142" i="2" s="1"/>
  <c r="S142" i="2"/>
  <c r="T142" i="2" s="1"/>
  <c r="N142" i="2"/>
  <c r="O142" i="2" s="1"/>
  <c r="I142" i="2"/>
  <c r="J142" i="2" s="1"/>
  <c r="E142" i="2"/>
  <c r="D142" i="2"/>
  <c r="AD141" i="2"/>
  <c r="AC141" i="2"/>
  <c r="X141" i="2"/>
  <c r="Y141" i="2" s="1"/>
  <c r="S141" i="2"/>
  <c r="T141" i="2" s="1"/>
  <c r="N141" i="2"/>
  <c r="O141" i="2" s="1"/>
  <c r="I141" i="2"/>
  <c r="J141" i="2" s="1"/>
  <c r="D141" i="2"/>
  <c r="E141" i="2" s="1"/>
  <c r="AC140" i="2"/>
  <c r="AD140" i="2" s="1"/>
  <c r="Y140" i="2"/>
  <c r="X140" i="2"/>
  <c r="T140" i="2"/>
  <c r="S140" i="2"/>
  <c r="O140" i="2"/>
  <c r="N140" i="2"/>
  <c r="I140" i="2"/>
  <c r="J140" i="2" s="1"/>
  <c r="D140" i="2"/>
  <c r="E140" i="2" s="1"/>
  <c r="AD139" i="2"/>
  <c r="AD154" i="2" s="1"/>
  <c r="AD155" i="2" s="1"/>
  <c r="AD156" i="2" s="1"/>
  <c r="AC139" i="2"/>
  <c r="X139" i="2"/>
  <c r="Y139" i="2" s="1"/>
  <c r="Y154" i="2" s="1"/>
  <c r="Y155" i="2" s="1"/>
  <c r="Y156" i="2" s="1"/>
  <c r="S139" i="2"/>
  <c r="T139" i="2" s="1"/>
  <c r="N139" i="2"/>
  <c r="O139" i="2" s="1"/>
  <c r="I139" i="2"/>
  <c r="J139" i="2" s="1"/>
  <c r="J154" i="2" s="1"/>
  <c r="J155" i="2" s="1"/>
  <c r="J156" i="2" s="1"/>
  <c r="E139" i="2"/>
  <c r="D139" i="2"/>
  <c r="AI124" i="2"/>
  <c r="AH124" i="2"/>
  <c r="AI123" i="2"/>
  <c r="AH123" i="2"/>
  <c r="T123" i="2"/>
  <c r="S123" i="2"/>
  <c r="AH122" i="2"/>
  <c r="AI122" i="2" s="1"/>
  <c r="AC122" i="2"/>
  <c r="AD122" i="2" s="1"/>
  <c r="T122" i="2"/>
  <c r="S122" i="2"/>
  <c r="AC121" i="2"/>
  <c r="AD121" i="2" s="1"/>
  <c r="S121" i="2"/>
  <c r="T121" i="2" s="1"/>
  <c r="AD120" i="2"/>
  <c r="AC120" i="2"/>
  <c r="N120" i="2"/>
  <c r="O120" i="2" s="1"/>
  <c r="AH119" i="2"/>
  <c r="AI119" i="2" s="1"/>
  <c r="X119" i="2"/>
  <c r="Y119" i="2" s="1"/>
  <c r="N119" i="2"/>
  <c r="O119" i="2" s="1"/>
  <c r="AH118" i="2"/>
  <c r="AI118" i="2" s="1"/>
  <c r="X118" i="2"/>
  <c r="Y118" i="2" s="1"/>
  <c r="S118" i="2"/>
  <c r="T118" i="2" s="1"/>
  <c r="N118" i="2"/>
  <c r="O118" i="2" s="1"/>
  <c r="AH117" i="2"/>
  <c r="AI117" i="2" s="1"/>
  <c r="AD117" i="2"/>
  <c r="AC117" i="2"/>
  <c r="Y117" i="2"/>
  <c r="X117" i="2"/>
  <c r="S117" i="2"/>
  <c r="T117" i="2" s="1"/>
  <c r="AC116" i="2"/>
  <c r="AD116" i="2" s="1"/>
  <c r="J116" i="2"/>
  <c r="I116" i="2"/>
  <c r="AC115" i="2"/>
  <c r="AD115" i="2" s="1"/>
  <c r="T115" i="2"/>
  <c r="S115" i="2"/>
  <c r="N115" i="2"/>
  <c r="O115" i="2" s="1"/>
  <c r="I115" i="2"/>
  <c r="J115" i="2" s="1"/>
  <c r="D115" i="2"/>
  <c r="E115" i="2" s="1"/>
  <c r="AH114" i="2"/>
  <c r="AI114" i="2" s="1"/>
  <c r="AD114" i="2"/>
  <c r="AC114" i="2"/>
  <c r="X114" i="2"/>
  <c r="Y114" i="2" s="1"/>
  <c r="S114" i="2"/>
  <c r="T114" i="2" s="1"/>
  <c r="N114" i="2"/>
  <c r="O114" i="2" s="1"/>
  <c r="I114" i="2"/>
  <c r="J114" i="2" s="1"/>
  <c r="D114" i="2"/>
  <c r="E114" i="2" s="1"/>
  <c r="AC113" i="2"/>
  <c r="AD113" i="2" s="1"/>
  <c r="S113" i="2"/>
  <c r="T113" i="2" s="1"/>
  <c r="N113" i="2"/>
  <c r="O113" i="2" s="1"/>
  <c r="I113" i="2"/>
  <c r="J113" i="2" s="1"/>
  <c r="D113" i="2"/>
  <c r="E113" i="2" s="1"/>
  <c r="AD112" i="2"/>
  <c r="AC112" i="2"/>
  <c r="Y112" i="2"/>
  <c r="X112" i="2"/>
  <c r="S112" i="2"/>
  <c r="T112" i="2" s="1"/>
  <c r="N112" i="2"/>
  <c r="O112" i="2" s="1"/>
  <c r="D94" i="2"/>
  <c r="E94" i="2" s="1"/>
  <c r="D93" i="2"/>
  <c r="E93" i="2" s="1"/>
  <c r="AC92" i="2"/>
  <c r="AD92" i="2" s="1"/>
  <c r="D92" i="2"/>
  <c r="E92" i="2" s="1"/>
  <c r="AC91" i="2"/>
  <c r="AD91" i="2" s="1"/>
  <c r="E91" i="2"/>
  <c r="D91" i="2"/>
  <c r="AD90" i="2"/>
  <c r="AC90" i="2"/>
  <c r="N90" i="2"/>
  <c r="O90" i="2" s="1"/>
  <c r="I90" i="2"/>
  <c r="J90" i="2" s="1"/>
  <c r="E90" i="2"/>
  <c r="D90" i="2"/>
  <c r="N89" i="2"/>
  <c r="O89" i="2" s="1"/>
  <c r="I89" i="2"/>
  <c r="J89" i="2" s="1"/>
  <c r="D89" i="2"/>
  <c r="E89" i="2" s="1"/>
  <c r="AD88" i="2"/>
  <c r="AC88" i="2"/>
  <c r="Y88" i="2"/>
  <c r="X88" i="2"/>
  <c r="S88" i="2"/>
  <c r="T88" i="2" s="1"/>
  <c r="N88" i="2"/>
  <c r="O88" i="2" s="1"/>
  <c r="I88" i="2"/>
  <c r="J88" i="2" s="1"/>
  <c r="E88" i="2"/>
  <c r="D88" i="2"/>
  <c r="AC87" i="2"/>
  <c r="AD87" i="2" s="1"/>
  <c r="X87" i="2"/>
  <c r="Y87" i="2" s="1"/>
  <c r="S87" i="2"/>
  <c r="T87" i="2" s="1"/>
  <c r="N87" i="2"/>
  <c r="O87" i="2" s="1"/>
  <c r="I87" i="2"/>
  <c r="J87" i="2" s="1"/>
  <c r="D87" i="2"/>
  <c r="E87" i="2" s="1"/>
  <c r="AH86" i="2"/>
  <c r="AI86" i="2" s="1"/>
  <c r="AC86" i="2"/>
  <c r="AD86" i="2" s="1"/>
  <c r="X86" i="2"/>
  <c r="Y86" i="2" s="1"/>
  <c r="T86" i="2"/>
  <c r="S86" i="2"/>
  <c r="J86" i="2"/>
  <c r="I86" i="2"/>
  <c r="D86" i="2"/>
  <c r="E86" i="2" s="1"/>
  <c r="AC85" i="2"/>
  <c r="AD85" i="2" s="1"/>
  <c r="X85" i="2"/>
  <c r="Y85" i="2" s="1"/>
  <c r="S85" i="2"/>
  <c r="T85" i="2" s="1"/>
  <c r="O85" i="2"/>
  <c r="N85" i="2"/>
  <c r="J85" i="2"/>
  <c r="J100" i="2" s="1"/>
  <c r="J101" i="2" s="1"/>
  <c r="J102" i="2" s="1"/>
  <c r="I85" i="2"/>
  <c r="D85" i="2"/>
  <c r="E85" i="2" s="1"/>
  <c r="AI67" i="2"/>
  <c r="AH67" i="2"/>
  <c r="AH66" i="2"/>
  <c r="AI66" i="2" s="1"/>
  <c r="AI65" i="2"/>
  <c r="AH65" i="2"/>
  <c r="X65" i="2"/>
  <c r="Y65" i="2" s="1"/>
  <c r="X64" i="2"/>
  <c r="Y64" i="2" s="1"/>
  <c r="S64" i="2"/>
  <c r="T64" i="2" s="1"/>
  <c r="S63" i="2"/>
  <c r="T63" i="2" s="1"/>
  <c r="AH62" i="2"/>
  <c r="AI62" i="2" s="1"/>
  <c r="AC62" i="2"/>
  <c r="AD62" i="2" s="1"/>
  <c r="X62" i="2"/>
  <c r="Y62" i="2" s="1"/>
  <c r="S62" i="2"/>
  <c r="T62" i="2" s="1"/>
  <c r="N62" i="2"/>
  <c r="O62" i="2" s="1"/>
  <c r="AH61" i="2"/>
  <c r="AI61" i="2" s="1"/>
  <c r="S61" i="2"/>
  <c r="T61" i="2" s="1"/>
  <c r="O61" i="2"/>
  <c r="N61" i="2"/>
  <c r="J61" i="2"/>
  <c r="I61" i="2"/>
  <c r="D61" i="2"/>
  <c r="E61" i="2" s="1"/>
  <c r="AH60" i="2"/>
  <c r="AI60" i="2" s="1"/>
  <c r="Y60" i="2"/>
  <c r="X60" i="2"/>
  <c r="S60" i="2"/>
  <c r="T60" i="2" s="1"/>
  <c r="N60" i="2"/>
  <c r="O60" i="2" s="1"/>
  <c r="I60" i="2"/>
  <c r="J60" i="2" s="1"/>
  <c r="D60" i="2"/>
  <c r="E60" i="2" s="1"/>
  <c r="AH59" i="2"/>
  <c r="AI59" i="2" s="1"/>
  <c r="AD59" i="2"/>
  <c r="AC59" i="2"/>
  <c r="X59" i="2"/>
  <c r="Y59" i="2" s="1"/>
  <c r="S59" i="2"/>
  <c r="T59" i="2" s="1"/>
  <c r="T73" i="2" s="1"/>
  <c r="T74" i="2" s="1"/>
  <c r="T75" i="2" s="1"/>
  <c r="N59" i="2"/>
  <c r="O59" i="2" s="1"/>
  <c r="I59" i="2"/>
  <c r="J59" i="2" s="1"/>
  <c r="D59" i="2"/>
  <c r="E59" i="2" s="1"/>
  <c r="AI58" i="2"/>
  <c r="AH58" i="2"/>
  <c r="X58" i="2"/>
  <c r="Y58" i="2" s="1"/>
  <c r="T58" i="2"/>
  <c r="S58" i="2"/>
  <c r="N58" i="2"/>
  <c r="O58" i="2" s="1"/>
  <c r="I58" i="2"/>
  <c r="J58" i="2" s="1"/>
  <c r="D58" i="2"/>
  <c r="E58" i="2" s="1"/>
  <c r="E73" i="2" s="1"/>
  <c r="E74" i="2" s="1"/>
  <c r="E75" i="2" s="1"/>
  <c r="Y40" i="2"/>
  <c r="X40" i="2"/>
  <c r="Y39" i="2"/>
  <c r="X39" i="2"/>
  <c r="S39" i="2"/>
  <c r="T39" i="2" s="1"/>
  <c r="X38" i="2"/>
  <c r="Y38" i="2" s="1"/>
  <c r="S38" i="2"/>
  <c r="T38" i="2" s="1"/>
  <c r="J38" i="2"/>
  <c r="I38" i="2"/>
  <c r="S37" i="2"/>
  <c r="T37" i="2" s="1"/>
  <c r="J37" i="2"/>
  <c r="I37" i="2"/>
  <c r="E37" i="2"/>
  <c r="D37" i="2"/>
  <c r="N36" i="2"/>
  <c r="O36" i="2" s="1"/>
  <c r="J36" i="2"/>
  <c r="I36" i="2"/>
  <c r="D36" i="2"/>
  <c r="E36" i="2" s="1"/>
  <c r="O35" i="2"/>
  <c r="N35" i="2"/>
  <c r="I35" i="2"/>
  <c r="J35" i="2" s="1"/>
  <c r="D35" i="2"/>
  <c r="E35" i="2" s="1"/>
  <c r="AC34" i="2"/>
  <c r="AD34" i="2" s="1"/>
  <c r="Y34" i="2"/>
  <c r="X34" i="2"/>
  <c r="I34" i="2"/>
  <c r="J34" i="2" s="1"/>
  <c r="E34" i="2"/>
  <c r="D34" i="2"/>
  <c r="AC33" i="2"/>
  <c r="AD33" i="2" s="1"/>
  <c r="X33" i="2"/>
  <c r="Y33" i="2" s="1"/>
  <c r="S33" i="2"/>
  <c r="T33" i="2" s="1"/>
  <c r="O33" i="2"/>
  <c r="N33" i="2"/>
  <c r="I33" i="2"/>
  <c r="J33" i="2" s="1"/>
  <c r="E33" i="2"/>
  <c r="D33" i="2"/>
  <c r="AD32" i="2"/>
  <c r="AC32" i="2"/>
  <c r="Y32" i="2"/>
  <c r="X32" i="2"/>
  <c r="S32" i="2"/>
  <c r="T32" i="2" s="1"/>
  <c r="N32" i="2"/>
  <c r="O32" i="2" s="1"/>
  <c r="I32" i="2"/>
  <c r="J32" i="2" s="1"/>
  <c r="E32" i="2"/>
  <c r="D32" i="2"/>
  <c r="AC31" i="2"/>
  <c r="AD31" i="2" s="1"/>
  <c r="AD46" i="2" s="1"/>
  <c r="AD47" i="2" s="1"/>
  <c r="AD48" i="2" s="1"/>
  <c r="T31" i="2"/>
  <c r="S31" i="2"/>
  <c r="I31" i="2"/>
  <c r="J31" i="2" s="1"/>
  <c r="D31" i="2"/>
  <c r="E31" i="2" s="1"/>
  <c r="E46" i="2" s="1"/>
  <c r="E47" i="2" s="1"/>
  <c r="E48" i="2" s="1"/>
  <c r="X16" i="2"/>
  <c r="Y16" i="2" s="1"/>
  <c r="X15" i="2"/>
  <c r="Y15" i="2" s="1"/>
  <c r="Y14" i="2"/>
  <c r="X14" i="2"/>
  <c r="T13" i="2"/>
  <c r="S13" i="2"/>
  <c r="T12" i="2"/>
  <c r="S12" i="2"/>
  <c r="X11" i="2"/>
  <c r="Y11" i="2" s="1"/>
  <c r="S11" i="2"/>
  <c r="T11" i="2" s="1"/>
  <c r="X10" i="2"/>
  <c r="Y10" i="2" s="1"/>
  <c r="T10" i="2"/>
  <c r="S10" i="2"/>
  <c r="I10" i="2"/>
  <c r="J10" i="2" s="1"/>
  <c r="E10" i="2"/>
  <c r="D10" i="2"/>
  <c r="T9" i="2"/>
  <c r="S9" i="2"/>
  <c r="N9" i="2"/>
  <c r="O9" i="2" s="1"/>
  <c r="I9" i="2"/>
  <c r="J9" i="2" s="1"/>
  <c r="D9" i="2"/>
  <c r="E9" i="2" s="1"/>
  <c r="AD8" i="2"/>
  <c r="AC8" i="2"/>
  <c r="X8" i="2"/>
  <c r="Y8" i="2" s="1"/>
  <c r="S8" i="2"/>
  <c r="T8" i="2" s="1"/>
  <c r="O8" i="2"/>
  <c r="N8" i="2"/>
  <c r="J8" i="2"/>
  <c r="I8" i="2"/>
  <c r="D8" i="2"/>
  <c r="E8" i="2" s="1"/>
  <c r="AC7" i="2"/>
  <c r="AD7" i="2" s="1"/>
  <c r="X7" i="2"/>
  <c r="Y7" i="2" s="1"/>
  <c r="S7" i="2"/>
  <c r="T7" i="2" s="1"/>
  <c r="N7" i="2"/>
  <c r="O7" i="2" s="1"/>
  <c r="I7" i="2"/>
  <c r="J7" i="2" s="1"/>
  <c r="D7" i="2"/>
  <c r="E7" i="2" s="1"/>
  <c r="AD6" i="2"/>
  <c r="AC6" i="2"/>
  <c r="X6" i="2"/>
  <c r="Y6" i="2" s="1"/>
  <c r="S6" i="2"/>
  <c r="T6" i="2" s="1"/>
  <c r="N6" i="2"/>
  <c r="O6" i="2" s="1"/>
  <c r="I6" i="2"/>
  <c r="J6" i="2" s="1"/>
  <c r="D6" i="2"/>
  <c r="E6" i="2" s="1"/>
  <c r="AD5" i="2"/>
  <c r="AC5" i="2"/>
  <c r="X5" i="2"/>
  <c r="Y5" i="2" s="1"/>
  <c r="S5" i="2"/>
  <c r="T5" i="2" s="1"/>
  <c r="N5" i="2"/>
  <c r="O5" i="2" s="1"/>
  <c r="I5" i="2"/>
  <c r="J5" i="2" s="1"/>
  <c r="AC4" i="2"/>
  <c r="AD4" i="2" s="1"/>
  <c r="X4" i="2"/>
  <c r="Y4" i="2" s="1"/>
  <c r="T4" i="2"/>
  <c r="S4" i="2"/>
  <c r="I4" i="2"/>
  <c r="J4" i="2" s="1"/>
  <c r="D4" i="2"/>
  <c r="E4" i="2" s="1"/>
  <c r="Y161" i="1"/>
  <c r="N147" i="1"/>
  <c r="O147" i="1" s="1"/>
  <c r="D147" i="1"/>
  <c r="E147" i="1" s="1"/>
  <c r="S146" i="1"/>
  <c r="T146" i="1" s="1"/>
  <c r="N146" i="1"/>
  <c r="O146" i="1" s="1"/>
  <c r="D146" i="1"/>
  <c r="E146" i="1" s="1"/>
  <c r="AD145" i="1"/>
  <c r="AC145" i="1"/>
  <c r="Y145" i="1"/>
  <c r="X145" i="1"/>
  <c r="S145" i="1"/>
  <c r="T145" i="1" s="1"/>
  <c r="N145" i="1"/>
  <c r="O145" i="1" s="1"/>
  <c r="I145" i="1"/>
  <c r="J145" i="1" s="1"/>
  <c r="D145" i="1"/>
  <c r="E145" i="1" s="1"/>
  <c r="AC144" i="1"/>
  <c r="AD144" i="1" s="1"/>
  <c r="X144" i="1"/>
  <c r="Y144" i="1" s="1"/>
  <c r="S144" i="1"/>
  <c r="T144" i="1" s="1"/>
  <c r="O144" i="1"/>
  <c r="N144" i="1"/>
  <c r="J144" i="1"/>
  <c r="I144" i="1"/>
  <c r="D144" i="1"/>
  <c r="E144" i="1" s="1"/>
  <c r="AC143" i="1"/>
  <c r="AD143" i="1" s="1"/>
  <c r="X143" i="1"/>
  <c r="Y143" i="1" s="1"/>
  <c r="S143" i="1"/>
  <c r="T143" i="1" s="1"/>
  <c r="N143" i="1"/>
  <c r="O143" i="1" s="1"/>
  <c r="I143" i="1"/>
  <c r="J143" i="1" s="1"/>
  <c r="AD142" i="1"/>
  <c r="AC142" i="1"/>
  <c r="X142" i="1"/>
  <c r="Y142" i="1" s="1"/>
  <c r="S142" i="1"/>
  <c r="T142" i="1" s="1"/>
  <c r="N142" i="1"/>
  <c r="O142" i="1" s="1"/>
  <c r="I142" i="1"/>
  <c r="J142" i="1" s="1"/>
  <c r="AD141" i="1"/>
  <c r="AC141" i="1"/>
  <c r="X141" i="1"/>
  <c r="Y141" i="1" s="1"/>
  <c r="S141" i="1"/>
  <c r="T141" i="1" s="1"/>
  <c r="N141" i="1"/>
  <c r="O141" i="1" s="1"/>
  <c r="I141" i="1"/>
  <c r="J141" i="1" s="1"/>
  <c r="D141" i="1"/>
  <c r="E141" i="1" s="1"/>
  <c r="AC140" i="1"/>
  <c r="AD140" i="1" s="1"/>
  <c r="X140" i="1"/>
  <c r="Y140" i="1" s="1"/>
  <c r="T140" i="1"/>
  <c r="S140" i="1"/>
  <c r="O140" i="1"/>
  <c r="N140" i="1"/>
  <c r="I140" i="1"/>
  <c r="J140" i="1" s="1"/>
  <c r="D140" i="1"/>
  <c r="E140" i="1" s="1"/>
  <c r="AC139" i="1"/>
  <c r="AD139" i="1" s="1"/>
  <c r="AD154" i="1" s="1"/>
  <c r="AD155" i="1" s="1"/>
  <c r="AD156" i="1" s="1"/>
  <c r="X139" i="1"/>
  <c r="Y139" i="1" s="1"/>
  <c r="Y154" i="1" s="1"/>
  <c r="Y155" i="1" s="1"/>
  <c r="Y156" i="1" s="1"/>
  <c r="Y158" i="1" s="1"/>
  <c r="Y159" i="1" s="1"/>
  <c r="Y160" i="1" s="1"/>
  <c r="S139" i="1"/>
  <c r="T139" i="1" s="1"/>
  <c r="N139" i="1"/>
  <c r="O139" i="1" s="1"/>
  <c r="I139" i="1"/>
  <c r="J139" i="1" s="1"/>
  <c r="AC118" i="1"/>
  <c r="AD118" i="1" s="1"/>
  <c r="AD117" i="1"/>
  <c r="AC117" i="1"/>
  <c r="AD115" i="1"/>
  <c r="AC115" i="1"/>
  <c r="Y115" i="1"/>
  <c r="X115" i="1"/>
  <c r="T115" i="1"/>
  <c r="S115" i="1"/>
  <c r="AI114" i="1"/>
  <c r="AH114" i="1"/>
  <c r="AD114" i="1"/>
  <c r="AC114" i="1"/>
  <c r="S114" i="1"/>
  <c r="T114" i="1" s="1"/>
  <c r="N114" i="1"/>
  <c r="O114" i="1" s="1"/>
  <c r="E114" i="1"/>
  <c r="AC113" i="1"/>
  <c r="AD113" i="1" s="1"/>
  <c r="X113" i="1"/>
  <c r="Y113" i="1" s="1"/>
  <c r="S113" i="1"/>
  <c r="T113" i="1" s="1"/>
  <c r="N113" i="1"/>
  <c r="O113" i="1" s="1"/>
  <c r="AH112" i="1"/>
  <c r="AI112" i="1" s="1"/>
  <c r="AC112" i="1"/>
  <c r="AD112" i="1" s="1"/>
  <c r="Y112" i="1"/>
  <c r="X112" i="1"/>
  <c r="D92" i="1"/>
  <c r="E92" i="1" s="1"/>
  <c r="AC91" i="1"/>
  <c r="AD91" i="1" s="1"/>
  <c r="D91" i="1"/>
  <c r="E91" i="1" s="1"/>
  <c r="AC90" i="1"/>
  <c r="AD90" i="1" s="1"/>
  <c r="D90" i="1"/>
  <c r="E90" i="1" s="1"/>
  <c r="O89" i="1"/>
  <c r="N89" i="1"/>
  <c r="I89" i="1"/>
  <c r="J89" i="1" s="1"/>
  <c r="D89" i="1"/>
  <c r="E89" i="1" s="1"/>
  <c r="AC88" i="1"/>
  <c r="AD88" i="1" s="1"/>
  <c r="N88" i="1"/>
  <c r="O88" i="1" s="1"/>
  <c r="I88" i="1"/>
  <c r="J88" i="1" s="1"/>
  <c r="E88" i="1"/>
  <c r="D88" i="1"/>
  <c r="AC87" i="1"/>
  <c r="AD87" i="1" s="1"/>
  <c r="X87" i="1"/>
  <c r="Y87" i="1" s="1"/>
  <c r="S87" i="1"/>
  <c r="T87" i="1" s="1"/>
  <c r="N87" i="1"/>
  <c r="O87" i="1" s="1"/>
  <c r="I87" i="1"/>
  <c r="J87" i="1" s="1"/>
  <c r="D87" i="1"/>
  <c r="E87" i="1" s="1"/>
  <c r="AC86" i="1"/>
  <c r="AD86" i="1" s="1"/>
  <c r="Y86" i="1"/>
  <c r="X86" i="1"/>
  <c r="T86" i="1"/>
  <c r="T100" i="1" s="1"/>
  <c r="T101" i="1" s="1"/>
  <c r="T102" i="1" s="1"/>
  <c r="S86" i="1"/>
  <c r="I86" i="1"/>
  <c r="J86" i="1" s="1"/>
  <c r="D86" i="1"/>
  <c r="E86" i="1" s="1"/>
  <c r="AH85" i="1"/>
  <c r="AI85" i="1" s="1"/>
  <c r="AI100" i="1" s="1"/>
  <c r="AI101" i="1" s="1"/>
  <c r="AI102" i="1" s="1"/>
  <c r="AC85" i="1"/>
  <c r="AD85" i="1" s="1"/>
  <c r="X85" i="1"/>
  <c r="Y85" i="1" s="1"/>
  <c r="S85" i="1"/>
  <c r="T85" i="1" s="1"/>
  <c r="O85" i="1"/>
  <c r="N85" i="1"/>
  <c r="J85" i="1"/>
  <c r="I85" i="1"/>
  <c r="D85" i="1"/>
  <c r="E85" i="1" s="1"/>
  <c r="X64" i="1"/>
  <c r="Y64" i="1" s="1"/>
  <c r="X63" i="1"/>
  <c r="Y63" i="1" s="1"/>
  <c r="S63" i="1"/>
  <c r="T63" i="1" s="1"/>
  <c r="AI62" i="1"/>
  <c r="AH62" i="1"/>
  <c r="AD62" i="1"/>
  <c r="AC62" i="1"/>
  <c r="X62" i="1"/>
  <c r="Y62" i="1" s="1"/>
  <c r="S62" i="1"/>
  <c r="T62" i="1" s="1"/>
  <c r="AI61" i="1"/>
  <c r="AH61" i="1"/>
  <c r="S61" i="1"/>
  <c r="T61" i="1" s="1"/>
  <c r="O61" i="1"/>
  <c r="N61" i="1"/>
  <c r="AI60" i="1"/>
  <c r="AH60" i="1"/>
  <c r="X60" i="1"/>
  <c r="Y60" i="1" s="1"/>
  <c r="T60" i="1"/>
  <c r="S60" i="1"/>
  <c r="O60" i="1"/>
  <c r="N60" i="1"/>
  <c r="I60" i="1"/>
  <c r="J60" i="1" s="1"/>
  <c r="J73" i="1" s="1"/>
  <c r="J74" i="1" s="1"/>
  <c r="J75" i="1" s="1"/>
  <c r="D60" i="1"/>
  <c r="E60" i="1" s="1"/>
  <c r="AI59" i="1"/>
  <c r="AH59" i="1"/>
  <c r="AD59" i="1"/>
  <c r="AC59" i="1"/>
  <c r="X59" i="1"/>
  <c r="Y59" i="1" s="1"/>
  <c r="S59" i="1"/>
  <c r="T59" i="1" s="1"/>
  <c r="O59" i="1"/>
  <c r="N59" i="1"/>
  <c r="J59" i="1"/>
  <c r="I59" i="1"/>
  <c r="D59" i="1"/>
  <c r="E59" i="1" s="1"/>
  <c r="AH58" i="1"/>
  <c r="AI58" i="1" s="1"/>
  <c r="Y58" i="1"/>
  <c r="X58" i="1"/>
  <c r="S58" i="1"/>
  <c r="T58" i="1" s="1"/>
  <c r="T73" i="1" s="1"/>
  <c r="T74" i="1" s="1"/>
  <c r="T75" i="1" s="1"/>
  <c r="N58" i="1"/>
  <c r="O58" i="1" s="1"/>
  <c r="J58" i="1"/>
  <c r="I58" i="1"/>
  <c r="E58" i="1"/>
  <c r="D58" i="1"/>
  <c r="J37" i="1"/>
  <c r="I37" i="1"/>
  <c r="I36" i="1"/>
  <c r="J36" i="1" s="1"/>
  <c r="E36" i="1"/>
  <c r="D36" i="1"/>
  <c r="N35" i="1"/>
  <c r="O35" i="1" s="1"/>
  <c r="J35" i="1"/>
  <c r="I35" i="1"/>
  <c r="E35" i="1"/>
  <c r="D35" i="1"/>
  <c r="X34" i="1"/>
  <c r="Y34" i="1" s="1"/>
  <c r="J34" i="1"/>
  <c r="I34" i="1"/>
  <c r="D34" i="1"/>
  <c r="E34" i="1" s="1"/>
  <c r="AC33" i="1"/>
  <c r="AD33" i="1" s="1"/>
  <c r="Y33" i="1"/>
  <c r="X33" i="1"/>
  <c r="T33" i="1"/>
  <c r="S33" i="1"/>
  <c r="N33" i="1"/>
  <c r="O33" i="1" s="1"/>
  <c r="I33" i="1"/>
  <c r="J33" i="1" s="1"/>
  <c r="E33" i="1"/>
  <c r="D33" i="1"/>
  <c r="AD32" i="1"/>
  <c r="AC32" i="1"/>
  <c r="X32" i="1"/>
  <c r="Y32" i="1" s="1"/>
  <c r="S32" i="1"/>
  <c r="T32" i="1" s="1"/>
  <c r="O32" i="1"/>
  <c r="N32" i="1"/>
  <c r="J32" i="1"/>
  <c r="I32" i="1"/>
  <c r="D32" i="1"/>
  <c r="E32" i="1" s="1"/>
  <c r="AD31" i="1"/>
  <c r="AD46" i="1" s="1"/>
  <c r="AD47" i="1" s="1"/>
  <c r="AD48" i="1" s="1"/>
  <c r="AC31" i="1"/>
  <c r="S31" i="1"/>
  <c r="T31" i="1" s="1"/>
  <c r="J31" i="1"/>
  <c r="I31" i="1"/>
  <c r="E31" i="1"/>
  <c r="D31" i="1"/>
  <c r="AI13" i="1"/>
  <c r="AH13" i="1"/>
  <c r="AH12" i="1"/>
  <c r="AI12" i="1" s="1"/>
  <c r="T12" i="1"/>
  <c r="S12" i="1"/>
  <c r="AH11" i="1"/>
  <c r="AI11" i="1" s="1"/>
  <c r="X11" i="1"/>
  <c r="Y11" i="1" s="1"/>
  <c r="T11" i="1"/>
  <c r="S11" i="1"/>
  <c r="AI10" i="1"/>
  <c r="AH10" i="1"/>
  <c r="X10" i="1"/>
  <c r="Y10" i="1" s="1"/>
  <c r="S10" i="1"/>
  <c r="T10" i="1" s="1"/>
  <c r="AI9" i="1"/>
  <c r="AH9" i="1"/>
  <c r="S9" i="1"/>
  <c r="T9" i="1" s="1"/>
  <c r="I9" i="1"/>
  <c r="J9" i="1" s="1"/>
  <c r="E9" i="1"/>
  <c r="D9" i="1"/>
  <c r="AI8" i="1"/>
  <c r="AH8" i="1"/>
  <c r="X8" i="1"/>
  <c r="Y8" i="1" s="1"/>
  <c r="S8" i="1"/>
  <c r="T8" i="1" s="1"/>
  <c r="O8" i="1"/>
  <c r="N8" i="1"/>
  <c r="J8" i="1"/>
  <c r="I8" i="1"/>
  <c r="D8" i="1"/>
  <c r="E8" i="1" s="1"/>
  <c r="AH7" i="1"/>
  <c r="AI7" i="1" s="1"/>
  <c r="AD7" i="1"/>
  <c r="AC7" i="1"/>
  <c r="Y7" i="1"/>
  <c r="X7" i="1"/>
  <c r="S7" i="1"/>
  <c r="T7" i="1" s="1"/>
  <c r="N7" i="1"/>
  <c r="O7" i="1" s="1"/>
  <c r="J7" i="1"/>
  <c r="I7" i="1"/>
  <c r="E7" i="1"/>
  <c r="D7" i="1"/>
  <c r="AH6" i="1"/>
  <c r="AI6" i="1" s="1"/>
  <c r="AC6" i="1"/>
  <c r="AD6" i="1" s="1"/>
  <c r="Y6" i="1"/>
  <c r="X6" i="1"/>
  <c r="T6" i="1"/>
  <c r="S6" i="1"/>
  <c r="N6" i="1"/>
  <c r="O6" i="1" s="1"/>
  <c r="I6" i="1"/>
  <c r="J6" i="1" s="1"/>
  <c r="E6" i="1"/>
  <c r="D6" i="1"/>
  <c r="AI5" i="1"/>
  <c r="AH5" i="1"/>
  <c r="AC5" i="1"/>
  <c r="AD5" i="1" s="1"/>
  <c r="X5" i="1"/>
  <c r="Y5" i="1" s="1"/>
  <c r="T5" i="1"/>
  <c r="S5" i="1"/>
  <c r="O5" i="1"/>
  <c r="N5" i="1"/>
  <c r="I5" i="1"/>
  <c r="J5" i="1" s="1"/>
  <c r="AI4" i="1"/>
  <c r="AH4" i="1"/>
  <c r="AD4" i="1"/>
  <c r="AD19" i="1" s="1"/>
  <c r="AD20" i="1" s="1"/>
  <c r="AD21" i="1" s="1"/>
  <c r="AC4" i="1"/>
  <c r="X4" i="1"/>
  <c r="Y4" i="1" s="1"/>
  <c r="S4" i="1"/>
  <c r="T4" i="1" s="1"/>
  <c r="T19" i="1" s="1"/>
  <c r="T20" i="1" s="1"/>
  <c r="T21" i="1" s="1"/>
  <c r="J4" i="1"/>
  <c r="I4" i="1"/>
  <c r="AD23" i="1" l="1"/>
  <c r="AD25" i="1" s="1"/>
  <c r="AD26" i="1"/>
  <c r="T77" i="1"/>
  <c r="T79" i="1" s="1"/>
  <c r="T80" i="1"/>
  <c r="AD50" i="1"/>
  <c r="AD52" i="1" s="1"/>
  <c r="AD53" i="1"/>
  <c r="J77" i="1"/>
  <c r="J79" i="1" s="1"/>
  <c r="J80" i="1"/>
  <c r="T107" i="1"/>
  <c r="T104" i="1"/>
  <c r="T106" i="1" s="1"/>
  <c r="T23" i="1"/>
  <c r="T25" i="1" s="1"/>
  <c r="T26" i="1"/>
  <c r="Y100" i="1"/>
  <c r="Y101" i="1" s="1"/>
  <c r="Y102" i="1" s="1"/>
  <c r="J46" i="2"/>
  <c r="J47" i="2" s="1"/>
  <c r="J48" i="2" s="1"/>
  <c r="J72" i="3"/>
  <c r="J74" i="3" s="1"/>
  <c r="J75" i="3"/>
  <c r="D542" i="8"/>
  <c r="B542" i="8" s="1"/>
  <c r="E147" i="3"/>
  <c r="T171" i="3"/>
  <c r="T168" i="3"/>
  <c r="T170" i="3" s="1"/>
  <c r="J161" i="2"/>
  <c r="J158" i="2"/>
  <c r="J160" i="2" s="1"/>
  <c r="E130" i="3"/>
  <c r="E132" i="3" s="1"/>
  <c r="E133" i="3"/>
  <c r="J104" i="2"/>
  <c r="J106" i="2" s="1"/>
  <c r="J107" i="2"/>
  <c r="T53" i="3"/>
  <c r="T55" i="3" s="1"/>
  <c r="T56" i="3"/>
  <c r="D536" i="8"/>
  <c r="B536" i="8" s="1"/>
  <c r="T70" i="3"/>
  <c r="J130" i="3"/>
  <c r="J132" i="3" s="1"/>
  <c r="J133" i="3"/>
  <c r="T154" i="1"/>
  <c r="T155" i="1" s="1"/>
  <c r="T156" i="1" s="1"/>
  <c r="J19" i="2"/>
  <c r="J20" i="2" s="1"/>
  <c r="J21" i="2" s="1"/>
  <c r="E80" i="2"/>
  <c r="E77" i="2"/>
  <c r="E79" i="2" s="1"/>
  <c r="Y158" i="2"/>
  <c r="Y159" i="2" s="1"/>
  <c r="Y160" i="2" s="1"/>
  <c r="Y161" i="2"/>
  <c r="J145" i="3"/>
  <c r="J146" i="3" s="1"/>
  <c r="J147" i="3" s="1"/>
  <c r="E187" i="3"/>
  <c r="E189" i="3" s="1"/>
  <c r="E190" i="3"/>
  <c r="J190" i="3"/>
  <c r="J187" i="3"/>
  <c r="J189" i="3" s="1"/>
  <c r="N86" i="2"/>
  <c r="O86" i="2" s="1"/>
  <c r="D5" i="1"/>
  <c r="E5" i="1" s="1"/>
  <c r="E19" i="1" s="1"/>
  <c r="E20" i="1" s="1"/>
  <c r="E21" i="1" s="1"/>
  <c r="AH85" i="2"/>
  <c r="AI85" i="2" s="1"/>
  <c r="AI100" i="2" s="1"/>
  <c r="AI101" i="2" s="1"/>
  <c r="AI102" i="2" s="1"/>
  <c r="D5" i="2"/>
  <c r="E5" i="2" s="1"/>
  <c r="E19" i="2" s="1"/>
  <c r="E20" i="2" s="1"/>
  <c r="E21" i="2" s="1"/>
  <c r="N86" i="1"/>
  <c r="O86" i="1" s="1"/>
  <c r="E111" i="3"/>
  <c r="E113" i="3" s="1"/>
  <c r="E114" i="3"/>
  <c r="E50" i="2"/>
  <c r="E52" i="2" s="1"/>
  <c r="E53" i="2"/>
  <c r="E73" i="1"/>
  <c r="E74" i="1" s="1"/>
  <c r="E75" i="1" s="1"/>
  <c r="E100" i="1"/>
  <c r="E101" i="1" s="1"/>
  <c r="E102" i="1" s="1"/>
  <c r="AI107" i="1"/>
  <c r="AI104" i="1"/>
  <c r="AI106" i="1" s="1"/>
  <c r="E49" i="3"/>
  <c r="E50" i="3" s="1"/>
  <c r="E51" i="3" s="1"/>
  <c r="O56" i="3"/>
  <c r="O53" i="3"/>
  <c r="O55" i="3" s="1"/>
  <c r="E95" i="3"/>
  <c r="E92" i="3"/>
  <c r="E94" i="3" s="1"/>
  <c r="O152" i="3"/>
  <c r="O149" i="3"/>
  <c r="O151" i="3" s="1"/>
  <c r="E19" i="4"/>
  <c r="E20" i="4" s="1"/>
  <c r="E21" i="4" s="1"/>
  <c r="AD53" i="2"/>
  <c r="AD50" i="2"/>
  <c r="AD52" i="2" s="1"/>
  <c r="O73" i="2"/>
  <c r="O74" i="2" s="1"/>
  <c r="O75" i="2" s="1"/>
  <c r="AD158" i="2"/>
  <c r="AD159" i="2" s="1"/>
  <c r="AD160" i="2" s="1"/>
  <c r="O158" i="2"/>
  <c r="O159" i="2" s="1"/>
  <c r="O160" i="2" s="1"/>
  <c r="T133" i="3"/>
  <c r="T130" i="3"/>
  <c r="T132" i="3" s="1"/>
  <c r="O191" i="3"/>
  <c r="O188" i="3"/>
  <c r="O190" i="3" s="1"/>
  <c r="N34" i="1"/>
  <c r="O34" i="1" s="1"/>
  <c r="N34" i="2"/>
  <c r="O34" i="2" s="1"/>
  <c r="O75" i="3"/>
  <c r="O72" i="3"/>
  <c r="O74" i="3" s="1"/>
  <c r="J79" i="4"/>
  <c r="J81" i="4" s="1"/>
  <c r="J82" i="4"/>
  <c r="T19" i="2"/>
  <c r="T20" i="2" s="1"/>
  <c r="T21" i="2" s="1"/>
  <c r="J100" i="1"/>
  <c r="J101" i="1" s="1"/>
  <c r="J102" i="1" s="1"/>
  <c r="T77" i="2"/>
  <c r="T79" i="2" s="1"/>
  <c r="T80" i="2"/>
  <c r="D535" i="8"/>
  <c r="B535" i="8" s="1"/>
  <c r="D113" i="1" s="1"/>
  <c r="E113" i="1" s="1"/>
  <c r="T13" i="3"/>
  <c r="O37" i="3"/>
  <c r="O34" i="3"/>
  <c r="O36" i="3" s="1"/>
  <c r="O111" i="3"/>
  <c r="O113" i="3" s="1"/>
  <c r="O114" i="3"/>
  <c r="E171" i="3"/>
  <c r="E168" i="3"/>
  <c r="E170" i="3" s="1"/>
  <c r="E165" i="4"/>
  <c r="E162" i="4"/>
  <c r="E164" i="4" s="1"/>
  <c r="S119" i="2"/>
  <c r="T119" i="2" s="1"/>
  <c r="AC63" i="2"/>
  <c r="AD63" i="2" s="1"/>
  <c r="X116" i="1"/>
  <c r="Y116" i="1" s="1"/>
  <c r="X115" i="2"/>
  <c r="Y115" i="2" s="1"/>
  <c r="AH63" i="1"/>
  <c r="AI63" i="1" s="1"/>
  <c r="AH14" i="1"/>
  <c r="AI14" i="1" s="1"/>
  <c r="X12" i="1"/>
  <c r="Y12" i="1" s="1"/>
  <c r="AC119" i="1"/>
  <c r="AD119" i="1" s="1"/>
  <c r="N148" i="1"/>
  <c r="O148" i="1" s="1"/>
  <c r="AC63" i="1"/>
  <c r="AD63" i="1" s="1"/>
  <c r="X36" i="1"/>
  <c r="Y36" i="1" s="1"/>
  <c r="AC118" i="2"/>
  <c r="AD118" i="2" s="1"/>
  <c r="X12" i="2"/>
  <c r="Y12" i="2" s="1"/>
  <c r="S35" i="1"/>
  <c r="T35" i="1" s="1"/>
  <c r="AH115" i="1"/>
  <c r="AI115" i="1" s="1"/>
  <c r="AH63" i="2"/>
  <c r="AI63" i="2" s="1"/>
  <c r="N116" i="2"/>
  <c r="O116" i="2" s="1"/>
  <c r="X36" i="2"/>
  <c r="Y36" i="2" s="1"/>
  <c r="S35" i="2"/>
  <c r="T35" i="2" s="1"/>
  <c r="D148" i="2"/>
  <c r="E148" i="2" s="1"/>
  <c r="AH120" i="2"/>
  <c r="AI120" i="2" s="1"/>
  <c r="O100" i="1"/>
  <c r="O101" i="1" s="1"/>
  <c r="O102" i="1" s="1"/>
  <c r="J34" i="3"/>
  <c r="J36" i="3" s="1"/>
  <c r="J37" i="3"/>
  <c r="D243" i="8"/>
  <c r="B243" i="8" s="1"/>
  <c r="N198" i="4" s="1"/>
  <c r="O198" i="4" s="1"/>
  <c r="O23" i="4"/>
  <c r="O25" i="4" s="1"/>
  <c r="O26" i="4"/>
  <c r="J46" i="1"/>
  <c r="J47" i="1" s="1"/>
  <c r="J48" i="1" s="1"/>
  <c r="AD158" i="1"/>
  <c r="AD159" i="1" s="1"/>
  <c r="AD160" i="1" s="1"/>
  <c r="AD161" i="1"/>
  <c r="J19" i="1"/>
  <c r="J20" i="1" s="1"/>
  <c r="J21" i="1" s="1"/>
  <c r="E46" i="1"/>
  <c r="E47" i="1" s="1"/>
  <c r="E48" i="1" s="1"/>
  <c r="O73" i="1"/>
  <c r="O74" i="1" s="1"/>
  <c r="O75" i="1" s="1"/>
  <c r="AD19" i="2"/>
  <c r="AD20" i="2" s="1"/>
  <c r="AD21" i="2" s="1"/>
  <c r="E100" i="2"/>
  <c r="E101" i="2" s="1"/>
  <c r="E102" i="2" s="1"/>
  <c r="T95" i="3"/>
  <c r="T92" i="3"/>
  <c r="T94" i="3" s="1"/>
  <c r="O109" i="4"/>
  <c r="O106" i="4"/>
  <c r="O108" i="4" s="1"/>
  <c r="X35" i="1"/>
  <c r="Y35" i="1" s="1"/>
  <c r="X35" i="2"/>
  <c r="Y35" i="2" s="1"/>
  <c r="J86" i="5"/>
  <c r="J87" i="5" s="1"/>
  <c r="D449" i="8" s="1"/>
  <c r="B449" i="8" s="1"/>
  <c r="E37" i="3"/>
  <c r="E34" i="3"/>
  <c r="E36" i="3" s="1"/>
  <c r="J102" i="4"/>
  <c r="J103" i="4" s="1"/>
  <c r="J104" i="4" s="1"/>
  <c r="S34" i="1"/>
  <c r="T34" i="1" s="1"/>
  <c r="Y100" i="2"/>
  <c r="Y101" i="2" s="1"/>
  <c r="Y102" i="2" s="1"/>
  <c r="E185" i="4"/>
  <c r="E186" i="4" s="1"/>
  <c r="E187" i="4" s="1"/>
  <c r="J168" i="3"/>
  <c r="J170" i="3" s="1"/>
  <c r="J171" i="3"/>
  <c r="E131" i="4"/>
  <c r="E132" i="4" s="1"/>
  <c r="E133" i="4" s="1"/>
  <c r="AH113" i="2"/>
  <c r="AI113" i="2" s="1"/>
  <c r="X63" i="2"/>
  <c r="Y63" i="2" s="1"/>
  <c r="E129" i="5"/>
  <c r="E130" i="5" s="1"/>
  <c r="D462" i="8" s="1"/>
  <c r="B462" i="8" s="1"/>
  <c r="AC116" i="1"/>
  <c r="AD116" i="1" s="1"/>
  <c r="T30" i="3"/>
  <c r="T31" i="3" s="1"/>
  <c r="T32" i="3" s="1"/>
  <c r="J107" i="3"/>
  <c r="J108" i="3" s="1"/>
  <c r="J109" i="3" s="1"/>
  <c r="O75" i="4"/>
  <c r="O76" i="4" s="1"/>
  <c r="O77" i="4" s="1"/>
  <c r="I114" i="4"/>
  <c r="J114" i="4" s="1"/>
  <c r="J131" i="4" s="1"/>
  <c r="J132" i="4" s="1"/>
  <c r="J133" i="4" s="1"/>
  <c r="J48" i="5"/>
  <c r="J49" i="5" s="1"/>
  <c r="D444" i="8" s="1"/>
  <c r="B444" i="8" s="1"/>
  <c r="O100" i="2"/>
  <c r="O101" i="2" s="1"/>
  <c r="O102" i="2" s="1"/>
  <c r="I546" i="6"/>
  <c r="J546" i="6" s="1"/>
  <c r="J555" i="6" s="1"/>
  <c r="J556" i="6" s="1"/>
  <c r="J557" i="6" s="1"/>
  <c r="I147" i="6"/>
  <c r="J147" i="6" s="1"/>
  <c r="T100" i="2"/>
  <c r="T101" i="2" s="1"/>
  <c r="T102" i="2" s="1"/>
  <c r="J49" i="3"/>
  <c r="J50" i="3" s="1"/>
  <c r="J51" i="3" s="1"/>
  <c r="O88" i="3"/>
  <c r="O89" i="3" s="1"/>
  <c r="O90" i="3" s="1"/>
  <c r="O126" i="3"/>
  <c r="O127" i="3" s="1"/>
  <c r="O13" i="5"/>
  <c r="T68" i="5"/>
  <c r="T69" i="5" s="1"/>
  <c r="J11" i="3"/>
  <c r="J12" i="3" s="1"/>
  <c r="J13" i="3" s="1"/>
  <c r="J92" i="3"/>
  <c r="J94" i="3" s="1"/>
  <c r="J158" i="4"/>
  <c r="J159" i="4" s="1"/>
  <c r="J160" i="4" s="1"/>
  <c r="T104" i="5"/>
  <c r="D424" i="8" s="1"/>
  <c r="B424" i="8" s="1"/>
  <c r="J19" i="4"/>
  <c r="J20" i="4" s="1"/>
  <c r="J21" i="4" s="1"/>
  <c r="O158" i="4"/>
  <c r="O159" i="4" s="1"/>
  <c r="O160" i="4" s="1"/>
  <c r="O29" i="5"/>
  <c r="J69" i="5"/>
  <c r="J70" i="5" s="1"/>
  <c r="D454" i="8" s="1"/>
  <c r="B454" i="8" s="1"/>
  <c r="T182" i="5"/>
  <c r="E219" i="5"/>
  <c r="D489" i="8" s="1"/>
  <c r="B489" i="8" s="1"/>
  <c r="D197" i="6" s="1"/>
  <c r="E197" i="6" s="1"/>
  <c r="E218" i="5"/>
  <c r="J73" i="2"/>
  <c r="J74" i="2" s="1"/>
  <c r="J75" i="2" s="1"/>
  <c r="E72" i="3"/>
  <c r="E74" i="3" s="1"/>
  <c r="E75" i="3"/>
  <c r="E46" i="4"/>
  <c r="E47" i="4" s="1"/>
  <c r="E48" i="4" s="1"/>
  <c r="O11" i="3"/>
  <c r="O12" i="3" s="1"/>
  <c r="O13" i="3" s="1"/>
  <c r="E18" i="3"/>
  <c r="S100" i="3"/>
  <c r="T100" i="3" s="1"/>
  <c r="T107" i="3" s="1"/>
  <c r="T108" i="3" s="1"/>
  <c r="T109" i="3" s="1"/>
  <c r="O171" i="3"/>
  <c r="O168" i="3"/>
  <c r="O170" i="3" s="1"/>
  <c r="J46" i="4"/>
  <c r="J47" i="4" s="1"/>
  <c r="J48" i="4" s="1"/>
  <c r="E220" i="4"/>
  <c r="O276" i="5"/>
  <c r="O277" i="5" s="1"/>
  <c r="D501" i="8" s="1"/>
  <c r="B501" i="8" s="1"/>
  <c r="N274" i="5"/>
  <c r="O274" i="5" s="1"/>
  <c r="S116" i="2"/>
  <c r="T116" i="2" s="1"/>
  <c r="E108" i="5"/>
  <c r="E109" i="5"/>
  <c r="D421" i="8" s="1"/>
  <c r="B421" i="8" s="1"/>
  <c r="E75" i="4"/>
  <c r="E76" i="4" s="1"/>
  <c r="E77" i="4" s="1"/>
  <c r="O185" i="4"/>
  <c r="O186" i="4" s="1"/>
  <c r="O187" i="4" s="1"/>
  <c r="J213" i="4"/>
  <c r="J214" i="4" s="1"/>
  <c r="J215" i="4" s="1"/>
  <c r="O163" i="5"/>
  <c r="O202" i="5"/>
  <c r="J238" i="5"/>
  <c r="J239" i="5" s="1"/>
  <c r="D496" i="8" s="1"/>
  <c r="B496" i="8" s="1"/>
  <c r="I227" i="6" s="1"/>
  <c r="J227" i="6" s="1"/>
  <c r="J53" i="6"/>
  <c r="J50" i="6"/>
  <c r="J52" i="6" s="1"/>
  <c r="T183" i="3"/>
  <c r="T184" i="3" s="1"/>
  <c r="T185" i="3" s="1"/>
  <c r="O131" i="4"/>
  <c r="O132" i="4" s="1"/>
  <c r="O133" i="4" s="1"/>
  <c r="O47" i="5"/>
  <c r="O48" i="5" s="1"/>
  <c r="D415" i="8" s="1"/>
  <c r="B415" i="8" s="1"/>
  <c r="J299" i="6"/>
  <c r="J301" i="6" s="1"/>
  <c r="J302" i="6"/>
  <c r="T52" i="5"/>
  <c r="T53" i="5" s="1"/>
  <c r="N577" i="6"/>
  <c r="O577" i="6" s="1"/>
  <c r="D657" i="6"/>
  <c r="E657" i="6" s="1"/>
  <c r="E663" i="6" s="1"/>
  <c r="E664" i="6" s="1"/>
  <c r="E665" i="6" s="1"/>
  <c r="I121" i="6"/>
  <c r="J121" i="6" s="1"/>
  <c r="J131" i="6" s="1"/>
  <c r="J132" i="6" s="1"/>
  <c r="J133" i="6" s="1"/>
  <c r="J183" i="5"/>
  <c r="J184" i="5" s="1"/>
  <c r="T243" i="5"/>
  <c r="J102" i="6"/>
  <c r="J103" i="6" s="1"/>
  <c r="J104" i="6" s="1"/>
  <c r="O222" i="5"/>
  <c r="O223" i="5" s="1"/>
  <c r="D493" i="8" s="1"/>
  <c r="B493" i="8" s="1"/>
  <c r="D224" i="6" s="1"/>
  <c r="E224" i="6" s="1"/>
  <c r="E239" i="6" s="1"/>
  <c r="E240" i="6" s="1"/>
  <c r="E241" i="6" s="1"/>
  <c r="E282" i="5"/>
  <c r="E283" i="5" s="1"/>
  <c r="D471" i="8" s="1"/>
  <c r="B471" i="8" s="1"/>
  <c r="E19" i="6"/>
  <c r="E20" i="6" s="1"/>
  <c r="E21" i="6" s="1"/>
  <c r="O19" i="6"/>
  <c r="O20" i="6" s="1"/>
  <c r="O21" i="6" s="1"/>
  <c r="O46" i="4"/>
  <c r="O47" i="4" s="1"/>
  <c r="O48" i="4" s="1"/>
  <c r="J102" i="5"/>
  <c r="J103" i="5" s="1"/>
  <c r="T145" i="5"/>
  <c r="E199" i="5"/>
  <c r="O296" i="5"/>
  <c r="O297" i="5" s="1"/>
  <c r="D425" i="8" s="1"/>
  <c r="B425" i="8" s="1"/>
  <c r="I810" i="6" s="1"/>
  <c r="J810" i="6" s="1"/>
  <c r="J825" i="6" s="1"/>
  <c r="J826" i="6" s="1"/>
  <c r="J827" i="6" s="1"/>
  <c r="O135" i="6"/>
  <c r="O137" i="6" s="1"/>
  <c r="O138" i="6"/>
  <c r="O75" i="6"/>
  <c r="O76" i="6" s="1"/>
  <c r="O77" i="6" s="1"/>
  <c r="E829" i="6"/>
  <c r="E831" i="6" s="1"/>
  <c r="E832" i="6"/>
  <c r="O46" i="6"/>
  <c r="O47" i="6" s="1"/>
  <c r="O48" i="6" s="1"/>
  <c r="J75" i="6"/>
  <c r="J76" i="6" s="1"/>
  <c r="J77" i="6" s="1"/>
  <c r="O109" i="6"/>
  <c r="O106" i="6"/>
  <c r="O108" i="6" s="1"/>
  <c r="J12" i="5"/>
  <c r="J13" i="5" s="1"/>
  <c r="T161" i="5"/>
  <c r="T198" i="5"/>
  <c r="T261" i="5"/>
  <c r="T262" i="5" s="1"/>
  <c r="D241" i="8" s="1"/>
  <c r="B241" i="8" s="1"/>
  <c r="N540" i="6" s="1"/>
  <c r="O540" i="6" s="1"/>
  <c r="J19" i="6"/>
  <c r="J20" i="6" s="1"/>
  <c r="J21" i="6" s="1"/>
  <c r="E131" i="6"/>
  <c r="E132" i="6" s="1"/>
  <c r="E133" i="6" s="1"/>
  <c r="O333" i="6"/>
  <c r="O330" i="6"/>
  <c r="O332" i="6" s="1"/>
  <c r="J357" i="6"/>
  <c r="J359" i="6" s="1"/>
  <c r="J360" i="6"/>
  <c r="O216" i="6"/>
  <c r="O218" i="6" s="1"/>
  <c r="O219" i="6"/>
  <c r="O268" i="6"/>
  <c r="O269" i="6" s="1"/>
  <c r="O270" i="6" s="1"/>
  <c r="J275" i="6"/>
  <c r="J272" i="6"/>
  <c r="J274" i="6" s="1"/>
  <c r="E302" i="6"/>
  <c r="E299" i="6"/>
  <c r="E301" i="6" s="1"/>
  <c r="O357" i="6"/>
  <c r="O358" i="6" s="1"/>
  <c r="O359" i="6" s="1"/>
  <c r="J202" i="5"/>
  <c r="D487" i="8" s="1"/>
  <c r="B487" i="8" s="1"/>
  <c r="E259" i="5"/>
  <c r="E260" i="5" s="1"/>
  <c r="D479" i="8" s="1"/>
  <c r="B479" i="8" s="1"/>
  <c r="T274" i="5"/>
  <c r="T275" i="5" s="1"/>
  <c r="D482" i="8" s="1"/>
  <c r="B482" i="8" s="1"/>
  <c r="E46" i="6"/>
  <c r="E47" i="6" s="1"/>
  <c r="E48" i="6" s="1"/>
  <c r="O158" i="6"/>
  <c r="O159" i="6" s="1"/>
  <c r="O160" i="6" s="1"/>
  <c r="O832" i="6"/>
  <c r="O829" i="6"/>
  <c r="O831" i="6" s="1"/>
  <c r="E75" i="6"/>
  <c r="E76" i="6" s="1"/>
  <c r="E77" i="6" s="1"/>
  <c r="E268" i="6"/>
  <c r="E269" i="6" s="1"/>
  <c r="E270" i="6" s="1"/>
  <c r="J419" i="6"/>
  <c r="J422" i="6"/>
  <c r="J275" i="5"/>
  <c r="J276" i="5" s="1"/>
  <c r="O295" i="6"/>
  <c r="O296" i="6" s="1"/>
  <c r="O297" i="6" s="1"/>
  <c r="O239" i="6"/>
  <c r="O240" i="6" s="1"/>
  <c r="O241" i="6" s="1"/>
  <c r="E357" i="6"/>
  <c r="E358" i="6" s="1"/>
  <c r="E359" i="6" s="1"/>
  <c r="O182" i="5"/>
  <c r="E158" i="6"/>
  <c r="E159" i="6" s="1"/>
  <c r="E160" i="6" s="1"/>
  <c r="E185" i="6"/>
  <c r="E186" i="6" s="1"/>
  <c r="E187" i="6" s="1"/>
  <c r="E326" i="6"/>
  <c r="E327" i="6" s="1"/>
  <c r="E328" i="6" s="1"/>
  <c r="J384" i="6"/>
  <c r="J385" i="6" s="1"/>
  <c r="J386" i="6" s="1"/>
  <c r="O391" i="6"/>
  <c r="O388" i="6"/>
  <c r="E613" i="6"/>
  <c r="E615" i="6" s="1"/>
  <c r="E616" i="6"/>
  <c r="C15" i="7"/>
  <c r="F15" i="7" s="1"/>
  <c r="E473" i="6"/>
  <c r="E475" i="6" s="1"/>
  <c r="E476" i="6"/>
  <c r="J326" i="6"/>
  <c r="J327" i="6" s="1"/>
  <c r="J328" i="6" s="1"/>
  <c r="E388" i="6"/>
  <c r="E389" i="6" s="1"/>
  <c r="E390" i="6" s="1"/>
  <c r="O502" i="6"/>
  <c r="O505" i="6"/>
  <c r="O446" i="6"/>
  <c r="O448" i="6" s="1"/>
  <c r="O449" i="6"/>
  <c r="J498" i="6"/>
  <c r="J499" i="6" s="1"/>
  <c r="J500" i="6" s="1"/>
  <c r="O534" i="6"/>
  <c r="O531" i="6"/>
  <c r="J471" i="6"/>
  <c r="J472" i="6" s="1"/>
  <c r="J473" i="6" s="1"/>
  <c r="E531" i="6"/>
  <c r="E534" i="6"/>
  <c r="E559" i="6"/>
  <c r="E561" i="6" s="1"/>
  <c r="E562" i="6"/>
  <c r="O471" i="6"/>
  <c r="O472" i="6" s="1"/>
  <c r="O473" i="6" s="1"/>
  <c r="O583" i="6"/>
  <c r="O584" i="6" s="1"/>
  <c r="O585" i="6" s="1"/>
  <c r="O636" i="6"/>
  <c r="O637" i="6" s="1"/>
  <c r="O638" i="6" s="1"/>
  <c r="J534" i="6"/>
  <c r="J531" i="6"/>
  <c r="T583" i="6"/>
  <c r="T584" i="6" s="1"/>
  <c r="T585" i="6" s="1"/>
  <c r="O663" i="6"/>
  <c r="O664" i="6" s="1"/>
  <c r="O665" i="6" s="1"/>
  <c r="J663" i="6"/>
  <c r="J664" i="6" s="1"/>
  <c r="J665" i="6" s="1"/>
  <c r="J744" i="6"/>
  <c r="J745" i="6" s="1"/>
  <c r="J746" i="6" s="1"/>
  <c r="O415" i="6"/>
  <c r="O416" i="6" s="1"/>
  <c r="O417" i="6" s="1"/>
  <c r="E721" i="6"/>
  <c r="E723" i="6" s="1"/>
  <c r="E724" i="6"/>
  <c r="O744" i="6"/>
  <c r="O745" i="6" s="1"/>
  <c r="O746" i="6" s="1"/>
  <c r="E442" i="6"/>
  <c r="E443" i="6" s="1"/>
  <c r="E444" i="6" s="1"/>
  <c r="E500" i="6"/>
  <c r="E501" i="6" s="1"/>
  <c r="E502" i="6" s="1"/>
  <c r="E582" i="6"/>
  <c r="E583" i="6" s="1"/>
  <c r="E584" i="6" s="1"/>
  <c r="J690" i="6"/>
  <c r="J691" i="6" s="1"/>
  <c r="J692" i="6" s="1"/>
  <c r="J717" i="6"/>
  <c r="J718" i="6" s="1"/>
  <c r="J719" i="6" s="1"/>
  <c r="J442" i="6"/>
  <c r="J443" i="6" s="1"/>
  <c r="J444" i="6" s="1"/>
  <c r="J582" i="6"/>
  <c r="J583" i="6" s="1"/>
  <c r="J584" i="6" s="1"/>
  <c r="J609" i="6"/>
  <c r="J610" i="6" s="1"/>
  <c r="J611" i="6" s="1"/>
  <c r="O690" i="6"/>
  <c r="O691" i="6" s="1"/>
  <c r="O692" i="6" s="1"/>
  <c r="O778" i="6"/>
  <c r="O775" i="6"/>
  <c r="O777" i="6" s="1"/>
  <c r="O717" i="6"/>
  <c r="O718" i="6" s="1"/>
  <c r="O719" i="6" s="1"/>
  <c r="J771" i="6"/>
  <c r="J772" i="6" s="1"/>
  <c r="J773" i="6" s="1"/>
  <c r="E802" i="6"/>
  <c r="E804" i="6" s="1"/>
  <c r="E805" i="6"/>
  <c r="J802" i="6"/>
  <c r="J804" i="6" s="1"/>
  <c r="J805" i="6"/>
  <c r="E690" i="6"/>
  <c r="E691" i="6" s="1"/>
  <c r="E692" i="6" s="1"/>
  <c r="E744" i="6"/>
  <c r="E745" i="6" s="1"/>
  <c r="E746" i="6" s="1"/>
  <c r="O798" i="6"/>
  <c r="O799" i="6" s="1"/>
  <c r="O800" i="6" s="1"/>
  <c r="E771" i="6"/>
  <c r="E772" i="6" s="1"/>
  <c r="E773" i="6" s="1"/>
  <c r="J138" i="6" l="1"/>
  <c r="J135" i="6"/>
  <c r="J137" i="6" s="1"/>
  <c r="E26" i="1"/>
  <c r="E23" i="1"/>
  <c r="E25" i="1" s="1"/>
  <c r="E667" i="6"/>
  <c r="E669" i="6" s="1"/>
  <c r="E670" i="6"/>
  <c r="D470" i="8"/>
  <c r="B470" i="8" s="1"/>
  <c r="J562" i="6"/>
  <c r="J559" i="6"/>
  <c r="J561" i="6" s="1"/>
  <c r="E23" i="4"/>
  <c r="E25" i="4" s="1"/>
  <c r="E26" i="4"/>
  <c r="J26" i="2"/>
  <c r="J23" i="2"/>
  <c r="J25" i="2" s="1"/>
  <c r="J613" i="6"/>
  <c r="J615" i="6" s="1"/>
  <c r="J616" i="6"/>
  <c r="K418" i="6"/>
  <c r="J421" i="6"/>
  <c r="K420" i="6"/>
  <c r="K419" i="6"/>
  <c r="AH116" i="2"/>
  <c r="AI116" i="2" s="1"/>
  <c r="D143" i="1"/>
  <c r="E143" i="1" s="1"/>
  <c r="O272" i="6"/>
  <c r="O274" i="6" s="1"/>
  <c r="O275" i="6"/>
  <c r="J23" i="6"/>
  <c r="J26" i="6"/>
  <c r="O53" i="6"/>
  <c r="O50" i="6"/>
  <c r="O52" i="6" s="1"/>
  <c r="T245" i="5"/>
  <c r="T244" i="5"/>
  <c r="AC58" i="1"/>
  <c r="AD58" i="1" s="1"/>
  <c r="AC58" i="2"/>
  <c r="AD58" i="2" s="1"/>
  <c r="J220" i="4"/>
  <c r="J217" i="4"/>
  <c r="J219" i="4" s="1"/>
  <c r="T184" i="5"/>
  <c r="D485" i="8" s="1"/>
  <c r="B485" i="8" s="1"/>
  <c r="I198" i="6" s="1"/>
  <c r="J198" i="6" s="1"/>
  <c r="T183" i="5"/>
  <c r="J15" i="3"/>
  <c r="J17" i="3" s="1"/>
  <c r="J18" i="3"/>
  <c r="E775" i="6"/>
  <c r="E777" i="6" s="1"/>
  <c r="E778" i="6"/>
  <c r="J589" i="6"/>
  <c r="J586" i="6"/>
  <c r="J588" i="6" s="1"/>
  <c r="K532" i="6"/>
  <c r="K530" i="6"/>
  <c r="K531" i="6"/>
  <c r="J533" i="6"/>
  <c r="E165" i="6"/>
  <c r="E162" i="6"/>
  <c r="E164" i="6" s="1"/>
  <c r="E272" i="6"/>
  <c r="E274" i="6" s="1"/>
  <c r="E275" i="6"/>
  <c r="N594" i="6"/>
  <c r="O594" i="6" s="1"/>
  <c r="O609" i="6" s="1"/>
  <c r="O610" i="6" s="1"/>
  <c r="O611" i="6" s="1"/>
  <c r="N170" i="6"/>
  <c r="O170" i="6" s="1"/>
  <c r="O185" i="6" s="1"/>
  <c r="O186" i="6" s="1"/>
  <c r="O187" i="6" s="1"/>
  <c r="I143" i="6"/>
  <c r="J143" i="6" s="1"/>
  <c r="J158" i="6" s="1"/>
  <c r="J159" i="6" s="1"/>
  <c r="J160" i="6" s="1"/>
  <c r="I224" i="6"/>
  <c r="J224" i="6" s="1"/>
  <c r="J239" i="6" s="1"/>
  <c r="J240" i="6" s="1"/>
  <c r="J241" i="6" s="1"/>
  <c r="I170" i="4"/>
  <c r="J170" i="4" s="1"/>
  <c r="J185" i="4" s="1"/>
  <c r="J186" i="4" s="1"/>
  <c r="J187" i="4" s="1"/>
  <c r="O555" i="6"/>
  <c r="O556" i="6" s="1"/>
  <c r="O557" i="6" s="1"/>
  <c r="O135" i="4"/>
  <c r="O137" i="4" s="1"/>
  <c r="O138" i="4"/>
  <c r="O189" i="4"/>
  <c r="O191" i="4" s="1"/>
  <c r="O192" i="4"/>
  <c r="J50" i="4"/>
  <c r="J52" i="4" s="1"/>
  <c r="J53" i="4"/>
  <c r="X9" i="2"/>
  <c r="Y9" i="2" s="1"/>
  <c r="X9" i="1"/>
  <c r="Y9" i="1" s="1"/>
  <c r="O104" i="2"/>
  <c r="O106" i="2" s="1"/>
  <c r="O107" i="2"/>
  <c r="Y107" i="2"/>
  <c r="Y104" i="2"/>
  <c r="Y106" i="2" s="1"/>
  <c r="O80" i="1"/>
  <c r="O77" i="1"/>
  <c r="O79" i="1" s="1"/>
  <c r="T161" i="1"/>
  <c r="T158" i="1"/>
  <c r="T160" i="1" s="1"/>
  <c r="J50" i="2"/>
  <c r="J52" i="2" s="1"/>
  <c r="J53" i="2"/>
  <c r="E330" i="6"/>
  <c r="E332" i="6" s="1"/>
  <c r="E333" i="6"/>
  <c r="E200" i="5"/>
  <c r="E201" i="5"/>
  <c r="D486" i="8" s="1"/>
  <c r="B486" i="8" s="1"/>
  <c r="I199" i="6" s="1"/>
  <c r="J199" i="6" s="1"/>
  <c r="D480" i="8"/>
  <c r="B480" i="8" s="1"/>
  <c r="O164" i="5"/>
  <c r="E53" i="4"/>
  <c r="E50" i="4"/>
  <c r="E52" i="4" s="1"/>
  <c r="E189" i="4"/>
  <c r="E191" i="4" s="1"/>
  <c r="E192" i="4"/>
  <c r="E104" i="2"/>
  <c r="E106" i="2" s="1"/>
  <c r="E107" i="2"/>
  <c r="O748" i="6"/>
  <c r="O750" i="6" s="1"/>
  <c r="O751" i="6"/>
  <c r="T590" i="6"/>
  <c r="T587" i="6"/>
  <c r="T589" i="6" s="1"/>
  <c r="E192" i="6"/>
  <c r="E189" i="6"/>
  <c r="E191" i="6" s="1"/>
  <c r="D87" i="6"/>
  <c r="E87" i="6" s="1"/>
  <c r="E102" i="6" s="1"/>
  <c r="E103" i="6" s="1"/>
  <c r="E104" i="6" s="1"/>
  <c r="D87" i="4"/>
  <c r="E87" i="4" s="1"/>
  <c r="E102" i="4" s="1"/>
  <c r="E103" i="4" s="1"/>
  <c r="E104" i="4" s="1"/>
  <c r="AC61" i="2"/>
  <c r="AD61" i="2" s="1"/>
  <c r="X31" i="2"/>
  <c r="Y31" i="2" s="1"/>
  <c r="AC61" i="1"/>
  <c r="AD61" i="1" s="1"/>
  <c r="X31" i="1"/>
  <c r="Y31" i="1" s="1"/>
  <c r="AD26" i="2"/>
  <c r="AD23" i="2"/>
  <c r="AD25" i="2" s="1"/>
  <c r="O107" i="1"/>
  <c r="O104" i="1"/>
  <c r="O106" i="1" s="1"/>
  <c r="J775" i="6"/>
  <c r="J777" i="6" s="1"/>
  <c r="J778" i="6"/>
  <c r="J449" i="6"/>
  <c r="J446" i="6"/>
  <c r="J448" i="6" s="1"/>
  <c r="F532" i="6"/>
  <c r="F530" i="6"/>
  <c r="F531" i="6"/>
  <c r="E533" i="6"/>
  <c r="P503" i="6"/>
  <c r="P502" i="6"/>
  <c r="O504" i="6"/>
  <c r="P501" i="6"/>
  <c r="E79" i="6"/>
  <c r="E81" i="6" s="1"/>
  <c r="E82" i="6"/>
  <c r="N543" i="6"/>
  <c r="O543" i="6" s="1"/>
  <c r="I176" i="6"/>
  <c r="J176" i="6" s="1"/>
  <c r="J185" i="6" s="1"/>
  <c r="J186" i="6" s="1"/>
  <c r="J187" i="6" s="1"/>
  <c r="N199" i="4"/>
  <c r="O199" i="4" s="1"/>
  <c r="T200" i="5"/>
  <c r="D490" i="8" s="1"/>
  <c r="B490" i="8" s="1"/>
  <c r="D198" i="6" s="1"/>
  <c r="E198" i="6" s="1"/>
  <c r="T199" i="5"/>
  <c r="O50" i="4"/>
  <c r="O52" i="4" s="1"/>
  <c r="O53" i="4"/>
  <c r="T190" i="3"/>
  <c r="T187" i="3"/>
  <c r="T189" i="3" s="1"/>
  <c r="E79" i="4"/>
  <c r="E81" i="4" s="1"/>
  <c r="E82" i="4"/>
  <c r="O30" i="5"/>
  <c r="O31" i="5"/>
  <c r="D417" i="8" s="1"/>
  <c r="B417" i="8" s="1"/>
  <c r="O14" i="5"/>
  <c r="O15" i="5"/>
  <c r="D443" i="8" s="1"/>
  <c r="B443" i="8" s="1"/>
  <c r="N4" i="1"/>
  <c r="O4" i="1" s="1"/>
  <c r="O19" i="1" s="1"/>
  <c r="O20" i="1" s="1"/>
  <c r="O21" i="1" s="1"/>
  <c r="N4" i="2"/>
  <c r="O4" i="2" s="1"/>
  <c r="O19" i="2" s="1"/>
  <c r="O20" i="2" s="1"/>
  <c r="O21" i="2" s="1"/>
  <c r="E53" i="1"/>
  <c r="E50" i="1"/>
  <c r="E52" i="1" s="1"/>
  <c r="J53" i="1"/>
  <c r="J50" i="1"/>
  <c r="J52" i="1" s="1"/>
  <c r="J104" i="1"/>
  <c r="J106" i="1" s="1"/>
  <c r="J107" i="1"/>
  <c r="AD161" i="2"/>
  <c r="E23" i="2"/>
  <c r="E25" i="2" s="1"/>
  <c r="E26" i="2"/>
  <c r="J152" i="3"/>
  <c r="J149" i="3"/>
  <c r="J151" i="3" s="1"/>
  <c r="Y104" i="1"/>
  <c r="Y106" i="1" s="1"/>
  <c r="Y107" i="1"/>
  <c r="E50" i="6"/>
  <c r="E52" i="6" s="1"/>
  <c r="E53" i="6"/>
  <c r="AH113" i="1"/>
  <c r="AI113" i="1" s="1"/>
  <c r="X113" i="2"/>
  <c r="Y113" i="2" s="1"/>
  <c r="AH31" i="2"/>
  <c r="AI31" i="2" s="1"/>
  <c r="AI46" i="2" s="1"/>
  <c r="AI47" i="2" s="1"/>
  <c r="AI48" i="2" s="1"/>
  <c r="AH31" i="1"/>
  <c r="AI31" i="1" s="1"/>
  <c r="AI46" i="1" s="1"/>
  <c r="AI47" i="1" s="1"/>
  <c r="AI48" i="1" s="1"/>
  <c r="O162" i="4"/>
  <c r="O164" i="4" s="1"/>
  <c r="O165" i="4"/>
  <c r="J138" i="4"/>
  <c r="J135" i="4"/>
  <c r="J137" i="4" s="1"/>
  <c r="E138" i="4"/>
  <c r="E135" i="4"/>
  <c r="E137" i="4" s="1"/>
  <c r="J26" i="1"/>
  <c r="J23" i="1"/>
  <c r="J25" i="1" s="1"/>
  <c r="E107" i="1"/>
  <c r="E104" i="1"/>
  <c r="E106" i="1" s="1"/>
  <c r="AI107" i="2"/>
  <c r="AI104" i="2"/>
  <c r="AI106" i="2" s="1"/>
  <c r="E446" i="6"/>
  <c r="E448" i="6" s="1"/>
  <c r="E449" i="6"/>
  <c r="E135" i="6"/>
  <c r="E137" i="6" s="1"/>
  <c r="E138" i="6"/>
  <c r="J106" i="6"/>
  <c r="J108" i="6" s="1"/>
  <c r="J109" i="6"/>
  <c r="J697" i="6"/>
  <c r="J694" i="6"/>
  <c r="J696" i="6" s="1"/>
  <c r="E23" i="6"/>
  <c r="E26" i="6"/>
  <c r="J26" i="4"/>
  <c r="J23" i="4"/>
  <c r="J25" i="4" s="1"/>
  <c r="T26" i="2"/>
  <c r="T23" i="2"/>
  <c r="T25" i="2" s="1"/>
  <c r="E80" i="1"/>
  <c r="E77" i="1"/>
  <c r="E79" i="1" s="1"/>
  <c r="E697" i="6"/>
  <c r="E694" i="6"/>
  <c r="E696" i="6" s="1"/>
  <c r="E589" i="6"/>
  <c r="E586" i="6"/>
  <c r="E588" i="6" s="1"/>
  <c r="J751" i="6"/>
  <c r="J748" i="6"/>
  <c r="J750" i="6" s="1"/>
  <c r="O302" i="6"/>
  <c r="O299" i="6"/>
  <c r="O301" i="6" s="1"/>
  <c r="AH112" i="2"/>
  <c r="AI112" i="2" s="1"/>
  <c r="D139" i="1"/>
  <c r="E139" i="1" s="1"/>
  <c r="D407" i="6"/>
  <c r="E407" i="6" s="1"/>
  <c r="E415" i="6" s="1"/>
  <c r="E416" i="6" s="1"/>
  <c r="E417" i="6" s="1"/>
  <c r="AC60" i="2"/>
  <c r="AD60" i="2" s="1"/>
  <c r="AC60" i="1"/>
  <c r="AD60" i="1" s="1"/>
  <c r="J56" i="3"/>
  <c r="J53" i="3"/>
  <c r="J55" i="3" s="1"/>
  <c r="J114" i="3"/>
  <c r="J111" i="3"/>
  <c r="J113" i="3" s="1"/>
  <c r="O213" i="4"/>
  <c r="O214" i="4" s="1"/>
  <c r="O215" i="4" s="1"/>
  <c r="O77" i="2"/>
  <c r="O79" i="2" s="1"/>
  <c r="O80" i="2"/>
  <c r="E149" i="3"/>
  <c r="E151" i="3" s="1"/>
  <c r="E152" i="3"/>
  <c r="O667" i="6"/>
  <c r="O669" i="6" s="1"/>
  <c r="O670" i="6"/>
  <c r="J82" i="6"/>
  <c r="J79" i="6"/>
  <c r="J81" i="6" s="1"/>
  <c r="O802" i="6"/>
  <c r="O804" i="6" s="1"/>
  <c r="O805" i="6"/>
  <c r="O724" i="6"/>
  <c r="O721" i="6"/>
  <c r="O723" i="6" s="1"/>
  <c r="J724" i="6"/>
  <c r="J721" i="6"/>
  <c r="J723" i="6" s="1"/>
  <c r="O640" i="6"/>
  <c r="O642" i="6" s="1"/>
  <c r="O643" i="6"/>
  <c r="J475" i="6"/>
  <c r="J477" i="6" s="1"/>
  <c r="J478" i="6"/>
  <c r="E395" i="6"/>
  <c r="E392" i="6"/>
  <c r="E394" i="6" s="1"/>
  <c r="E361" i="6"/>
  <c r="E363" i="6" s="1"/>
  <c r="E364" i="6"/>
  <c r="O364" i="6"/>
  <c r="O361" i="6"/>
  <c r="O363" i="6" s="1"/>
  <c r="T163" i="5"/>
  <c r="D484" i="8" s="1"/>
  <c r="B484" i="8" s="1"/>
  <c r="I197" i="6" s="1"/>
  <c r="J197" i="6" s="1"/>
  <c r="T162" i="5"/>
  <c r="O79" i="6"/>
  <c r="O81" i="6" s="1"/>
  <c r="O82" i="6"/>
  <c r="O23" i="6"/>
  <c r="O25" i="6" s="1"/>
  <c r="O26" i="6"/>
  <c r="D541" i="8"/>
  <c r="B541" i="8" s="1"/>
  <c r="D115" i="1" s="1"/>
  <c r="E115" i="1" s="1"/>
  <c r="O128" i="3"/>
  <c r="E748" i="6"/>
  <c r="E750" i="6" s="1"/>
  <c r="E751" i="6"/>
  <c r="O422" i="6"/>
  <c r="O419" i="6"/>
  <c r="O590" i="6"/>
  <c r="O587" i="6"/>
  <c r="O589" i="6" s="1"/>
  <c r="P532" i="6"/>
  <c r="P530" i="6"/>
  <c r="P531" i="6"/>
  <c r="O533" i="6"/>
  <c r="J333" i="6"/>
  <c r="J330" i="6"/>
  <c r="J332" i="6" s="1"/>
  <c r="P389" i="6"/>
  <c r="P387" i="6"/>
  <c r="O390" i="6"/>
  <c r="P388" i="6"/>
  <c r="O243" i="6"/>
  <c r="O245" i="6" s="1"/>
  <c r="O246" i="6"/>
  <c r="T114" i="3"/>
  <c r="T111" i="3"/>
  <c r="T113" i="3" s="1"/>
  <c r="J80" i="2"/>
  <c r="J77" i="2"/>
  <c r="J79" i="2" s="1"/>
  <c r="O92" i="3"/>
  <c r="O94" i="3" s="1"/>
  <c r="O95" i="3"/>
  <c r="O82" i="4"/>
  <c r="O79" i="4"/>
  <c r="O81" i="4" s="1"/>
  <c r="J106" i="4"/>
  <c r="J108" i="4" s="1"/>
  <c r="J109" i="4"/>
  <c r="O694" i="6"/>
  <c r="O696" i="6" s="1"/>
  <c r="O697" i="6"/>
  <c r="E504" i="6"/>
  <c r="E506" i="6" s="1"/>
  <c r="E507" i="6"/>
  <c r="J667" i="6"/>
  <c r="J669" i="6" s="1"/>
  <c r="J670" i="6"/>
  <c r="O475" i="6"/>
  <c r="O477" i="6" s="1"/>
  <c r="O478" i="6"/>
  <c r="J502" i="6"/>
  <c r="J504" i="6" s="1"/>
  <c r="J505" i="6"/>
  <c r="J388" i="6"/>
  <c r="J390" i="6" s="1"/>
  <c r="J391" i="6"/>
  <c r="D481" i="8"/>
  <c r="B481" i="8" s="1"/>
  <c r="O165" i="6"/>
  <c r="O162" i="6"/>
  <c r="O164" i="6" s="1"/>
  <c r="J832" i="6"/>
  <c r="J829" i="6"/>
  <c r="J831" i="6" s="1"/>
  <c r="E243" i="6"/>
  <c r="E245" i="6" s="1"/>
  <c r="E246" i="6"/>
  <c r="O204" i="5"/>
  <c r="D491" i="8" s="1"/>
  <c r="B491" i="8" s="1"/>
  <c r="O203" i="5"/>
  <c r="O18" i="3"/>
  <c r="O15" i="3"/>
  <c r="J165" i="4"/>
  <c r="J162" i="4"/>
  <c r="J164" i="4" s="1"/>
  <c r="T107" i="2"/>
  <c r="T104" i="2"/>
  <c r="T106" i="2" s="1"/>
  <c r="T37" i="3"/>
  <c r="T34" i="3"/>
  <c r="T36" i="3" s="1"/>
  <c r="T15" i="3"/>
  <c r="T17" i="3" s="1"/>
  <c r="T18" i="3"/>
  <c r="O161" i="2"/>
  <c r="E53" i="3"/>
  <c r="E55" i="3" s="1"/>
  <c r="E56" i="3"/>
  <c r="T72" i="3"/>
  <c r="T74" i="3" s="1"/>
  <c r="T75" i="3"/>
  <c r="P420" i="6" l="1"/>
  <c r="O421" i="6"/>
  <c r="P419" i="6"/>
  <c r="P418" i="6"/>
  <c r="O613" i="6"/>
  <c r="O615" i="6" s="1"/>
  <c r="O616" i="6"/>
  <c r="Y46" i="1"/>
  <c r="Y47" i="1" s="1"/>
  <c r="AH115" i="2"/>
  <c r="AI115" i="2" s="1"/>
  <c r="X61" i="2"/>
  <c r="Y61" i="2" s="1"/>
  <c r="Y73" i="2" s="1"/>
  <c r="Y74" i="2" s="1"/>
  <c r="Y75" i="2" s="1"/>
  <c r="D142" i="1"/>
  <c r="E142" i="1" s="1"/>
  <c r="AC89" i="2"/>
  <c r="AD89" i="2" s="1"/>
  <c r="AD100" i="2" s="1"/>
  <c r="AD101" i="2" s="1"/>
  <c r="AD102" i="2" s="1"/>
  <c r="X61" i="1"/>
  <c r="Y61" i="1" s="1"/>
  <c r="Y73" i="1" s="1"/>
  <c r="Y74" i="1" s="1"/>
  <c r="AC89" i="1"/>
  <c r="AD89" i="1" s="1"/>
  <c r="AD100" i="1" s="1"/>
  <c r="AD101" i="1" s="1"/>
  <c r="AD102" i="1" s="1"/>
  <c r="J25" i="6"/>
  <c r="K22" i="6"/>
  <c r="K24" i="6"/>
  <c r="K25" i="6"/>
  <c r="K23" i="6"/>
  <c r="J212" i="6"/>
  <c r="J213" i="6" s="1"/>
  <c r="J214" i="6" s="1"/>
  <c r="E422" i="6"/>
  <c r="E419" i="6"/>
  <c r="AI53" i="1"/>
  <c r="AI50" i="1"/>
  <c r="AI52" i="1" s="1"/>
  <c r="O562" i="6"/>
  <c r="O559" i="6"/>
  <c r="O561" i="6" s="1"/>
  <c r="AD73" i="2"/>
  <c r="AD74" i="2" s="1"/>
  <c r="AD75" i="2" s="1"/>
  <c r="AI53" i="2"/>
  <c r="AI50" i="2"/>
  <c r="AI52" i="2" s="1"/>
  <c r="J189" i="6"/>
  <c r="J191" i="6" s="1"/>
  <c r="J192" i="6"/>
  <c r="E109" i="4"/>
  <c r="E106" i="4"/>
  <c r="E108" i="4" s="1"/>
  <c r="J246" i="6"/>
  <c r="J243" i="6"/>
  <c r="J245" i="6" s="1"/>
  <c r="I112" i="2"/>
  <c r="J112" i="2" s="1"/>
  <c r="J127" i="2" s="1"/>
  <c r="J128" i="2" s="1"/>
  <c r="J129" i="2" s="1"/>
  <c r="D112" i="2"/>
  <c r="E112" i="2" s="1"/>
  <c r="E127" i="2" s="1"/>
  <c r="E128" i="2" s="1"/>
  <c r="E129" i="2" s="1"/>
  <c r="S112" i="1"/>
  <c r="T112" i="1" s="1"/>
  <c r="T127" i="1" s="1"/>
  <c r="T128" i="1" s="1"/>
  <c r="T129" i="1" s="1"/>
  <c r="N112" i="1"/>
  <c r="O112" i="1" s="1"/>
  <c r="O127" i="1" s="1"/>
  <c r="O128" i="1" s="1"/>
  <c r="O129" i="1" s="1"/>
  <c r="N31" i="1"/>
  <c r="O31" i="1" s="1"/>
  <c r="O46" i="1" s="1"/>
  <c r="O47" i="1" s="1"/>
  <c r="O48" i="1" s="1"/>
  <c r="N31" i="2"/>
  <c r="O31" i="2" s="1"/>
  <c r="O46" i="2" s="1"/>
  <c r="O47" i="2" s="1"/>
  <c r="O48" i="2" s="1"/>
  <c r="I112" i="1"/>
  <c r="J112" i="1" s="1"/>
  <c r="J127" i="1" s="1"/>
  <c r="J128" i="1" s="1"/>
  <c r="J129" i="1" s="1"/>
  <c r="O220" i="4"/>
  <c r="O217" i="4"/>
  <c r="O219" i="4" s="1"/>
  <c r="X116" i="2"/>
  <c r="Y116" i="2" s="1"/>
  <c r="Y127" i="2" s="1"/>
  <c r="Y128" i="2" s="1"/>
  <c r="Y129" i="2" s="1"/>
  <c r="AC64" i="2"/>
  <c r="AD64" i="2" s="1"/>
  <c r="X13" i="2"/>
  <c r="Y13" i="2" s="1"/>
  <c r="N149" i="1"/>
  <c r="O149" i="1" s="1"/>
  <c r="O154" i="1" s="1"/>
  <c r="O155" i="1" s="1"/>
  <c r="O156" i="1" s="1"/>
  <c r="AH116" i="1"/>
  <c r="AI116" i="1" s="1"/>
  <c r="AI127" i="1" s="1"/>
  <c r="AI128" i="1" s="1"/>
  <c r="AI129" i="1" s="1"/>
  <c r="S120" i="2"/>
  <c r="T120" i="2" s="1"/>
  <c r="T127" i="2" s="1"/>
  <c r="T128" i="2" s="1"/>
  <c r="T129" i="2" s="1"/>
  <c r="AH64" i="1"/>
  <c r="AI64" i="1" s="1"/>
  <c r="AI73" i="1" s="1"/>
  <c r="AI74" i="1" s="1"/>
  <c r="AI75" i="1" s="1"/>
  <c r="I146" i="1"/>
  <c r="J146" i="1" s="1"/>
  <c r="J154" i="1" s="1"/>
  <c r="J155" i="1" s="1"/>
  <c r="J156" i="1" s="1"/>
  <c r="AC119" i="2"/>
  <c r="AD119" i="2" s="1"/>
  <c r="AD127" i="2" s="1"/>
  <c r="AD128" i="2" s="1"/>
  <c r="AD129" i="2" s="1"/>
  <c r="X37" i="1"/>
  <c r="Y37" i="1" s="1"/>
  <c r="AH121" i="2"/>
  <c r="AI121" i="2" s="1"/>
  <c r="AH64" i="2"/>
  <c r="AI64" i="2" s="1"/>
  <c r="AI73" i="2" s="1"/>
  <c r="AI74" i="2" s="1"/>
  <c r="AI75" i="2" s="1"/>
  <c r="X37" i="2"/>
  <c r="Y37" i="2" s="1"/>
  <c r="Y46" i="2" s="1"/>
  <c r="Y47" i="2" s="1"/>
  <c r="Y48" i="2" s="1"/>
  <c r="D148" i="1"/>
  <c r="E148" i="1" s="1"/>
  <c r="E154" i="1" s="1"/>
  <c r="E155" i="1" s="1"/>
  <c r="E156" i="1" s="1"/>
  <c r="AC64" i="1"/>
  <c r="AD64" i="1" s="1"/>
  <c r="AD73" i="1" s="1"/>
  <c r="AD74" i="1" s="1"/>
  <c r="S36" i="1"/>
  <c r="T36" i="1" s="1"/>
  <c r="T46" i="1" s="1"/>
  <c r="T47" i="1" s="1"/>
  <c r="X13" i="1"/>
  <c r="Y13" i="1" s="1"/>
  <c r="Y19" i="1" s="1"/>
  <c r="Y20" i="1" s="1"/>
  <c r="Y21" i="1" s="1"/>
  <c r="D149" i="2"/>
  <c r="E149" i="2" s="1"/>
  <c r="E154" i="2" s="1"/>
  <c r="E155" i="2" s="1"/>
  <c r="E156" i="2" s="1"/>
  <c r="S36" i="2"/>
  <c r="T36" i="2" s="1"/>
  <c r="T46" i="2" s="1"/>
  <c r="T47" i="2" s="1"/>
  <c r="T48" i="2" s="1"/>
  <c r="N117" i="2"/>
  <c r="O117" i="2" s="1"/>
  <c r="O127" i="2" s="1"/>
  <c r="O128" i="2" s="1"/>
  <c r="O129" i="2" s="1"/>
  <c r="AH15" i="1"/>
  <c r="AI15" i="1" s="1"/>
  <c r="AI19" i="1" s="1"/>
  <c r="AI20" i="1" s="1"/>
  <c r="AI21" i="1" s="1"/>
  <c r="X117" i="1"/>
  <c r="Y117" i="1" s="1"/>
  <c r="Y127" i="1" s="1"/>
  <c r="Y128" i="1" s="1"/>
  <c r="Y129" i="1" s="1"/>
  <c r="AC120" i="1"/>
  <c r="AD120" i="1" s="1"/>
  <c r="AD127" i="1" s="1"/>
  <c r="AD128" i="1" s="1"/>
  <c r="AD129" i="1" s="1"/>
  <c r="J192" i="4"/>
  <c r="J189" i="4"/>
  <c r="J191" i="4" s="1"/>
  <c r="O26" i="2"/>
  <c r="O23" i="2"/>
  <c r="O25" i="2" s="1"/>
  <c r="E106" i="6"/>
  <c r="E108" i="6" s="1"/>
  <c r="E109" i="6"/>
  <c r="J165" i="6"/>
  <c r="J162" i="6"/>
  <c r="D623" i="6"/>
  <c r="E623" i="6" s="1"/>
  <c r="E636" i="6" s="1"/>
  <c r="E637" i="6" s="1"/>
  <c r="E638" i="6" s="1"/>
  <c r="I623" i="6"/>
  <c r="J623" i="6" s="1"/>
  <c r="J636" i="6" s="1"/>
  <c r="J637" i="6" s="1"/>
  <c r="J638" i="6" s="1"/>
  <c r="D199" i="6"/>
  <c r="E199" i="6" s="1"/>
  <c r="E212" i="6" s="1"/>
  <c r="E213" i="6" s="1"/>
  <c r="E214" i="6" s="1"/>
  <c r="O133" i="3"/>
  <c r="O130" i="3"/>
  <c r="O132" i="3" s="1"/>
  <c r="Y19" i="2"/>
  <c r="Y20" i="2" s="1"/>
  <c r="Y21" i="2" s="1"/>
  <c r="AI127" i="2"/>
  <c r="AI128" i="2" s="1"/>
  <c r="AI129" i="2" s="1"/>
  <c r="F25" i="6"/>
  <c r="C57" i="7" s="1"/>
  <c r="F57" i="7" s="1"/>
  <c r="F23" i="6"/>
  <c r="F24" i="6"/>
  <c r="E25" i="6"/>
  <c r="F22" i="6"/>
  <c r="O23" i="1"/>
  <c r="O25" i="1" s="1"/>
  <c r="O26" i="1"/>
  <c r="O192" i="6"/>
  <c r="O189" i="6"/>
  <c r="O191" i="6" s="1"/>
  <c r="Y53" i="2" l="1"/>
  <c r="Y50" i="2"/>
  <c r="Y52" i="2" s="1"/>
  <c r="AI134" i="1"/>
  <c r="AI131" i="1"/>
  <c r="AI133" i="1" s="1"/>
  <c r="E216" i="6"/>
  <c r="E218" i="6" s="1"/>
  <c r="E219" i="6"/>
  <c r="Y23" i="1"/>
  <c r="Y25" i="1" s="1"/>
  <c r="Y26" i="1"/>
  <c r="Y131" i="2"/>
  <c r="Y133" i="2" s="1"/>
  <c r="Y134" i="2"/>
  <c r="D532" i="8"/>
  <c r="B532" i="8" s="1"/>
  <c r="AD75" i="1"/>
  <c r="E161" i="1"/>
  <c r="E158" i="1"/>
  <c r="E160" i="1" s="1"/>
  <c r="AI77" i="1"/>
  <c r="AI79" i="1" s="1"/>
  <c r="AI80" i="1"/>
  <c r="D533" i="8"/>
  <c r="B533" i="8" s="1"/>
  <c r="Y48" i="1"/>
  <c r="T134" i="2"/>
  <c r="T131" i="2"/>
  <c r="T133" i="2" s="1"/>
  <c r="J131" i="1"/>
  <c r="J132" i="1" s="1"/>
  <c r="J133" i="1" s="1"/>
  <c r="J134" i="1"/>
  <c r="O53" i="2"/>
  <c r="O50" i="2"/>
  <c r="O52" i="2" s="1"/>
  <c r="F420" i="6"/>
  <c r="E421" i="6"/>
  <c r="F419" i="6"/>
  <c r="F418" i="6"/>
  <c r="AD107" i="1"/>
  <c r="AD104" i="1"/>
  <c r="AD106" i="1" s="1"/>
  <c r="AI134" i="2"/>
  <c r="AI131" i="2"/>
  <c r="AI133" i="2" s="1"/>
  <c r="AI26" i="1"/>
  <c r="AI23" i="1"/>
  <c r="AI25" i="1" s="1"/>
  <c r="AI80" i="2"/>
  <c r="AI77" i="2"/>
  <c r="AI79" i="2" s="1"/>
  <c r="O50" i="1"/>
  <c r="O52" i="1" s="1"/>
  <c r="O53" i="1"/>
  <c r="AD77" i="2"/>
  <c r="AD79" i="2" s="1"/>
  <c r="AD80" i="2"/>
  <c r="D534" i="8"/>
  <c r="B534" i="8" s="1"/>
  <c r="Y75" i="1"/>
  <c r="AD107" i="2"/>
  <c r="AD104" i="2"/>
  <c r="AD106" i="2" s="1"/>
  <c r="Y134" i="1"/>
  <c r="Y131" i="1"/>
  <c r="Y133" i="1" s="1"/>
  <c r="O131" i="1"/>
  <c r="O133" i="1" s="1"/>
  <c r="O134" i="1"/>
  <c r="J219" i="6"/>
  <c r="J216" i="6"/>
  <c r="J218" i="6" s="1"/>
  <c r="E161" i="2"/>
  <c r="E158" i="2"/>
  <c r="E160" i="2" s="1"/>
  <c r="T131" i="1"/>
  <c r="T133" i="1" s="1"/>
  <c r="T134" i="1"/>
  <c r="Y26" i="2"/>
  <c r="Y23" i="2"/>
  <c r="Y25" i="2" s="1"/>
  <c r="O131" i="2"/>
  <c r="O133" i="2" s="1"/>
  <c r="O134" i="2"/>
  <c r="T53" i="2"/>
  <c r="T50" i="2"/>
  <c r="T52" i="2" s="1"/>
  <c r="AD134" i="2"/>
  <c r="AD131" i="2"/>
  <c r="AD133" i="2" s="1"/>
  <c r="E131" i="2"/>
  <c r="E133" i="2" s="1"/>
  <c r="E134" i="2"/>
  <c r="Y77" i="2"/>
  <c r="Y79" i="2" s="1"/>
  <c r="Y80" i="2"/>
  <c r="AD134" i="1"/>
  <c r="AD131" i="1"/>
  <c r="AD133" i="1" s="1"/>
  <c r="O161" i="1"/>
  <c r="O158" i="1"/>
  <c r="O160" i="1" s="1"/>
  <c r="J640" i="6"/>
  <c r="J642" i="6" s="1"/>
  <c r="J643" i="6"/>
  <c r="E643" i="6"/>
  <c r="E640" i="6"/>
  <c r="E642" i="6" s="1"/>
  <c r="D531" i="8"/>
  <c r="B531" i="8" s="1"/>
  <c r="D112" i="1" s="1"/>
  <c r="E112" i="1" s="1"/>
  <c r="E127" i="1" s="1"/>
  <c r="E128" i="1" s="1"/>
  <c r="E129" i="1" s="1"/>
  <c r="T48" i="1"/>
  <c r="J161" i="1"/>
  <c r="J158" i="1"/>
  <c r="J160" i="1" s="1"/>
  <c r="J131" i="2"/>
  <c r="J133" i="2" s="1"/>
  <c r="J134" i="2"/>
  <c r="E134" i="1" l="1"/>
  <c r="E131" i="1"/>
  <c r="E133" i="1" s="1"/>
  <c r="T50" i="1"/>
  <c r="T52" i="1" s="1"/>
  <c r="T53" i="1"/>
  <c r="Y77" i="1"/>
  <c r="Y79" i="1" s="1"/>
  <c r="Y80" i="1"/>
  <c r="Y50" i="1"/>
  <c r="Y52" i="1" s="1"/>
  <c r="Y53" i="1"/>
  <c r="AD80" i="1"/>
  <c r="AD77" i="1"/>
  <c r="AD79" i="1" s="1"/>
</calcChain>
</file>

<file path=xl/sharedStrings.xml><?xml version="1.0" encoding="utf-8"?>
<sst xmlns="http://schemas.openxmlformats.org/spreadsheetml/2006/main" count="6652" uniqueCount="953">
  <si>
    <t>vega</t>
  </si>
  <si>
    <t>YOGURT GRIEGO</t>
  </si>
  <si>
    <t>HUEVOS REVUELTOS</t>
  </si>
  <si>
    <t>PANCAKES</t>
  </si>
  <si>
    <t xml:space="preserve">TOSTADAS FRANCESAS </t>
  </si>
  <si>
    <t>SANDWICH POLLO TERIYAKI</t>
  </si>
  <si>
    <t xml:space="preserve">TOSTADO JAMON Y QUESO </t>
  </si>
  <si>
    <t>HAMBURGUESA VEGAN</t>
  </si>
  <si>
    <t>Kg/Lt/Uni</t>
  </si>
  <si>
    <t>$</t>
  </si>
  <si>
    <t>Total $</t>
  </si>
  <si>
    <t>yogurt griego</t>
  </si>
  <si>
    <t>tostada en pan de campo xl</t>
  </si>
  <si>
    <t>pancakes</t>
  </si>
  <si>
    <t>uva</t>
  </si>
  <si>
    <t>pan burger vegano</t>
  </si>
  <si>
    <t>granola</t>
  </si>
  <si>
    <t>huevos</t>
  </si>
  <si>
    <t>salsa de chocolate</t>
  </si>
  <si>
    <t xml:space="preserve">Brioche para tostadas francesas </t>
  </si>
  <si>
    <t>pollo</t>
  </si>
  <si>
    <t>Fiambre, Jamon cocido</t>
  </si>
  <si>
    <t>Aji colorado</t>
  </si>
  <si>
    <t>banana</t>
  </si>
  <si>
    <t>Palta hass</t>
  </si>
  <si>
    <t>Banana</t>
  </si>
  <si>
    <t>queso crema paulina</t>
  </si>
  <si>
    <t>Lechuga, francesa</t>
  </si>
  <si>
    <t>queso danbo tregar</t>
  </si>
  <si>
    <t>Hoja amarga, Rucula selvatica</t>
  </si>
  <si>
    <t>frutilla</t>
  </si>
  <si>
    <t>palta hass</t>
  </si>
  <si>
    <t>manteca tueste alyser</t>
  </si>
  <si>
    <t>pesto de albahaca</t>
  </si>
  <si>
    <t>miel alyser</t>
  </si>
  <si>
    <t>Tomate cherry rojo</t>
  </si>
  <si>
    <t>nutella</t>
  </si>
  <si>
    <t>tomate seco</t>
  </si>
  <si>
    <t xml:space="preserve">Garbanzos </t>
  </si>
  <si>
    <t>arandano</t>
  </si>
  <si>
    <t>Fiambre, Panceta ahumada</t>
  </si>
  <si>
    <t>Hierbas frescas, Menta bariada</t>
  </si>
  <si>
    <t>salsa teriyaki</t>
  </si>
  <si>
    <t>cebolla</t>
  </si>
  <si>
    <t>kiwi</t>
  </si>
  <si>
    <t>queso reggianito</t>
  </si>
  <si>
    <t>comino</t>
  </si>
  <si>
    <t>ciruela</t>
  </si>
  <si>
    <t>papas asadas</t>
  </si>
  <si>
    <t>sal fina</t>
  </si>
  <si>
    <t>mayonesa de pimiento</t>
  </si>
  <si>
    <t>Pimienta negra en granos</t>
  </si>
  <si>
    <t>Costo Total de la materia prima</t>
  </si>
  <si>
    <t xml:space="preserve">Costo total de la preparación </t>
  </si>
  <si>
    <t>Costo porción</t>
  </si>
  <si>
    <t>Porcentaje costo materia prima establecida</t>
  </si>
  <si>
    <t>Precio potencial de venta</t>
  </si>
  <si>
    <t>Precio de Venta</t>
  </si>
  <si>
    <t>Costo Real MP</t>
  </si>
  <si>
    <t>TOSTON TUESTE</t>
  </si>
  <si>
    <t>TOSTON PALTA</t>
  </si>
  <si>
    <t>TOSTADO PAN CHIPA</t>
  </si>
  <si>
    <t>TAPA DE ASADO</t>
  </si>
  <si>
    <t>SANDWICH BRIE</t>
  </si>
  <si>
    <t>TOSTADO LOMITO Y CHEDAR</t>
  </si>
  <si>
    <t>CHIPA CLASICO</t>
  </si>
  <si>
    <t>rodaja pan masa madre</t>
  </si>
  <si>
    <t>pan de chipa</t>
  </si>
  <si>
    <t>tapa de asado</t>
  </si>
  <si>
    <t>pan ciabatta</t>
  </si>
  <si>
    <t>pan de papa</t>
  </si>
  <si>
    <t>chipa clasico</t>
  </si>
  <si>
    <t>pan pretzalej</t>
  </si>
  <si>
    <t>Cheddar feteado</t>
  </si>
  <si>
    <t>barbacoa</t>
  </si>
  <si>
    <t>Fiambre, Lomito ahumado</t>
  </si>
  <si>
    <t>garrapiñada zapallo</t>
  </si>
  <si>
    <t>Alcaparras</t>
  </si>
  <si>
    <t>pesto de tomate</t>
  </si>
  <si>
    <t>cebollas encurtidas</t>
  </si>
  <si>
    <t>queso brie</t>
  </si>
  <si>
    <t>Aceto balsamico reduccion</t>
  </si>
  <si>
    <t>mermelada de morron</t>
  </si>
  <si>
    <t>Mix de semillas</t>
  </si>
  <si>
    <t>flores comestibles</t>
  </si>
  <si>
    <t xml:space="preserve">MEDIALUNA JAMON Y QUESO </t>
  </si>
  <si>
    <t xml:space="preserve">MEDIALUNA TOMATE Y QUESO </t>
  </si>
  <si>
    <t xml:space="preserve">CROISSANT DE PALTA </t>
  </si>
  <si>
    <t>CROISSANT CRUDO</t>
  </si>
  <si>
    <t xml:space="preserve">ENSALADA CLASICA </t>
  </si>
  <si>
    <t>BONDIOLA DE CANCHA</t>
  </si>
  <si>
    <t>SANDWICH CLASICO CRUDO</t>
  </si>
  <si>
    <t>medialuna 90 gramos</t>
  </si>
  <si>
    <t>croissant 145 gramos</t>
  </si>
  <si>
    <t>bondiola braseada</t>
  </si>
  <si>
    <t>baguetin rustico</t>
  </si>
  <si>
    <t>tomate redondo</t>
  </si>
  <si>
    <t>Huevos</t>
  </si>
  <si>
    <t>Fiambre, Jamon crudo</t>
  </si>
  <si>
    <t>frutos secos</t>
  </si>
  <si>
    <t>cebolla caramelizada</t>
  </si>
  <si>
    <t>alcaparras</t>
  </si>
  <si>
    <t>cherrys confitados</t>
  </si>
  <si>
    <t>aceto balsamico reduccion</t>
  </si>
  <si>
    <t>mix de vegetales asados</t>
  </si>
  <si>
    <t>PLATO DE FRUTAS</t>
  </si>
  <si>
    <t xml:space="preserve">TOSTADAS </t>
  </si>
  <si>
    <t>ACAI</t>
  </si>
  <si>
    <t>CROISSANT J Y Q</t>
  </si>
  <si>
    <t>CROISSANT TOMATE Y QUESO</t>
  </si>
  <si>
    <t>TOSTON DE HONGOS</t>
  </si>
  <si>
    <t>GRANOLA 300 GRS</t>
  </si>
  <si>
    <t>brioche molde para tostadas</t>
  </si>
  <si>
    <t>acai</t>
  </si>
  <si>
    <t>Hongo, pino</t>
  </si>
  <si>
    <t>aceite de girasol</t>
  </si>
  <si>
    <t>mermelada</t>
  </si>
  <si>
    <t>Hongo, Portobello</t>
  </si>
  <si>
    <t>pasta de mani</t>
  </si>
  <si>
    <t>Hierbas frescas, Albahaca</t>
  </si>
  <si>
    <t>pomelo rosado</t>
  </si>
  <si>
    <t>PROMO EJECUTIVA</t>
  </si>
  <si>
    <t>PAN CHIPA MAYORISTA</t>
  </si>
  <si>
    <t>FOSFORITO JYQ</t>
  </si>
  <si>
    <t>FOSFORITO CAPRESE</t>
  </si>
  <si>
    <t>SANDWICH ALBONDIGA NUEVO</t>
  </si>
  <si>
    <t>WRAP DE POLLO</t>
  </si>
  <si>
    <t>SANDWICH DE ATUN</t>
  </si>
  <si>
    <t>sandwich tapa de asado</t>
  </si>
  <si>
    <t xml:space="preserve">fosforito </t>
  </si>
  <si>
    <t>albondigas</t>
  </si>
  <si>
    <t>cortado tueste</t>
  </si>
  <si>
    <t>queso Reggianito</t>
  </si>
  <si>
    <t>Repollo blanco</t>
  </si>
  <si>
    <t>relleno sandwich de atun</t>
  </si>
  <si>
    <t>no tomar de ref</t>
  </si>
  <si>
    <t>salsa tomate albondigas</t>
  </si>
  <si>
    <t>Repollo rojo</t>
  </si>
  <si>
    <t>limonada</t>
  </si>
  <si>
    <t>baguetin de leche</t>
  </si>
  <si>
    <t>wrap</t>
  </si>
  <si>
    <t>WRAP DE FALAFEL</t>
  </si>
  <si>
    <t xml:space="preserve">SANDWICH DE FOCACCIA </t>
  </si>
  <si>
    <t>WRAP DE POLLO CESAR</t>
  </si>
  <si>
    <t>ENSALADA CESAR CON POLLO</t>
  </si>
  <si>
    <t>falafel</t>
  </si>
  <si>
    <t>focaccia</t>
  </si>
  <si>
    <t>Pollo</t>
  </si>
  <si>
    <t>salsa cesar</t>
  </si>
  <si>
    <t>salsa agridulce</t>
  </si>
  <si>
    <t>Aceite de oliva</t>
  </si>
  <si>
    <t>Sal fina</t>
  </si>
  <si>
    <t>Pimenton en polvo</t>
  </si>
  <si>
    <t xml:space="preserve">Papel de aluminio por lamina </t>
  </si>
  <si>
    <t>caja torta individual</t>
  </si>
  <si>
    <t>Bowl con tapa</t>
  </si>
  <si>
    <t>dip 55 cc</t>
  </si>
  <si>
    <t>bandeja food track n 11</t>
  </si>
  <si>
    <t>Precio de Venta rappi</t>
  </si>
  <si>
    <t xml:space="preserve">bolsa ziploc </t>
  </si>
  <si>
    <t>LATA GASEOSA</t>
  </si>
  <si>
    <t>FLAT WHITE</t>
  </si>
  <si>
    <t>LATTE</t>
  </si>
  <si>
    <t>CAPPUCINO</t>
  </si>
  <si>
    <t xml:space="preserve">CORTADO TUESTE </t>
  </si>
  <si>
    <t>Café</t>
  </si>
  <si>
    <t>leche</t>
  </si>
  <si>
    <t xml:space="preserve">MOCHA </t>
  </si>
  <si>
    <t xml:space="preserve">MOCHA BLANCO </t>
  </si>
  <si>
    <t>LATTES CON SYRUPS (vainilla,caramel,hazelnut)</t>
  </si>
  <si>
    <t>PINK LATTE, GOLDEN, INDIAN, MATCHA, CHOCO CHAI</t>
  </si>
  <si>
    <t>lattes en polvo</t>
  </si>
  <si>
    <t>Chips alpino con leche</t>
  </si>
  <si>
    <t>leche condensada</t>
  </si>
  <si>
    <t>syrup</t>
  </si>
  <si>
    <t xml:space="preserve">matcha </t>
  </si>
  <si>
    <t>iced</t>
  </si>
  <si>
    <t>BABYCHINO</t>
  </si>
  <si>
    <t>CHOCO CALIENTE</t>
  </si>
  <si>
    <t xml:space="preserve">CHOCO BLANCO </t>
  </si>
  <si>
    <t xml:space="preserve">CHAI LATTE </t>
  </si>
  <si>
    <t>te buena vibra chai</t>
  </si>
  <si>
    <t>malvaviscos</t>
  </si>
  <si>
    <t>DOPPIO</t>
  </si>
  <si>
    <t>AMERICANO DOBLE SHOT</t>
  </si>
  <si>
    <t>ESPRESSO SIMPLE</t>
  </si>
  <si>
    <t>LUNGO</t>
  </si>
  <si>
    <t>ICED FLAT WHITE</t>
  </si>
  <si>
    <t>ICED LATTES CON SYRUPS vainilla, avellanas, caramelo</t>
  </si>
  <si>
    <t>ICED PISTACHO/TOFFE LATTE</t>
  </si>
  <si>
    <t xml:space="preserve">TONIC ESPRESSO </t>
  </si>
  <si>
    <t>agua tonica</t>
  </si>
  <si>
    <t>hielo</t>
  </si>
  <si>
    <t>salsa pistacho toffee</t>
  </si>
  <si>
    <t xml:space="preserve">LEMON AMERICANO </t>
  </si>
  <si>
    <t>LATTES CON SYRUPS PISTACCHO/ TOFFEE</t>
  </si>
  <si>
    <t>SHAKEN HIBISCUS AND LEMON TEA</t>
  </si>
  <si>
    <t>GINGER MOJITO</t>
  </si>
  <si>
    <t>agua con gas</t>
  </si>
  <si>
    <t>almibar de jengibre</t>
  </si>
  <si>
    <t>almibar  limon</t>
  </si>
  <si>
    <t>hibiscus</t>
  </si>
  <si>
    <t xml:space="preserve">ICED TEA ROSE </t>
  </si>
  <si>
    <t>JUGO NARANJA</t>
  </si>
  <si>
    <t>LIMONADA MENTA Y JENGIBRE</t>
  </si>
  <si>
    <t>PINK LIMO</t>
  </si>
  <si>
    <t>frutos rojos</t>
  </si>
  <si>
    <t>naranja exprimida</t>
  </si>
  <si>
    <t>Naranja jugo</t>
  </si>
  <si>
    <t>Mix de frutos rojos congelados</t>
  </si>
  <si>
    <t>azucar</t>
  </si>
  <si>
    <t>POMELADA CON ROMERO</t>
  </si>
  <si>
    <t>MARACUYA FRESH</t>
  </si>
  <si>
    <t>TINTO DE VERANO</t>
  </si>
  <si>
    <t>LICUADO</t>
  </si>
  <si>
    <t>almibar pomelo</t>
  </si>
  <si>
    <t>san felipe vino</t>
  </si>
  <si>
    <t>maracuya</t>
  </si>
  <si>
    <t>vermouth</t>
  </si>
  <si>
    <t>leche entera</t>
  </si>
  <si>
    <t>limon</t>
  </si>
  <si>
    <t>naranja jugo</t>
  </si>
  <si>
    <t>sprite 500ml</t>
  </si>
  <si>
    <t>TE EN HEBRAS</t>
  </si>
  <si>
    <t>MATCHA LATTE</t>
  </si>
  <si>
    <t xml:space="preserve">MATCHA LATTE FRUTILLA </t>
  </si>
  <si>
    <t>ANANA Y LIMA SPARKLING</t>
  </si>
  <si>
    <t>CHOCO FRIA</t>
  </si>
  <si>
    <t>matcha polvo</t>
  </si>
  <si>
    <t xml:space="preserve">Anana   </t>
  </si>
  <si>
    <t>Lima</t>
  </si>
  <si>
    <t xml:space="preserve">mermelada de frutilla </t>
  </si>
  <si>
    <t>COOKIE DOBLE CHOCO</t>
  </si>
  <si>
    <t>TARTA CHOCOLATE Y PISTACHO</t>
  </si>
  <si>
    <t>MEDIALUNA 90 GRS</t>
  </si>
  <si>
    <t>manteca ramolac</t>
  </si>
  <si>
    <t>pistacho natural</t>
  </si>
  <si>
    <t>harina 0000</t>
  </si>
  <si>
    <t>Fenix 83 ( con leche)</t>
  </si>
  <si>
    <t>harina 000</t>
  </si>
  <si>
    <t>Azucar negro</t>
  </si>
  <si>
    <t>crema de leche</t>
  </si>
  <si>
    <t>miel</t>
  </si>
  <si>
    <t>levadura seca</t>
  </si>
  <si>
    <t>frambuesa congelada</t>
  </si>
  <si>
    <t>bicarbonato de sodio</t>
  </si>
  <si>
    <t>Polvo para hornear</t>
  </si>
  <si>
    <t>manteca</t>
  </si>
  <si>
    <t>Fenix 86 (semi amargo)</t>
  </si>
  <si>
    <t>Esencia de vainilla</t>
  </si>
  <si>
    <t>Precio de Venta a tueste</t>
  </si>
  <si>
    <t>CROISSANT 140 grs</t>
  </si>
  <si>
    <t>COOKIE DE FRAMBUESA Y CHOCO BLANCO</t>
  </si>
  <si>
    <t>KEYLIME PIE</t>
  </si>
  <si>
    <t>lima</t>
  </si>
  <si>
    <t>canela en polvo</t>
  </si>
  <si>
    <t>Fenix 90 blanco</t>
  </si>
  <si>
    <t>POR KG MASA</t>
  </si>
  <si>
    <t>Crema de leche</t>
  </si>
  <si>
    <t>almendras</t>
  </si>
  <si>
    <t>COOKIE RED VELVET CON FROSTING</t>
  </si>
  <si>
    <t>COOKIE DE AVENA Y FRUTOS SECOS</t>
  </si>
  <si>
    <t>PAN DE CHOCOLATE Y FRAMBUESA</t>
  </si>
  <si>
    <t>azucar negro</t>
  </si>
  <si>
    <t>colorante rojo</t>
  </si>
  <si>
    <t>esencia de vainilla</t>
  </si>
  <si>
    <t>polvo para hornear</t>
  </si>
  <si>
    <t>Cacao amargo</t>
  </si>
  <si>
    <t>Avena arrollada</t>
  </si>
  <si>
    <t>queso crema</t>
  </si>
  <si>
    <t>Pasas de uva negra</t>
  </si>
  <si>
    <t>azucar impalpable</t>
  </si>
  <si>
    <t>Nueces cuartos</t>
  </si>
  <si>
    <t>almidon de maiz</t>
  </si>
  <si>
    <t>mani tostado sin sal</t>
  </si>
  <si>
    <t>cacao amargo</t>
  </si>
  <si>
    <t>ALFAJOR DE ALMENDRAS</t>
  </si>
  <si>
    <t>ALFACOOKIE CON DDL</t>
  </si>
  <si>
    <t>TORTA BRUCE</t>
  </si>
  <si>
    <t xml:space="preserve">tapitas alfajor de almendras </t>
  </si>
  <si>
    <t>dulce de leche</t>
  </si>
  <si>
    <t>Dulce de leche</t>
  </si>
  <si>
    <t>Almendras</t>
  </si>
  <si>
    <t>cafe instantaneo</t>
  </si>
  <si>
    <t>CARROT CAKE</t>
  </si>
  <si>
    <t>CHEESECAKE FRUTOS ROJOS</t>
  </si>
  <si>
    <t xml:space="preserve">BUDIN CHOCOLATE, BANANA Y NUEZ </t>
  </si>
  <si>
    <t>zanahoria</t>
  </si>
  <si>
    <t>galletas caseras</t>
  </si>
  <si>
    <t>coco rallado</t>
  </si>
  <si>
    <t>manzana verde</t>
  </si>
  <si>
    <t>Vinagre de alcohol</t>
  </si>
  <si>
    <t>Coulis de frutos rojos</t>
  </si>
  <si>
    <t>nueces cuartos</t>
  </si>
  <si>
    <t>ralladura de naranja</t>
  </si>
  <si>
    <t>choco codeland 70%</t>
  </si>
  <si>
    <t>BUDIN LIMON Y AMAPOLAS</t>
  </si>
  <si>
    <t>FRANUI</t>
  </si>
  <si>
    <t>COFFEE CAKE</t>
  </si>
  <si>
    <t>Gelatina s/sabor</t>
  </si>
  <si>
    <t>Semilla de amapola</t>
  </si>
  <si>
    <t>Azucar impalpable</t>
  </si>
  <si>
    <t>TORTA TUESTE</t>
  </si>
  <si>
    <t>ROLL CANELA</t>
  </si>
  <si>
    <t>BOLA DE FRAILE</t>
  </si>
  <si>
    <t>baniosemiamargo moldatte</t>
  </si>
  <si>
    <t>masa croissant</t>
  </si>
  <si>
    <t>cacao amargo en polvo</t>
  </si>
  <si>
    <t xml:space="preserve">MEDIALUNA GRASA 1 DOCENA </t>
  </si>
  <si>
    <t xml:space="preserve">BUDIN DE NARANJA </t>
  </si>
  <si>
    <t xml:space="preserve">DANESAS DE MANZANA </t>
  </si>
  <si>
    <t>Harina 000</t>
  </si>
  <si>
    <t>Aceite de girasol</t>
  </si>
  <si>
    <t>masa luna 90</t>
  </si>
  <si>
    <t>crema pastelera</t>
  </si>
  <si>
    <t>Azucar</t>
  </si>
  <si>
    <t>Leche</t>
  </si>
  <si>
    <t>Levadura seca</t>
  </si>
  <si>
    <t>grasa vacuna</t>
  </si>
  <si>
    <t>Harina 0000</t>
  </si>
  <si>
    <t>esencia de naranja</t>
  </si>
  <si>
    <t>YOGURT  GRIEGO rinde 6 porciones 150ml (1 LITRO yogurt)</t>
  </si>
  <si>
    <t>HUMMUS DE REMOLACHA</t>
  </si>
  <si>
    <t>PAN DE CHIPA</t>
  </si>
  <si>
    <t>MERMELADA DE MORRON</t>
  </si>
  <si>
    <t xml:space="preserve">garbanzos </t>
  </si>
  <si>
    <t>Fecula de mandioca</t>
  </si>
  <si>
    <t>leche en polvo</t>
  </si>
  <si>
    <t>polvo de remolacha</t>
  </si>
  <si>
    <t>yogur dahi natural</t>
  </si>
  <si>
    <t>curry</t>
  </si>
  <si>
    <t>porcion</t>
  </si>
  <si>
    <t>jugo de limon</t>
  </si>
  <si>
    <t>pategras</t>
  </si>
  <si>
    <t>rinde</t>
  </si>
  <si>
    <t>ajo</t>
  </si>
  <si>
    <t xml:space="preserve">rinde 6 porciones de 150gm c/u. de la receta sale de aprox. </t>
  </si>
  <si>
    <t>aceite de oliva</t>
  </si>
  <si>
    <t>970gm a 1000gm con un desperdicio de 700 gm de yogurt filtrado.</t>
  </si>
  <si>
    <t>total receta 1.115kg</t>
  </si>
  <si>
    <t>por kg</t>
  </si>
  <si>
    <t>x 1 kg</t>
  </si>
  <si>
    <t>rinde 15 panes de 180grs</t>
  </si>
  <si>
    <t>por unidad</t>
  </si>
  <si>
    <t>GRANOLA</t>
  </si>
  <si>
    <t>PESTO DE TOMATES</t>
  </si>
  <si>
    <t>CHERRYS CONFITADOS</t>
  </si>
  <si>
    <t>Hierbas frescas, Tomillo</t>
  </si>
  <si>
    <t>copos de maiz</t>
  </si>
  <si>
    <t>rinde 200grs</t>
  </si>
  <si>
    <t xml:space="preserve">x500 grs </t>
  </si>
  <si>
    <t>por porcion</t>
  </si>
  <si>
    <t xml:space="preserve">rinde 42 unidades </t>
  </si>
  <si>
    <t>rinde 60 porciones de 50grs (3 kilos)</t>
  </si>
  <si>
    <t>PESTO ALBAHACA</t>
  </si>
  <si>
    <t xml:space="preserve">MEZCLA PANCAKES </t>
  </si>
  <si>
    <t>BONDIOLA BRASEADA</t>
  </si>
  <si>
    <t>MEDIALUNA 50 GRAMOS</t>
  </si>
  <si>
    <t>Bondiola</t>
  </si>
  <si>
    <t>rinde 31 porciones 160grs</t>
  </si>
  <si>
    <t>rinde 10 porciones</t>
  </si>
  <si>
    <t>por pancake (1)</t>
  </si>
  <si>
    <t>rinde 78 medialunas</t>
  </si>
  <si>
    <t>SALSA DE CHOCOLATE</t>
  </si>
  <si>
    <t>SALSA TERIYAKI</t>
  </si>
  <si>
    <t>CEBOLLAS ENCURTIDAS</t>
  </si>
  <si>
    <t>CROISSANT 140 GRAMOS</t>
  </si>
  <si>
    <t>agua</t>
  </si>
  <si>
    <t>Cebolla Morada</t>
  </si>
  <si>
    <t>salsa de soja</t>
  </si>
  <si>
    <t>vinagre de alcohol</t>
  </si>
  <si>
    <t>Jengibre</t>
  </si>
  <si>
    <t>rinde 785grs, 26 porciones</t>
  </si>
  <si>
    <t>rinde 500 grs</t>
  </si>
  <si>
    <t>rinde 19 unidades</t>
  </si>
  <si>
    <t>rinde 1,200 kg</t>
  </si>
  <si>
    <t>PAPAS ASADAS</t>
  </si>
  <si>
    <t>PAN CIABATTA</t>
  </si>
  <si>
    <t>FRUTOS SECOS</t>
  </si>
  <si>
    <t>MIX DE VEGETALES ASADOS</t>
  </si>
  <si>
    <t>papa</t>
  </si>
  <si>
    <t>Zuchinni</t>
  </si>
  <si>
    <t>Berenjena</t>
  </si>
  <si>
    <t>rinde 8 porciones de 30 grs</t>
  </si>
  <si>
    <t>cebolla morada</t>
  </si>
  <si>
    <t>por 1,5 kg</t>
  </si>
  <si>
    <t>Cebolla</t>
  </si>
  <si>
    <t>rinde 10 panes de 100 grs</t>
  </si>
  <si>
    <t>rinde 1,100 kg</t>
  </si>
  <si>
    <t>PASTA DE MANI</t>
  </si>
  <si>
    <t>MERMELADA</t>
  </si>
  <si>
    <t>CEBOLLA CARAMELIZADA</t>
  </si>
  <si>
    <t>frutillas congeladas</t>
  </si>
  <si>
    <t>pectina</t>
  </si>
  <si>
    <t xml:space="preserve">rinde 250 grs </t>
  </si>
  <si>
    <t>rinde 100 porciones de 40 grs</t>
  </si>
  <si>
    <t>rinde 33 porciones de 30 grs</t>
  </si>
  <si>
    <t>rinde 30 unidades de 90 grs</t>
  </si>
  <si>
    <t>chipa venta publico $3300</t>
  </si>
  <si>
    <t>MASA ALFAJOR ALMENDRAS</t>
  </si>
  <si>
    <t>GALLETAS CASERAS</t>
  </si>
  <si>
    <t>COULIS FRUTOS ROJOS</t>
  </si>
  <si>
    <t>TE FRUTOS ROJOS</t>
  </si>
  <si>
    <t>te frutos rojos</t>
  </si>
  <si>
    <t>rinde 1 litro</t>
  </si>
  <si>
    <t>rinde 1,800 kg</t>
  </si>
  <si>
    <t>rinde 2 kg</t>
  </si>
  <si>
    <t>rinde 38 tapitas</t>
  </si>
  <si>
    <t>cada tapita</t>
  </si>
  <si>
    <t>ALMIBAR LIMON</t>
  </si>
  <si>
    <t>HIBISCUS</t>
  </si>
  <si>
    <t>ALMIBAR DE JENGIBRE</t>
  </si>
  <si>
    <t xml:space="preserve">PAN DE MOLDE BRIOCHE </t>
  </si>
  <si>
    <t>te de hibiscus</t>
  </si>
  <si>
    <t>jengibre</t>
  </si>
  <si>
    <t>por pan</t>
  </si>
  <si>
    <t>NARANJA EXPRIMIDA</t>
  </si>
  <si>
    <t>ALMIBAR POMELO</t>
  </si>
  <si>
    <t>MAYONESA DE PIMIENTO</t>
  </si>
  <si>
    <t>MANZANAS TARTA MANZANA</t>
  </si>
  <si>
    <t>Pomelo rosado</t>
  </si>
  <si>
    <t>RINDE 1 litro</t>
  </si>
  <si>
    <t>rinde 3 porciones</t>
  </si>
  <si>
    <t>rinde 1 kg</t>
  </si>
  <si>
    <t>rinde 25 porciones</t>
  </si>
  <si>
    <t>TE CHAI</t>
  </si>
  <si>
    <t>PAN INTEGRAL REMOLACHA</t>
  </si>
  <si>
    <t>HAMBURGUESA DE FALAFEL</t>
  </si>
  <si>
    <t>CRUMBLE TARTA MANZANA</t>
  </si>
  <si>
    <t>Harina integral dgm</t>
  </si>
  <si>
    <t>POR HAMBURGUESA</t>
  </si>
  <si>
    <t>rinde 9 porciones</t>
  </si>
  <si>
    <t>rinde 10 panes</t>
  </si>
  <si>
    <t>MASA SABLE</t>
  </si>
  <si>
    <t>CREMA PASTELERA</t>
  </si>
  <si>
    <t>TAPAS ALFAJOR CHOCOLATE</t>
  </si>
  <si>
    <t>RELLENO ALFAJOR DE CHOCO</t>
  </si>
  <si>
    <t>rinde 16 porciones</t>
  </si>
  <si>
    <t xml:space="preserve">rinde 1,400 lts </t>
  </si>
  <si>
    <t>BAÑO ALFAJOR DE CHOCO</t>
  </si>
  <si>
    <t>FROSTING QUESO CREMA</t>
  </si>
  <si>
    <t>MASA COOKIE VAUQUITA</t>
  </si>
  <si>
    <t>RELLENO VAUQUITA</t>
  </si>
  <si>
    <t>avellanas</t>
  </si>
  <si>
    <t>banio blanco moldatte</t>
  </si>
  <si>
    <t>rinde 12 porciones</t>
  </si>
  <si>
    <t>rinde 12 cookies</t>
  </si>
  <si>
    <t>PRALINE DE ALMENDRAS</t>
  </si>
  <si>
    <t>CREMA DE CHOCOLATE</t>
  </si>
  <si>
    <t>ba;o alpino semiamargo</t>
  </si>
  <si>
    <t>Vino tinto</t>
  </si>
  <si>
    <t>rinde 10 porciones 30gr</t>
  </si>
  <si>
    <t>RINDE 500 gr</t>
  </si>
  <si>
    <t>pimienta negra en granos</t>
  </si>
  <si>
    <t>total</t>
  </si>
  <si>
    <t>Dulce de membrillo</t>
  </si>
  <si>
    <t>Por Kg</t>
  </si>
  <si>
    <t xml:space="preserve">total </t>
  </si>
  <si>
    <t>por Kg</t>
  </si>
  <si>
    <t xml:space="preserve">por unidad </t>
  </si>
  <si>
    <t>MASA ROLL/PAN BRIOCHE</t>
  </si>
  <si>
    <t>ALBONDIGAS</t>
  </si>
  <si>
    <t>SALSA TOMATE ALBONDIGAS</t>
  </si>
  <si>
    <t>MASA LUNA X KG</t>
  </si>
  <si>
    <t>carne picada magra</t>
  </si>
  <si>
    <t>tomate perita</t>
  </si>
  <si>
    <t>oregano seco</t>
  </si>
  <si>
    <t>total  albondigas de 70 grs</t>
  </si>
  <si>
    <t>TOTAL</t>
  </si>
  <si>
    <t>POR KG</t>
  </si>
  <si>
    <t>total 2,5 lts</t>
  </si>
  <si>
    <t>por litro</t>
  </si>
  <si>
    <t>total 3,6 kg</t>
  </si>
  <si>
    <t>FALAFEL</t>
  </si>
  <si>
    <t>PASTELERA NUEVA</t>
  </si>
  <si>
    <t>RELLENO SANDWICH DE ATUN</t>
  </si>
  <si>
    <t>SALSA AGRIDULCE</t>
  </si>
  <si>
    <t>lomito de atun paina</t>
  </si>
  <si>
    <t>Mostaza dijon</t>
  </si>
  <si>
    <t>mostaza dijon</t>
  </si>
  <si>
    <t>Limon</t>
  </si>
  <si>
    <t>Perejil fresco</t>
  </si>
  <si>
    <t>Hierbas frescas, Cilantro</t>
  </si>
  <si>
    <t>rinde 300 g</t>
  </si>
  <si>
    <t>total 1,4 kg</t>
  </si>
  <si>
    <t>total 620 grs</t>
  </si>
  <si>
    <t>aji colorado</t>
  </si>
  <si>
    <t>rinde 1,4 kg</t>
  </si>
  <si>
    <t xml:space="preserve">PANCITO DE CAMPO RECETA X16 </t>
  </si>
  <si>
    <t>BAGUETINES RUSTICOS X 60 UNIDADES</t>
  </si>
  <si>
    <t>MASA SABLE VAINILLA  (RINDE 8 U)</t>
  </si>
  <si>
    <t>MASA SABLE cacao suave(RINDE 8 U)</t>
  </si>
  <si>
    <t>levadura fresca</t>
  </si>
  <si>
    <t>Manteca</t>
  </si>
  <si>
    <t>COSTO</t>
  </si>
  <si>
    <t>CON GANANCIA</t>
  </si>
  <si>
    <t>por tapita</t>
  </si>
  <si>
    <t>x</t>
  </si>
  <si>
    <t>COOKIE DOBLE CHOCO 100 grs unidad</t>
  </si>
  <si>
    <t>MEDIALUNA 50 GRS</t>
  </si>
  <si>
    <t>banio leche moldatte</t>
  </si>
  <si>
    <t>CROISSANT 120 grs</t>
  </si>
  <si>
    <t>COOKIE DE FRAMBUESA Y CHOCO BLANCO 100 grs c/u</t>
  </si>
  <si>
    <t>crema richbettercream</t>
  </si>
  <si>
    <t>d</t>
  </si>
  <si>
    <t>PAN DE CHOCOLATE</t>
  </si>
  <si>
    <t>colorante comestible en pasta</t>
  </si>
  <si>
    <t>queso crema milkaut</t>
  </si>
  <si>
    <t xml:space="preserve">TORTA CHOCO Y DULCE DE LECHE </t>
  </si>
  <si>
    <t>ROLL DE CANELA</t>
  </si>
  <si>
    <t>COOKIE DE CHOCO Y NUTELLA</t>
  </si>
  <si>
    <t>frosting queso crema</t>
  </si>
  <si>
    <t>manga pastelera</t>
  </si>
  <si>
    <t>TORTA OPERA</t>
  </si>
  <si>
    <t>BOLA DE FRAILE CON PASTELERA</t>
  </si>
  <si>
    <t>PAN BRIOCHE NARANJA</t>
  </si>
  <si>
    <t>ron</t>
  </si>
  <si>
    <t>ALFAJOR CHOCO Y AVELLANAS</t>
  </si>
  <si>
    <t>TARTA DE MANZANA Y CRUMBLE</t>
  </si>
  <si>
    <t>BOLA DE FRAILE CON DDL</t>
  </si>
  <si>
    <t>banio alfajor de choco</t>
  </si>
  <si>
    <t>manzanas tarta manzana</t>
  </si>
  <si>
    <t>relleno alfajor de choco</t>
  </si>
  <si>
    <t>crumble tarta manzana</t>
  </si>
  <si>
    <t>tapas alfajor chocolate</t>
  </si>
  <si>
    <t>masa sable</t>
  </si>
  <si>
    <t>COOKIE VAUQUITA</t>
  </si>
  <si>
    <t>CROISSANT CHOCOLATE</t>
  </si>
  <si>
    <t>masa cookie vauquita</t>
  </si>
  <si>
    <t>relleno vauquita</t>
  </si>
  <si>
    <t>praline de almendra</t>
  </si>
  <si>
    <t>crema de chocolate</t>
  </si>
  <si>
    <t>TORTA RED VELVET</t>
  </si>
  <si>
    <t>MARQUISE INDIVIDUAL</t>
  </si>
  <si>
    <t>SACRAMENTO</t>
  </si>
  <si>
    <t>TORTA DE RICOTA</t>
  </si>
  <si>
    <t>sacramento x unidad</t>
  </si>
  <si>
    <t>ricota garcia</t>
  </si>
  <si>
    <t>BRUCE NUEVA</t>
  </si>
  <si>
    <t>CHOCOTORTA</t>
  </si>
  <si>
    <t>MARQUISE</t>
  </si>
  <si>
    <t>MANTECA</t>
  </si>
  <si>
    <t>oreo</t>
  </si>
  <si>
    <t>LIMON Y ARANDANOS</t>
  </si>
  <si>
    <t>PASTAFROLA</t>
  </si>
  <si>
    <t>CUADRADO FROLA</t>
  </si>
  <si>
    <t>DULCE DE MEMBRILLO</t>
  </si>
  <si>
    <t>dulce de membrillo</t>
  </si>
  <si>
    <t>arandano congelado</t>
  </si>
  <si>
    <t>PAN DULCE CHOCO,Y FRUTOS SECOS</t>
  </si>
  <si>
    <t>MEDIALUNA LOW COST 50 GRS</t>
  </si>
  <si>
    <t>PAN DE CAMPO KG 4 unidades de 1,300 crudos</t>
  </si>
  <si>
    <t>ACEITE DE GIRASOL</t>
  </si>
  <si>
    <t>AZUCAR</t>
  </si>
  <si>
    <t>pasas de uva negra</t>
  </si>
  <si>
    <t>molde pan dulce</t>
  </si>
  <si>
    <t>PAN PRETZALEJ rinde 7 panes de 120 grs</t>
  </si>
  <si>
    <t>BAGUETIN RUSTICO rinde 6 unidades</t>
  </si>
  <si>
    <t>CAMPO MASA MADRE</t>
  </si>
  <si>
    <t>SAL FINA</t>
  </si>
  <si>
    <t>RINDE 7 UNIDADES</t>
  </si>
  <si>
    <t>BROWNIE</t>
  </si>
  <si>
    <t>SCON DULCE</t>
  </si>
  <si>
    <t>COOKIE DE MANI</t>
  </si>
  <si>
    <t>azucar rubio</t>
  </si>
  <si>
    <t>BRETONA</t>
  </si>
  <si>
    <t>MERMELADA FRUTILLA</t>
  </si>
  <si>
    <t xml:space="preserve">COOKIE RED VELVET </t>
  </si>
  <si>
    <t>FRUTILLAS CONGELADAS</t>
  </si>
  <si>
    <t>Precio de Venta tueste</t>
  </si>
  <si>
    <t>ALFAJORCITOS DE MAICENA X 50 UNIDADES</t>
  </si>
  <si>
    <t xml:space="preserve">MEDIALUNA LOW COST 90GRS </t>
  </si>
  <si>
    <t>PAN DE CAMPO 300 grs</t>
  </si>
  <si>
    <t>azucar IMPALPABLE</t>
  </si>
  <si>
    <t>BAGUETIN DE LECHE 3 UNI 283GRS  C/U TUESTE</t>
  </si>
  <si>
    <t>PANCITO DE LECHE 7UNI 120GRS  C/U</t>
  </si>
  <si>
    <t>BAGUETTE LARGO 2 UNI de 370grs c/u</t>
  </si>
  <si>
    <t xml:space="preserve">WRAPS 8 UNIDADES </t>
  </si>
  <si>
    <t>10 MASAS DE 1,600 KG PARA  FOSFORITOS (20 fosforitos por masa)</t>
  </si>
  <si>
    <t>ROSCA DE PASCUA</t>
  </si>
  <si>
    <t>masa luna</t>
  </si>
  <si>
    <t xml:space="preserve">agua </t>
  </si>
  <si>
    <t>FOCACCIA 30 X 40</t>
  </si>
  <si>
    <t>COOKIE CLASICA</t>
  </si>
  <si>
    <t xml:space="preserve">COOKIE DE FRAMBUESA ESPECIAL </t>
  </si>
  <si>
    <t>TORTA ESPECIAL CUMPLE</t>
  </si>
  <si>
    <t>Azucar rubio</t>
  </si>
  <si>
    <t>tomate cherry</t>
  </si>
  <si>
    <t>parmesano</t>
  </si>
  <si>
    <t>BAGUETIN DE LECHE 5 UNI 130GRS  C/U</t>
  </si>
  <si>
    <t>10 MASAS DE 1,850 KG palitos de queso (61 palitos x masa)</t>
  </si>
  <si>
    <t xml:space="preserve">PAN BRIOCHE MAYORISTA </t>
  </si>
  <si>
    <t>ALFAJOR CHOCOLATE DDL UNIDAD</t>
  </si>
  <si>
    <t>ALFAJOR CHOCO DDL Y FRAMBUESA UNIDAD</t>
  </si>
  <si>
    <t>PASTAFROLA ENTERA/ RINDE 8 PORCIONES</t>
  </si>
  <si>
    <t>petalos de rosa</t>
  </si>
  <si>
    <t xml:space="preserve">COOKIES FRAMBUESA ESPECIALES </t>
  </si>
  <si>
    <t>LEMONIES X 50 UNIDADES</t>
  </si>
  <si>
    <t>BROWNIE X 50UNIDADES</t>
  </si>
  <si>
    <t>PASTAFROLA MEMBRILLO 50  UNIDADES</t>
  </si>
  <si>
    <t>PASTAFROLA BATATA 50  UNIDADES</t>
  </si>
  <si>
    <t>TORTA RICOTA 50 UNIDADES</t>
  </si>
  <si>
    <t>dulce de batata</t>
  </si>
  <si>
    <t>ALFAJORCITO DDL VAINILLA  50  UNIDADES</t>
  </si>
  <si>
    <t>ALFAJORCITO DDL CHOCOLATE 50  UNIDADES</t>
  </si>
  <si>
    <t>TORTA ARGENTINA</t>
  </si>
  <si>
    <t>PASTELITO MEMBRILLO</t>
  </si>
  <si>
    <t>PASTELITO BATATA</t>
  </si>
  <si>
    <t>MEDIALUNA 150GRS MINI</t>
  </si>
  <si>
    <t>COOKIE DOBLE CHOCO  ESPECIAL</t>
  </si>
  <si>
    <t>BUDIN MARMOLADO RINDE 9 PORCIONES DE 3 CM</t>
  </si>
  <si>
    <t>COOKIE TRES CHOCOLATES (RINDE 6 COOKIES 110 GRS)</t>
  </si>
  <si>
    <t>Bicarbonato de sodio</t>
  </si>
  <si>
    <t>COOKIE PISTACHO  (RINDE 6 COOKIES 110 GRS)</t>
  </si>
  <si>
    <t>COOKIE OREO  (RINDE 6 COOKIES 110 GRS)</t>
  </si>
  <si>
    <t>COOKIE DULCE DE LECHE  (RINDE 6 COOKIES 110 GRS)</t>
  </si>
  <si>
    <t>pasta de pistacho</t>
  </si>
  <si>
    <t>ALFAJOR PASTA DE MANI</t>
  </si>
  <si>
    <t>ALFAJOR PISTACHO</t>
  </si>
  <si>
    <t>ALFAJOR BLANCO</t>
  </si>
  <si>
    <t>masa sable cacao suave</t>
  </si>
  <si>
    <t>masa sable vainilla</t>
  </si>
  <si>
    <t>sable cacao amargo</t>
  </si>
  <si>
    <t>PRODUCTO</t>
  </si>
  <si>
    <t xml:space="preserve">COMPRA TUESTE </t>
  </si>
  <si>
    <t>COSTO ENVÍO</t>
  </si>
  <si>
    <t>VENTA EN TUESTE</t>
  </si>
  <si>
    <t>% RENTABILIDAD</t>
  </si>
  <si>
    <t>ESCALA DE RENTABILIDAD</t>
  </si>
  <si>
    <t>0% a 40%</t>
  </si>
  <si>
    <t>40% a 45%</t>
  </si>
  <si>
    <t>ALFAJOR DE CHOCO Y DDL</t>
  </si>
  <si>
    <t>45% a 60%</t>
  </si>
  <si>
    <t>más de 60%</t>
  </si>
  <si>
    <t>COOKIE RED VELVET</t>
  </si>
  <si>
    <t>ALFAJOR DE FRAMBUESA Y DDL</t>
  </si>
  <si>
    <t>COOKIES ESPECIALES</t>
  </si>
  <si>
    <t>ALFAJOR PISTACHO SIN TACC</t>
  </si>
  <si>
    <t>ALFAJOR MAR DEL PLATA SIN TACC</t>
  </si>
  <si>
    <t>COOKIE NEW YORK SIN TACC</t>
  </si>
  <si>
    <t>PAN SIN TACC X 2 RODAJAS</t>
  </si>
  <si>
    <t>COOKIE NUTELLA Y CHOCO</t>
  </si>
  <si>
    <t>COOKIE FRAMBUESA ESPECIAL</t>
  </si>
  <si>
    <t>COOKIE DOBLE CHOCO ESPECIAL</t>
  </si>
  <si>
    <t>FOSFORITO</t>
  </si>
  <si>
    <t>BUDIN MARMOLADO</t>
  </si>
  <si>
    <t>COOKIE 3 CHOCO</t>
  </si>
  <si>
    <t>COOKIE PISTACHO</t>
  </si>
  <si>
    <t>COOKIE OREO</t>
  </si>
  <si>
    <t>COOKIE DULCE DE LECHE</t>
  </si>
  <si>
    <t>ALFAJOR MANI</t>
  </si>
  <si>
    <t>CATERING</t>
  </si>
  <si>
    <t>LISTADO DE PRODUCTOS</t>
  </si>
  <si>
    <t>PRECIO UNITARIO CON MERMA/DESPERDICIO</t>
  </si>
  <si>
    <t>UNIDAD</t>
  </si>
  <si>
    <t>PRECIO TOTAL</t>
  </si>
  <si>
    <t>DESPERDICIO</t>
  </si>
  <si>
    <t>PROVEEDOR</t>
  </si>
  <si>
    <t>CATEGORIA</t>
  </si>
  <si>
    <t>FORMULA DE DESPERDICIO</t>
  </si>
  <si>
    <t>lt</t>
  </si>
  <si>
    <t>ALMACEN</t>
  </si>
  <si>
    <t>ITEM</t>
  </si>
  <si>
    <t>CANT INICIAL</t>
  </si>
  <si>
    <t>% DE MERMA</t>
  </si>
  <si>
    <t>LOMO</t>
  </si>
  <si>
    <t>agar agar</t>
  </si>
  <si>
    <t>kg</t>
  </si>
  <si>
    <t>MULTIPLICAR POR</t>
  </si>
  <si>
    <t>PRECIO X KG</t>
  </si>
  <si>
    <t>COSTO REAL</t>
  </si>
  <si>
    <t>aceite de oliva cafe tres</t>
  </si>
  <si>
    <t>MODIFICAR SOLO LAS CELDAS EN ROJO</t>
  </si>
  <si>
    <t>Anchoas en conserva cafe tres</t>
  </si>
  <si>
    <t>arroz cafe tres</t>
  </si>
  <si>
    <t>lata gaseosa</t>
  </si>
  <si>
    <t>unidad</t>
  </si>
  <si>
    <t>Arroz doble fortuna</t>
  </si>
  <si>
    <t>Arroz integral</t>
  </si>
  <si>
    <t>Arroz largo fino</t>
  </si>
  <si>
    <t>Café en cuarto</t>
  </si>
  <si>
    <t>Canela en polvo</t>
  </si>
  <si>
    <t>Canela en rama</t>
  </si>
  <si>
    <t>Chips alpino choco blanco</t>
  </si>
  <si>
    <t>Coco rallado</t>
  </si>
  <si>
    <t>Comino</t>
  </si>
  <si>
    <t>bombonitos mapsa</t>
  </si>
  <si>
    <t>Curcuma</t>
  </si>
  <si>
    <t>Curry</t>
  </si>
  <si>
    <t>Datil</t>
  </si>
  <si>
    <t>Duraznos lata</t>
  </si>
  <si>
    <t>coco rallado cafe tres</t>
  </si>
  <si>
    <t>Extracto de carne</t>
  </si>
  <si>
    <t>Extracto de tomate</t>
  </si>
  <si>
    <t>Fideos cabello de angel</t>
  </si>
  <si>
    <t>Fideos cintas finas</t>
  </si>
  <si>
    <t>Fideos espaghetti</t>
  </si>
  <si>
    <t>Fideos penne rigate</t>
  </si>
  <si>
    <t>adereso caesar cafe tres</t>
  </si>
  <si>
    <t>Fondant</t>
  </si>
  <si>
    <t>campo</t>
  </si>
  <si>
    <t>lata agua</t>
  </si>
  <si>
    <t>lata agua con gas</t>
  </si>
  <si>
    <t>Harina de mandioca</t>
  </si>
  <si>
    <t>Harina leudante</t>
  </si>
  <si>
    <t>Higos desecados</t>
  </si>
  <si>
    <t>Hongos secos</t>
  </si>
  <si>
    <t>Lentejas</t>
  </si>
  <si>
    <t>leche en polvo cafe tres</t>
  </si>
  <si>
    <t>Litchi en lata</t>
  </si>
  <si>
    <t>azucar mascabo</t>
  </si>
  <si>
    <t>Miel</t>
  </si>
  <si>
    <t>Mrtini Rosso</t>
  </si>
  <si>
    <t>Nuez moscada en polvo</t>
  </si>
  <si>
    <t>Oregano seco</t>
  </si>
  <si>
    <t>aperol</t>
  </si>
  <si>
    <t>campari</t>
  </si>
  <si>
    <t>vodka</t>
  </si>
  <si>
    <t>gin</t>
  </si>
  <si>
    <t>Pimienta negra en granos cafe tres</t>
  </si>
  <si>
    <t>Romero seco</t>
  </si>
  <si>
    <t>Ron</t>
  </si>
  <si>
    <t>Sal entrefina</t>
  </si>
  <si>
    <t>Sal de cura</t>
  </si>
  <si>
    <t>Sal gruesa</t>
  </si>
  <si>
    <t>Salsa de soja</t>
  </si>
  <si>
    <t>Salsa inglesa</t>
  </si>
  <si>
    <t>Salsa tabbasher</t>
  </si>
  <si>
    <t>semilla de zapallo</t>
  </si>
  <si>
    <t>Semilla de coriandro</t>
  </si>
  <si>
    <t>Semilla de mostaza</t>
  </si>
  <si>
    <t>Semilla de sesamo negro</t>
  </si>
  <si>
    <t>Semillas de sesamo blanco</t>
  </si>
  <si>
    <t>Tomate cubeteado</t>
  </si>
  <si>
    <t>Tomate perita en lata</t>
  </si>
  <si>
    <t>Trigo burgol cafe tres</t>
  </si>
  <si>
    <t>Trigo pelado</t>
  </si>
  <si>
    <t>Vinagre de manzana cafe tres</t>
  </si>
  <si>
    <t>Vinagre de alcohol cafe tres</t>
  </si>
  <si>
    <t>CARNICERIA</t>
  </si>
  <si>
    <t>milanesa de pollo</t>
  </si>
  <si>
    <t>Panceta fresca</t>
  </si>
  <si>
    <t>suprema pastoril</t>
  </si>
  <si>
    <t>Tapa de asado</t>
  </si>
  <si>
    <t>Balsas de arranque grande</t>
  </si>
  <si>
    <t>DESCARTABLES</t>
  </si>
  <si>
    <t>Bolsas camisetas</t>
  </si>
  <si>
    <t>Bolsas de arranque chicas</t>
  </si>
  <si>
    <t>Bolsas de arranque medianas</t>
  </si>
  <si>
    <t>Film</t>
  </si>
  <si>
    <t>mtr</t>
  </si>
  <si>
    <t>Papel de cocina</t>
  </si>
  <si>
    <t>Papel de manteca</t>
  </si>
  <si>
    <t>Pote de 1 kg</t>
  </si>
  <si>
    <t>Separadores</t>
  </si>
  <si>
    <t xml:space="preserve">Servilletas 33x33 </t>
  </si>
  <si>
    <t>Servilletas chicas con guarda</t>
  </si>
  <si>
    <t>tapa pote de 1 kg</t>
  </si>
  <si>
    <t>Casis congelado</t>
  </si>
  <si>
    <t>ESPECIALES</t>
  </si>
  <si>
    <t>frutos congelados cafe tres</t>
  </si>
  <si>
    <t>Moztasa dijon</t>
  </si>
  <si>
    <t>LACTEOS</t>
  </si>
  <si>
    <t>Helado de dulce de leche</t>
  </si>
  <si>
    <t>Helado de limon</t>
  </si>
  <si>
    <t>Queso Brie</t>
  </si>
  <si>
    <t>Queso crema</t>
  </si>
  <si>
    <t>Pategras</t>
  </si>
  <si>
    <t>LACTEOS - ESPECIALES</t>
  </si>
  <si>
    <t>jamon crudo cafe tres</t>
  </si>
  <si>
    <t>LACTEOS -FIAMBRE</t>
  </si>
  <si>
    <t>Fiambre, Bondiola de cerdo</t>
  </si>
  <si>
    <t>LACTEOS-FIAMBRE</t>
  </si>
  <si>
    <t>muzzarela paulina cafe tres</t>
  </si>
  <si>
    <t>rodaja</t>
  </si>
  <si>
    <t>PANADERIA</t>
  </si>
  <si>
    <t>9 rodajas</t>
  </si>
  <si>
    <t>un</t>
  </si>
  <si>
    <t>medialuna 50 gramos</t>
  </si>
  <si>
    <t>rodaja pan masa madre cafe tres</t>
  </si>
  <si>
    <t>rodaja pan de molde blanco cafe tres</t>
  </si>
  <si>
    <t>croissant 120 grs</t>
  </si>
  <si>
    <t>crouttones</t>
  </si>
  <si>
    <t>Acelga</t>
  </si>
  <si>
    <t>VERDULERIA</t>
  </si>
  <si>
    <t>Aji amarillo</t>
  </si>
  <si>
    <t>Aji picante</t>
  </si>
  <si>
    <t>Aji Verde</t>
  </si>
  <si>
    <t>Ajo</t>
  </si>
  <si>
    <t>cabeza</t>
  </si>
  <si>
    <t>Akusai</t>
  </si>
  <si>
    <t>Alcaucil</t>
  </si>
  <si>
    <t>Anana lata</t>
  </si>
  <si>
    <t>Apio</t>
  </si>
  <si>
    <t>Arandano</t>
  </si>
  <si>
    <t>Arvejas frescas</t>
  </si>
  <si>
    <t>Batata</t>
  </si>
  <si>
    <t>Berenjena china</t>
  </si>
  <si>
    <t>Bokchoy</t>
  </si>
  <si>
    <t xml:space="preserve">brocoli       </t>
  </si>
  <si>
    <t>Brotes de arveja</t>
  </si>
  <si>
    <t>Brotes de cebolla</t>
  </si>
  <si>
    <t>Brotes de soja</t>
  </si>
  <si>
    <t>ric</t>
  </si>
  <si>
    <t>Brotes derabanito</t>
  </si>
  <si>
    <t>Brotes mix</t>
  </si>
  <si>
    <t>Calabaza (Anco)</t>
  </si>
  <si>
    <t>Cebolla (Chicas)</t>
  </si>
  <si>
    <t>Cebolla de verdeo</t>
  </si>
  <si>
    <t>Cereza</t>
  </si>
  <si>
    <t>Chaucha japonesa</t>
  </si>
  <si>
    <t>Chaucha plana</t>
  </si>
  <si>
    <t>Chaucha redonda</t>
  </si>
  <si>
    <t>Chirimoya</t>
  </si>
  <si>
    <t>Choclo en chala</t>
  </si>
  <si>
    <t>Ciruela</t>
  </si>
  <si>
    <t>Coliflor</t>
  </si>
  <si>
    <t>Damasco</t>
  </si>
  <si>
    <t>Durazno</t>
  </si>
  <si>
    <t>Durazno Pelon</t>
  </si>
  <si>
    <t>queso</t>
  </si>
  <si>
    <t>Espinaca</t>
  </si>
  <si>
    <t>arand</t>
  </si>
  <si>
    <t>Flores comestibles</t>
  </si>
  <si>
    <t>Frutilla</t>
  </si>
  <si>
    <t>Granada</t>
  </si>
  <si>
    <t>Guayaba</t>
  </si>
  <si>
    <t>Hierba, Lemon grass</t>
  </si>
  <si>
    <t>Hierbas frescas, Albahaca morada</t>
  </si>
  <si>
    <t>Hierbas frescas, Cibulette</t>
  </si>
  <si>
    <t>Hierbas frescas, Eneldo</t>
  </si>
  <si>
    <t>Hierbas frescas, Hoja</t>
  </si>
  <si>
    <t>Hierbas frescas, Kale rojo</t>
  </si>
  <si>
    <t>Hierbas frescas, kale verde</t>
  </si>
  <si>
    <t>Hierbas frescas, Laurel</t>
  </si>
  <si>
    <t>Hierbas frescas, Lavanda</t>
  </si>
  <si>
    <t>Hierbas frescas, Lemon gras</t>
  </si>
  <si>
    <t>Hierbas frescas, Mache</t>
  </si>
  <si>
    <t>Hierbas frescas, Menta negra</t>
  </si>
  <si>
    <t>Hierbas frescas, Moztasa verde</t>
  </si>
  <si>
    <t>Hierbas frescas, Oregano</t>
  </si>
  <si>
    <t>Hierbas frescas, Perejil crespo</t>
  </si>
  <si>
    <t>Hierbas frescas, Perifolio</t>
  </si>
  <si>
    <t>Hierbas frescas, Romero</t>
  </si>
  <si>
    <t>Hierbas frescas, Salvia</t>
  </si>
  <si>
    <t>Hierbas frescas, Yerbauena</t>
  </si>
  <si>
    <t xml:space="preserve">Higo  </t>
  </si>
  <si>
    <t>Higos</t>
  </si>
  <si>
    <t>Hinojo</t>
  </si>
  <si>
    <t>Hoja amarga, Acedera</t>
  </si>
  <si>
    <t>Hoja amarga, Achicoria</t>
  </si>
  <si>
    <t>Hoja amarga, Berro de tierra</t>
  </si>
  <si>
    <t>Hoja amarga, Diente de leon</t>
  </si>
  <si>
    <t>Hoja amarga, Endivias</t>
  </si>
  <si>
    <t>huevos cafe tres</t>
  </si>
  <si>
    <t>Un</t>
  </si>
  <si>
    <t>Kale</t>
  </si>
  <si>
    <t>Kiwi</t>
  </si>
  <si>
    <t>Lechuga, capuchina</t>
  </si>
  <si>
    <t>Lechuga, escarola fina</t>
  </si>
  <si>
    <t>Lechuga, hoja de roble morada</t>
  </si>
  <si>
    <t>Lechuga, hoja de roble verde</t>
  </si>
  <si>
    <t>Lechuga, lollo rosa</t>
  </si>
  <si>
    <t>Lechuga, mantecosa</t>
  </si>
  <si>
    <t>Lechuga, radichio rojo</t>
  </si>
  <si>
    <t>Lechuga,morada</t>
  </si>
  <si>
    <t>Lechuga,sv</t>
  </si>
  <si>
    <t>Mandarina</t>
  </si>
  <si>
    <t>Mandioca</t>
  </si>
  <si>
    <t>Mango</t>
  </si>
  <si>
    <t>Manzana roja</t>
  </si>
  <si>
    <t>Manzana verde</t>
  </si>
  <si>
    <t>Maracuya</t>
  </si>
  <si>
    <t>Melon</t>
  </si>
  <si>
    <t>Menbrillo</t>
  </si>
  <si>
    <t>Mora</t>
  </si>
  <si>
    <t>Navo</t>
  </si>
  <si>
    <t>Nispero</t>
  </si>
  <si>
    <t>Palta hass cafe tres</t>
  </si>
  <si>
    <t>merma</t>
  </si>
  <si>
    <t>Papa</t>
  </si>
  <si>
    <t>Papaya</t>
  </si>
  <si>
    <t>Papines</t>
  </si>
  <si>
    <t>Pepino</t>
  </si>
  <si>
    <t>Pepino japones</t>
  </si>
  <si>
    <t>Pera</t>
  </si>
  <si>
    <t>Peras</t>
  </si>
  <si>
    <t>Pok choy</t>
  </si>
  <si>
    <t>Puerro</t>
  </si>
  <si>
    <t>Puerro mini</t>
  </si>
  <si>
    <t>Quinoto</t>
  </si>
  <si>
    <t>Rabanito</t>
  </si>
  <si>
    <t>Remolacha</t>
  </si>
  <si>
    <t>Remolacha amarilla</t>
  </si>
  <si>
    <t>Repollito de bruselas</t>
  </si>
  <si>
    <t>Ruibarbo</t>
  </si>
  <si>
    <t>Salsifi</t>
  </si>
  <si>
    <t>Sandia</t>
  </si>
  <si>
    <t>Tomate cherry</t>
  </si>
  <si>
    <t>Tomate redondo</t>
  </si>
  <si>
    <t>Tomate cherry amarillo</t>
  </si>
  <si>
    <t>Tomate Perita</t>
  </si>
  <si>
    <t>Tuna</t>
  </si>
  <si>
    <t>Uva</t>
  </si>
  <si>
    <t>Zanahoria</t>
  </si>
  <si>
    <t>Zanahoria Beibi</t>
  </si>
  <si>
    <t>Zapallito</t>
  </si>
  <si>
    <t>Zapallo anco</t>
  </si>
  <si>
    <t>Zapallo kabutia</t>
  </si>
  <si>
    <t>Aderezo caesar</t>
  </si>
  <si>
    <t>ZPRODUCCION</t>
  </si>
  <si>
    <t>Almibar</t>
  </si>
  <si>
    <t>chutney de peras</t>
  </si>
  <si>
    <t>Espuma de chocolate blanco</t>
  </si>
  <si>
    <t>MARO, Postre TANGO</t>
  </si>
  <si>
    <t>Masa de pasta</t>
  </si>
  <si>
    <t>Masa de pasta de yema</t>
  </si>
  <si>
    <t>Masa de pizza</t>
  </si>
  <si>
    <t>Mousse citrica</t>
  </si>
  <si>
    <t>Naranjas confitadas</t>
  </si>
  <si>
    <t>pan de miel</t>
  </si>
  <si>
    <t>rodaja Pan de molde cafe tres</t>
  </si>
  <si>
    <t>Tomate confit</t>
  </si>
  <si>
    <t>Volcan</t>
  </si>
  <si>
    <t>masa de crep</t>
  </si>
  <si>
    <t>Humita</t>
  </si>
  <si>
    <t>jengibre en almibar</t>
  </si>
  <si>
    <t>masa basica pasta</t>
  </si>
  <si>
    <t>pepinos encurtidos</t>
  </si>
  <si>
    <t>yogurt especiado</t>
  </si>
  <si>
    <t>zanahorias encurtidas</t>
  </si>
  <si>
    <t>litro</t>
  </si>
  <si>
    <t>cookie de chocolate y nutella</t>
  </si>
  <si>
    <t>tarta manzana</t>
  </si>
  <si>
    <t>alfajor de chocolate y avellana</t>
  </si>
  <si>
    <t>te chai</t>
  </si>
  <si>
    <t>PAPELERA</t>
  </si>
  <si>
    <t>PROMOCION</t>
  </si>
  <si>
    <t>sandwich bondiola</t>
  </si>
  <si>
    <t>sandwich brie</t>
  </si>
  <si>
    <t>ensalada con pollo</t>
  </si>
  <si>
    <t>lungo</t>
  </si>
  <si>
    <t>porcion carrot cake</t>
  </si>
  <si>
    <t>porcion budin de limon</t>
  </si>
  <si>
    <t>croissant</t>
  </si>
  <si>
    <t>medialuna</t>
  </si>
  <si>
    <t>pomelada</t>
  </si>
  <si>
    <t>DESPERDICIOS</t>
  </si>
  <si>
    <t>DÍAS</t>
  </si>
  <si>
    <t>PRODUCTOS</t>
  </si>
  <si>
    <t>MOTIVO</t>
  </si>
  <si>
    <t>TOTALES</t>
  </si>
  <si>
    <t>COOKIE FRAMB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</si>
</sst>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0.000"/>
    <numFmt numFmtId="165" formatCode="&quot;$&quot;\ #,##0.00;[Red]&quot;$&quot;\ \-#,##0.00"/>
    <numFmt numFmtId="166" formatCode="&quot;$&quot;#,##0.00"/>
    <numFmt numFmtId="167" formatCode="&quot;$&quot;#,##0"/>
    <numFmt numFmtId="168" formatCode="#,##0.000"/>
    <numFmt numFmtId="169" formatCode="[$ $]#,##0"/>
    <numFmt numFmtId="170" formatCode="_-&quot;$&quot;* #,##0.00_-;\-&quot;$&quot;* #,##0.00_-;_-&quot;$&quot;* &quot;-&quot;??_-;_-@"/>
    <numFmt numFmtId="171" formatCode="[$ $]#,##0.00"/>
    <numFmt numFmtId="172" formatCode="d/mm/yyyy"/>
  </numFmts>
  <fonts count="26" x14ac:knownFonts="1">
    <font>
      <sz val="11"/>
      <color theme="1"/>
      <name val="Arial"/>
      <scheme val="minor"/>
    </font>
    <font>
      <sz val="11"/>
      <color theme="1"/>
      <name val="Arial"/>
      <family val="2"/>
      <scheme val="minor"/>
    </font>
    <font>
      <sz val="11"/>
      <color theme="1"/>
      <name val="Calibri"/>
      <family val="2"/>
    </font>
    <font>
      <b/>
      <sz val="11"/>
      <color rgb="FFFFFFFF"/>
      <name val="Calibri"/>
      <family val="2"/>
    </font>
    <font>
      <sz val="11"/>
      <name val="Arial"/>
      <family val="2"/>
    </font>
    <font>
      <b/>
      <sz val="11"/>
      <color theme="0"/>
      <name val="Calibri"/>
      <family val="2"/>
    </font>
    <font>
      <sz val="12"/>
      <color theme="1"/>
      <name val="Times New Roman"/>
      <family val="1"/>
    </font>
    <font>
      <sz val="11"/>
      <color rgb="FF000000"/>
      <name val="Calibri"/>
      <family val="2"/>
    </font>
    <font>
      <sz val="11"/>
      <color theme="0"/>
      <name val="Calibri"/>
      <family val="2"/>
    </font>
    <font>
      <sz val="11"/>
      <color theme="1"/>
      <name val="Times New Roman"/>
      <family val="1"/>
    </font>
    <font>
      <b/>
      <sz val="11"/>
      <color rgb="FF000000"/>
      <name val="Calibri"/>
      <family val="2"/>
    </font>
    <font>
      <sz val="11"/>
      <color theme="1"/>
      <name val="Arial"/>
      <family val="2"/>
    </font>
    <font>
      <sz val="11"/>
      <color rgb="FFFFFFFF"/>
      <name val="Calibri"/>
      <family val="2"/>
    </font>
    <font>
      <sz val="11"/>
      <color theme="1"/>
      <name val="Arial"/>
      <family val="2"/>
    </font>
    <font>
      <sz val="11"/>
      <color theme="1"/>
      <name val="Calibri"/>
      <family val="2"/>
    </font>
    <font>
      <sz val="11"/>
      <color rgb="FF1F1F1F"/>
      <name val="Calibri"/>
      <family val="2"/>
    </font>
    <font>
      <sz val="12"/>
      <color theme="1"/>
      <name val="Calibri"/>
      <family val="2"/>
    </font>
    <font>
      <sz val="11"/>
      <color rgb="FF000000"/>
      <name val="Arial"/>
      <family val="2"/>
    </font>
    <font>
      <b/>
      <sz val="11"/>
      <color theme="1"/>
      <name val="Calibri"/>
      <family val="2"/>
    </font>
    <font>
      <b/>
      <sz val="11"/>
      <color rgb="FFF6F8F9"/>
      <name val="Calibri"/>
      <family val="2"/>
    </font>
    <font>
      <b/>
      <sz val="11"/>
      <color theme="1"/>
      <name val="Arial"/>
      <family val="2"/>
      <scheme val="minor"/>
    </font>
    <font>
      <b/>
      <sz val="11"/>
      <color rgb="FFFFFFFF"/>
      <name val="Arial"/>
      <family val="2"/>
      <scheme val="minor"/>
    </font>
    <font>
      <b/>
      <sz val="13"/>
      <color theme="1"/>
      <name val="Arial"/>
      <family val="2"/>
      <scheme val="minor"/>
    </font>
    <font>
      <b/>
      <sz val="11"/>
      <color rgb="FFFF0000"/>
      <name val="Calibri"/>
      <family val="2"/>
    </font>
    <font>
      <sz val="12"/>
      <color theme="1"/>
      <name val="Arial"/>
      <family val="2"/>
    </font>
    <font>
      <b/>
      <sz val="14"/>
      <color rgb="FFFFFFFF"/>
      <name val="Calibri"/>
      <family val="2"/>
    </font>
  </fonts>
  <fills count="17">
    <fill>
      <patternFill patternType="none"/>
    </fill>
    <fill>
      <patternFill patternType="gray125"/>
    </fill>
    <fill>
      <patternFill patternType="solid">
        <fgColor rgb="FFFFFFFF"/>
        <bgColor rgb="FFFFFFFF"/>
      </patternFill>
    </fill>
    <fill>
      <patternFill patternType="solid">
        <fgColor rgb="FF0070C0"/>
        <bgColor rgb="FF0070C0"/>
      </patternFill>
    </fill>
    <fill>
      <patternFill patternType="solid">
        <fgColor theme="0"/>
        <bgColor theme="0"/>
      </patternFill>
    </fill>
    <fill>
      <patternFill patternType="solid">
        <fgColor rgb="FFFFFF00"/>
        <bgColor rgb="FFFFFF00"/>
      </patternFill>
    </fill>
    <fill>
      <patternFill patternType="solid">
        <fgColor rgb="FF00FF00"/>
        <bgColor rgb="FF00FF00"/>
      </patternFill>
    </fill>
    <fill>
      <patternFill patternType="solid">
        <fgColor rgb="FF4A86E8"/>
        <bgColor rgb="FF4A86E8"/>
      </patternFill>
    </fill>
    <fill>
      <patternFill patternType="solid">
        <fgColor rgb="FF09BE68"/>
        <bgColor rgb="FF09BE68"/>
      </patternFill>
    </fill>
    <fill>
      <patternFill patternType="solid">
        <fgColor rgb="FFEC1818"/>
        <bgColor rgb="FFEC1818"/>
      </patternFill>
    </fill>
    <fill>
      <patternFill patternType="solid">
        <fgColor rgb="FF535FC1"/>
        <bgColor rgb="FF535FC1"/>
      </patternFill>
    </fill>
    <fill>
      <patternFill patternType="solid">
        <fgColor rgb="FFFF0000"/>
        <bgColor rgb="FFFF0000"/>
      </patternFill>
    </fill>
    <fill>
      <patternFill patternType="solid">
        <fgColor rgb="FFFFD966"/>
        <bgColor rgb="FFFFD966"/>
      </patternFill>
    </fill>
    <fill>
      <patternFill patternType="solid">
        <fgColor rgb="FF274E13"/>
        <bgColor rgb="FF274E13"/>
      </patternFill>
    </fill>
    <fill>
      <patternFill patternType="solid">
        <fgColor rgb="FFD8D8D8"/>
        <bgColor rgb="FFD8D8D8"/>
      </patternFill>
    </fill>
    <fill>
      <patternFill patternType="solid">
        <fgColor rgb="FFBFBFBF"/>
        <bgColor rgb="FFBFBFBF"/>
      </patternFill>
    </fill>
    <fill>
      <patternFill patternType="solid">
        <fgColor rgb="FF1155CC"/>
        <bgColor rgb="FF1155CC"/>
      </patternFill>
    </fill>
  </fills>
  <borders count="45">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style="medium">
        <color rgb="FF000000"/>
      </left>
      <right style="medium">
        <color rgb="FF000000"/>
      </right>
      <top style="thin">
        <color rgb="FF000000"/>
      </top>
      <bottom/>
      <diagonal/>
    </border>
    <border>
      <left/>
      <right/>
      <top style="thin">
        <color rgb="FF000000"/>
      </top>
      <bottom/>
      <diagonal/>
    </border>
  </borders>
  <cellStyleXfs count="1">
    <xf numFmtId="0" fontId="0" fillId="0" borderId="0"/>
  </cellStyleXfs>
  <cellXfs count="237">
    <xf numFmtId="0" fontId="0" fillId="0" borderId="0" xfId="0"/>
    <xf numFmtId="0" fontId="1" fillId="0" borderId="0" xfId="0" applyFont="1"/>
    <xf numFmtId="0" fontId="2" fillId="0" borderId="0" xfId="0" applyFont="1"/>
    <xf numFmtId="0" fontId="1" fillId="2" borderId="0" xfId="0" applyFont="1" applyFill="1"/>
    <xf numFmtId="0" fontId="5" fillId="2" borderId="0" xfId="0" applyFont="1" applyFill="1" applyAlignment="1">
      <alignment horizontal="center" vertical="center"/>
    </xf>
    <xf numFmtId="0" fontId="2" fillId="0" borderId="4" xfId="0" applyFont="1" applyBorder="1"/>
    <xf numFmtId="0" fontId="2" fillId="0" borderId="5" xfId="0" applyFont="1" applyBorder="1" applyAlignment="1">
      <alignment horizontal="center" vertical="center"/>
    </xf>
    <xf numFmtId="0" fontId="2" fillId="0" borderId="5" xfId="0" applyFont="1" applyBorder="1"/>
    <xf numFmtId="0" fontId="2" fillId="0" borderId="6" xfId="0" applyFont="1" applyBorder="1"/>
    <xf numFmtId="0" fontId="2" fillId="2" borderId="0" xfId="0" applyFont="1" applyFill="1"/>
    <xf numFmtId="164" fontId="6" fillId="0" borderId="5" xfId="0" applyNumberFormat="1" applyFont="1" applyBorder="1" applyAlignment="1">
      <alignment horizontal="right"/>
    </xf>
    <xf numFmtId="165" fontId="2" fillId="0" borderId="5" xfId="0" applyNumberFormat="1" applyFont="1" applyBorder="1"/>
    <xf numFmtId="166" fontId="2" fillId="0" borderId="6" xfId="0" applyNumberFormat="1" applyFont="1" applyBorder="1" applyAlignment="1">
      <alignment horizontal="center"/>
    </xf>
    <xf numFmtId="0" fontId="6" fillId="0" borderId="5" xfId="0" applyFont="1" applyBorder="1"/>
    <xf numFmtId="0" fontId="6" fillId="2" borderId="5" xfId="0" applyFont="1" applyFill="1" applyBorder="1"/>
    <xf numFmtId="166" fontId="2" fillId="2" borderId="0" xfId="0" applyNumberFormat="1" applyFont="1" applyFill="1" applyAlignment="1">
      <alignment horizontal="center"/>
    </xf>
    <xf numFmtId="0" fontId="7" fillId="2" borderId="7" xfId="0" applyFont="1" applyFill="1" applyBorder="1"/>
    <xf numFmtId="0" fontId="2" fillId="2" borderId="5" xfId="0" applyFont="1" applyFill="1" applyBorder="1"/>
    <xf numFmtId="164" fontId="6" fillId="0" borderId="0" xfId="0" applyNumberFormat="1" applyFont="1"/>
    <xf numFmtId="0" fontId="2" fillId="4" borderId="4" xfId="0" applyFont="1" applyFill="1" applyBorder="1"/>
    <xf numFmtId="0" fontId="1" fillId="0" borderId="5" xfId="0" applyFont="1" applyBorder="1"/>
    <xf numFmtId="0" fontId="8" fillId="3" borderId="4" xfId="0" applyFont="1" applyFill="1" applyBorder="1"/>
    <xf numFmtId="0" fontId="8" fillId="3" borderId="5" xfId="0" applyFont="1" applyFill="1" applyBorder="1"/>
    <xf numFmtId="166" fontId="8" fillId="3" borderId="5" xfId="0" applyNumberFormat="1" applyFont="1" applyFill="1" applyBorder="1"/>
    <xf numFmtId="166" fontId="8" fillId="3" borderId="6" xfId="0" applyNumberFormat="1" applyFont="1" applyFill="1" applyBorder="1"/>
    <xf numFmtId="166" fontId="8" fillId="2" borderId="0" xfId="0" applyNumberFormat="1" applyFont="1" applyFill="1"/>
    <xf numFmtId="0" fontId="2" fillId="4" borderId="8" xfId="0" applyFont="1" applyFill="1" applyBorder="1"/>
    <xf numFmtId="0" fontId="2" fillId="4" borderId="5" xfId="0" applyFont="1" applyFill="1" applyBorder="1"/>
    <xf numFmtId="166" fontId="2" fillId="4" borderId="5" xfId="0" applyNumberFormat="1" applyFont="1" applyFill="1" applyBorder="1"/>
    <xf numFmtId="166" fontId="2" fillId="4" borderId="6" xfId="0" applyNumberFormat="1" applyFont="1" applyFill="1" applyBorder="1"/>
    <xf numFmtId="166" fontId="2" fillId="2" borderId="0" xfId="0" applyNumberFormat="1" applyFont="1" applyFill="1"/>
    <xf numFmtId="10" fontId="2" fillId="4" borderId="5" xfId="0" applyNumberFormat="1" applyFont="1" applyFill="1" applyBorder="1"/>
    <xf numFmtId="0" fontId="2" fillId="0" borderId="9" xfId="0" applyFont="1" applyBorder="1"/>
    <xf numFmtId="0" fontId="2" fillId="0" borderId="10" xfId="0" applyFont="1" applyBorder="1"/>
    <xf numFmtId="10" fontId="2" fillId="0" borderId="11" xfId="0" applyNumberFormat="1" applyFont="1" applyBorder="1"/>
    <xf numFmtId="10" fontId="2" fillId="2" borderId="0" xfId="0" applyNumberFormat="1" applyFont="1" applyFill="1"/>
    <xf numFmtId="0" fontId="6" fillId="0" borderId="5" xfId="0" applyFont="1" applyBorder="1" applyAlignment="1">
      <alignment horizontal="right"/>
    </xf>
    <xf numFmtId="166" fontId="2" fillId="0" borderId="0" xfId="0" applyNumberFormat="1" applyFont="1" applyAlignment="1">
      <alignment horizontal="center"/>
    </xf>
    <xf numFmtId="0" fontId="2" fillId="0" borderId="5" xfId="0" applyFont="1" applyBorder="1" applyAlignment="1">
      <alignment vertical="top" wrapText="1"/>
    </xf>
    <xf numFmtId="0" fontId="9" fillId="2" borderId="5" xfId="0" applyFont="1" applyFill="1" applyBorder="1"/>
    <xf numFmtId="0" fontId="2" fillId="5" borderId="5" xfId="0" applyFont="1" applyFill="1" applyBorder="1"/>
    <xf numFmtId="166" fontId="2" fillId="5" borderId="6" xfId="0" applyNumberFormat="1" applyFont="1" applyFill="1" applyBorder="1"/>
    <xf numFmtId="0" fontId="1" fillId="5" borderId="0" xfId="0" applyFont="1" applyFill="1"/>
    <xf numFmtId="9" fontId="2" fillId="4" borderId="5" xfId="0" applyNumberFormat="1" applyFont="1" applyFill="1" applyBorder="1"/>
    <xf numFmtId="0" fontId="2" fillId="7" borderId="4" xfId="0" applyFont="1" applyFill="1" applyBorder="1"/>
    <xf numFmtId="0" fontId="2" fillId="7" borderId="5" xfId="0" applyFont="1" applyFill="1" applyBorder="1" applyAlignment="1">
      <alignment horizontal="center" vertical="center"/>
    </xf>
    <xf numFmtId="0" fontId="2" fillId="7" borderId="5" xfId="0" applyFont="1" applyFill="1" applyBorder="1"/>
    <xf numFmtId="0" fontId="2" fillId="7" borderId="6" xfId="0" applyFont="1" applyFill="1" applyBorder="1"/>
    <xf numFmtId="164" fontId="6" fillId="7" borderId="5" xfId="0" applyNumberFormat="1" applyFont="1" applyFill="1" applyBorder="1" applyAlignment="1">
      <alignment horizontal="right"/>
    </xf>
    <xf numFmtId="165" fontId="2" fillId="7" borderId="5" xfId="0" applyNumberFormat="1" applyFont="1" applyFill="1" applyBorder="1"/>
    <xf numFmtId="166" fontId="2" fillId="7" borderId="6" xfId="0" applyNumberFormat="1" applyFont="1" applyFill="1" applyBorder="1" applyAlignment="1">
      <alignment horizontal="center"/>
    </xf>
    <xf numFmtId="0" fontId="6" fillId="7" borderId="5" xfId="0" applyFont="1" applyFill="1" applyBorder="1"/>
    <xf numFmtId="0" fontId="1" fillId="7" borderId="5" xfId="0" applyFont="1" applyFill="1" applyBorder="1"/>
    <xf numFmtId="0" fontId="8" fillId="7" borderId="4" xfId="0" applyFont="1" applyFill="1" applyBorder="1"/>
    <xf numFmtId="0" fontId="8" fillId="7" borderId="5" xfId="0" applyFont="1" applyFill="1" applyBorder="1"/>
    <xf numFmtId="166" fontId="8" fillId="7" borderId="5" xfId="0" applyNumberFormat="1" applyFont="1" applyFill="1" applyBorder="1"/>
    <xf numFmtId="166" fontId="8" fillId="7" borderId="6" xfId="0" applyNumberFormat="1" applyFont="1" applyFill="1" applyBorder="1"/>
    <xf numFmtId="166" fontId="2" fillId="7" borderId="5" xfId="0" applyNumberFormat="1" applyFont="1" applyFill="1" applyBorder="1"/>
    <xf numFmtId="166" fontId="2" fillId="7" borderId="6" xfId="0" applyNumberFormat="1" applyFont="1" applyFill="1" applyBorder="1"/>
    <xf numFmtId="10" fontId="2" fillId="7" borderId="5" xfId="0" applyNumberFormat="1" applyFont="1" applyFill="1" applyBorder="1"/>
    <xf numFmtId="9" fontId="2" fillId="7" borderId="5" xfId="0" applyNumberFormat="1" applyFont="1" applyFill="1" applyBorder="1"/>
    <xf numFmtId="0" fontId="2" fillId="7" borderId="9" xfId="0" applyFont="1" applyFill="1" applyBorder="1"/>
    <xf numFmtId="0" fontId="2" fillId="7" borderId="10" xfId="0" applyFont="1" applyFill="1" applyBorder="1"/>
    <xf numFmtId="10" fontId="2" fillId="7" borderId="11" xfId="0" applyNumberFormat="1" applyFont="1" applyFill="1" applyBorder="1"/>
    <xf numFmtId="0" fontId="11" fillId="0" borderId="4" xfId="0" applyFont="1" applyBorder="1"/>
    <xf numFmtId="0" fontId="2" fillId="0" borderId="5" xfId="0" applyFont="1" applyBorder="1" applyAlignment="1">
      <alignment horizontal="center"/>
    </xf>
    <xf numFmtId="0" fontId="11" fillId="0" borderId="5" xfId="0" applyFont="1" applyBorder="1"/>
    <xf numFmtId="165" fontId="2" fillId="0" borderId="5" xfId="0" applyNumberFormat="1" applyFont="1" applyBorder="1" applyAlignment="1">
      <alignment horizontal="right"/>
    </xf>
    <xf numFmtId="164" fontId="11" fillId="0" borderId="5" xfId="0" applyNumberFormat="1" applyFont="1" applyBorder="1"/>
    <xf numFmtId="165" fontId="11" fillId="0" borderId="5" xfId="0" applyNumberFormat="1" applyFont="1" applyBorder="1"/>
    <xf numFmtId="166" fontId="11" fillId="0" borderId="6" xfId="0" applyNumberFormat="1" applyFont="1" applyBorder="1"/>
    <xf numFmtId="0" fontId="11" fillId="2" borderId="4" xfId="0" applyFont="1" applyFill="1" applyBorder="1"/>
    <xf numFmtId="0" fontId="12" fillId="3" borderId="4" xfId="0" applyFont="1" applyFill="1" applyBorder="1"/>
    <xf numFmtId="0" fontId="11" fillId="3" borderId="5" xfId="0" applyFont="1" applyFill="1" applyBorder="1"/>
    <xf numFmtId="166" fontId="11" fillId="3" borderId="5" xfId="0" applyNumberFormat="1" applyFont="1" applyFill="1" applyBorder="1"/>
    <xf numFmtId="166" fontId="12" fillId="3" borderId="6" xfId="0" applyNumberFormat="1" applyFont="1" applyFill="1" applyBorder="1" applyAlignment="1">
      <alignment horizontal="right"/>
    </xf>
    <xf numFmtId="0" fontId="2" fillId="2" borderId="4" xfId="0" applyFont="1" applyFill="1" applyBorder="1"/>
    <xf numFmtId="0" fontId="11" fillId="2" borderId="5" xfId="0" applyFont="1" applyFill="1" applyBorder="1"/>
    <xf numFmtId="166" fontId="11" fillId="2" borderId="5" xfId="0" applyNumberFormat="1" applyFont="1" applyFill="1" applyBorder="1"/>
    <xf numFmtId="166" fontId="2" fillId="2" borderId="6" xfId="0" applyNumberFormat="1" applyFont="1" applyFill="1" applyBorder="1" applyAlignment="1">
      <alignment horizontal="right"/>
    </xf>
    <xf numFmtId="10" fontId="2" fillId="2" borderId="5" xfId="0" applyNumberFormat="1" applyFont="1" applyFill="1" applyBorder="1" applyAlignment="1">
      <alignment horizontal="right"/>
    </xf>
    <xf numFmtId="166" fontId="11" fillId="2" borderId="6" xfId="0" applyNumberFormat="1" applyFont="1" applyFill="1" applyBorder="1"/>
    <xf numFmtId="10" fontId="11" fillId="2" borderId="5" xfId="0" applyNumberFormat="1" applyFont="1" applyFill="1" applyBorder="1"/>
    <xf numFmtId="0" fontId="11" fillId="0" borderId="10" xfId="0" applyFont="1" applyBorder="1"/>
    <xf numFmtId="10" fontId="3" fillId="8" borderId="11" xfId="0" applyNumberFormat="1" applyFont="1" applyFill="1" applyBorder="1" applyAlignment="1">
      <alignment horizontal="right"/>
    </xf>
    <xf numFmtId="167" fontId="1" fillId="0" borderId="0" xfId="0" applyNumberFormat="1" applyFont="1"/>
    <xf numFmtId="0" fontId="2" fillId="0" borderId="0" xfId="0" applyFont="1" applyAlignment="1">
      <alignment horizontal="center" vertical="center"/>
    </xf>
    <xf numFmtId="165" fontId="2" fillId="0" borderId="0" xfId="0" applyNumberFormat="1" applyFont="1"/>
    <xf numFmtId="0" fontId="8" fillId="0" borderId="0" xfId="0" applyFont="1"/>
    <xf numFmtId="166" fontId="8" fillId="0" borderId="0" xfId="0" applyNumberFormat="1" applyFont="1"/>
    <xf numFmtId="166" fontId="2" fillId="0" borderId="0" xfId="0" applyNumberFormat="1" applyFont="1"/>
    <xf numFmtId="10" fontId="2" fillId="0" borderId="0" xfId="0" applyNumberFormat="1" applyFont="1"/>
    <xf numFmtId="166" fontId="12" fillId="3" borderId="6" xfId="0" applyNumberFormat="1" applyFont="1" applyFill="1" applyBorder="1"/>
    <xf numFmtId="0" fontId="13" fillId="2" borderId="5" xfId="0" applyFont="1" applyFill="1" applyBorder="1"/>
    <xf numFmtId="165" fontId="2" fillId="0" borderId="5" xfId="0" applyNumberFormat="1" applyFont="1" applyBorder="1" applyAlignment="1">
      <alignment horizontal="center"/>
    </xf>
    <xf numFmtId="166" fontId="12" fillId="3" borderId="6" xfId="0" applyNumberFormat="1" applyFont="1" applyFill="1" applyBorder="1" applyAlignment="1">
      <alignment horizontal="center"/>
    </xf>
    <xf numFmtId="166" fontId="2" fillId="2" borderId="6" xfId="0" applyNumberFormat="1" applyFont="1" applyFill="1" applyBorder="1" applyAlignment="1">
      <alignment horizontal="center"/>
    </xf>
    <xf numFmtId="166" fontId="11" fillId="0" borderId="10" xfId="0" applyNumberFormat="1" applyFont="1" applyBorder="1"/>
    <xf numFmtId="10" fontId="2" fillId="0" borderId="11" xfId="0" applyNumberFormat="1" applyFont="1" applyBorder="1" applyAlignment="1">
      <alignment horizontal="center"/>
    </xf>
    <xf numFmtId="166" fontId="2" fillId="0" borderId="6" xfId="0" applyNumberFormat="1" applyFont="1" applyBorder="1"/>
    <xf numFmtId="0" fontId="9" fillId="0" borderId="0" xfId="0" applyFont="1"/>
    <xf numFmtId="0" fontId="9" fillId="0" borderId="5" xfId="0" applyFont="1" applyBorder="1"/>
    <xf numFmtId="164" fontId="6" fillId="0" borderId="5" xfId="0" applyNumberFormat="1" applyFont="1" applyBorder="1"/>
    <xf numFmtId="164" fontId="11" fillId="0" borderId="0" xfId="0" applyNumberFormat="1" applyFont="1"/>
    <xf numFmtId="0" fontId="14" fillId="0" borderId="5" xfId="0" applyFont="1" applyBorder="1"/>
    <xf numFmtId="0" fontId="6" fillId="0" borderId="0" xfId="0" applyFont="1"/>
    <xf numFmtId="164" fontId="6" fillId="0" borderId="0" xfId="0" applyNumberFormat="1" applyFont="1" applyAlignment="1">
      <alignment horizontal="right"/>
    </xf>
    <xf numFmtId="0" fontId="2" fillId="2" borderId="12" xfId="0" applyFont="1" applyFill="1" applyBorder="1" applyAlignment="1">
      <alignment horizontal="left"/>
    </xf>
    <xf numFmtId="0" fontId="2" fillId="2" borderId="5" xfId="0" applyFont="1" applyFill="1" applyBorder="1" applyAlignment="1">
      <alignment horizontal="left"/>
    </xf>
    <xf numFmtId="0" fontId="2" fillId="0" borderId="7" xfId="0" applyFont="1" applyBorder="1"/>
    <xf numFmtId="10" fontId="11" fillId="0" borderId="10" xfId="0" applyNumberFormat="1" applyFont="1" applyBorder="1"/>
    <xf numFmtId="166" fontId="2" fillId="0" borderId="5" xfId="0" applyNumberFormat="1" applyFont="1" applyBorder="1" applyAlignment="1">
      <alignment horizontal="center"/>
    </xf>
    <xf numFmtId="166" fontId="14" fillId="0" borderId="5" xfId="0" applyNumberFormat="1" applyFont="1" applyBorder="1" applyAlignment="1">
      <alignment horizontal="center" vertical="center"/>
    </xf>
    <xf numFmtId="166" fontId="15" fillId="2" borderId="5" xfId="0" applyNumberFormat="1" applyFont="1" applyFill="1" applyBorder="1" applyAlignment="1">
      <alignment horizontal="center"/>
    </xf>
    <xf numFmtId="0" fontId="2" fillId="0" borderId="16" xfId="0" applyFont="1" applyBorder="1"/>
    <xf numFmtId="0" fontId="2" fillId="0" borderId="12" xfId="0" applyFont="1" applyBorder="1"/>
    <xf numFmtId="0" fontId="6" fillId="0" borderId="0" xfId="0" applyFont="1" applyAlignment="1">
      <alignment horizontal="right"/>
    </xf>
    <xf numFmtId="166" fontId="14" fillId="0" borderId="5" xfId="0" applyNumberFormat="1" applyFont="1" applyBorder="1"/>
    <xf numFmtId="166" fontId="15" fillId="2" borderId="5" xfId="0" applyNumberFormat="1" applyFont="1" applyFill="1" applyBorder="1"/>
    <xf numFmtId="0" fontId="11" fillId="0" borderId="0" xfId="0" applyFont="1"/>
    <xf numFmtId="165" fontId="11" fillId="0" borderId="0" xfId="0" applyNumberFormat="1" applyFont="1"/>
    <xf numFmtId="0" fontId="2" fillId="0" borderId="5" xfId="0" applyFont="1" applyBorder="1" applyAlignment="1">
      <alignment horizontal="left"/>
    </xf>
    <xf numFmtId="3" fontId="11" fillId="0" borderId="5" xfId="0" applyNumberFormat="1" applyFont="1" applyBorder="1"/>
    <xf numFmtId="3" fontId="2" fillId="0" borderId="5" xfId="0" applyNumberFormat="1" applyFont="1" applyBorder="1"/>
    <xf numFmtId="166" fontId="11" fillId="0" borderId="0" xfId="0" applyNumberFormat="1" applyFont="1" applyAlignment="1">
      <alignment horizontal="right"/>
    </xf>
    <xf numFmtId="166" fontId="11" fillId="5" borderId="0" xfId="0" applyNumberFormat="1" applyFont="1" applyFill="1" applyAlignment="1">
      <alignment horizontal="right"/>
    </xf>
    <xf numFmtId="164" fontId="11" fillId="0" borderId="5" xfId="0" applyNumberFormat="1" applyFont="1" applyBorder="1" applyAlignment="1">
      <alignment horizontal="right"/>
    </xf>
    <xf numFmtId="166" fontId="16" fillId="2" borderId="6" xfId="0" applyNumberFormat="1" applyFont="1" applyFill="1" applyBorder="1" applyAlignment="1">
      <alignment horizontal="center"/>
    </xf>
    <xf numFmtId="0" fontId="17" fillId="0" borderId="5" xfId="0" applyFont="1" applyBorder="1" applyAlignment="1">
      <alignment horizontal="center" wrapText="1"/>
    </xf>
    <xf numFmtId="166" fontId="11" fillId="2" borderId="5" xfId="0" applyNumberFormat="1" applyFont="1" applyFill="1" applyBorder="1" applyAlignment="1">
      <alignment horizontal="right"/>
    </xf>
    <xf numFmtId="0" fontId="16" fillId="0" borderId="5" xfId="0" applyFont="1" applyBorder="1"/>
    <xf numFmtId="0" fontId="11" fillId="0" borderId="5" xfId="0" applyFont="1" applyBorder="1" applyAlignment="1">
      <alignment horizontal="right"/>
    </xf>
    <xf numFmtId="166" fontId="11" fillId="0" borderId="5" xfId="0" applyNumberFormat="1" applyFont="1" applyBorder="1"/>
    <xf numFmtId="0" fontId="11" fillId="2" borderId="0" xfId="0" applyFont="1" applyFill="1"/>
    <xf numFmtId="0" fontId="2" fillId="2" borderId="5" xfId="0" applyFont="1" applyFill="1" applyBorder="1" applyAlignment="1">
      <alignment horizontal="right"/>
    </xf>
    <xf numFmtId="10" fontId="18" fillId="5" borderId="11" xfId="0" applyNumberFormat="1" applyFont="1" applyFill="1" applyBorder="1" applyAlignment="1">
      <alignment horizontal="right"/>
    </xf>
    <xf numFmtId="168" fontId="2" fillId="0" borderId="5" xfId="0" applyNumberFormat="1" applyFont="1" applyBorder="1"/>
    <xf numFmtId="1" fontId="11" fillId="2" borderId="5" xfId="0" applyNumberFormat="1" applyFont="1" applyFill="1" applyBorder="1"/>
    <xf numFmtId="164" fontId="2" fillId="0" borderId="5" xfId="0" applyNumberFormat="1" applyFont="1" applyBorder="1" applyAlignment="1">
      <alignment horizontal="center"/>
    </xf>
    <xf numFmtId="1" fontId="11" fillId="2" borderId="5" xfId="0" applyNumberFormat="1" applyFont="1" applyFill="1" applyBorder="1" applyAlignment="1">
      <alignment horizontal="right"/>
    </xf>
    <xf numFmtId="10" fontId="19" fillId="9" borderId="11" xfId="0" applyNumberFormat="1" applyFont="1" applyFill="1" applyBorder="1" applyAlignment="1">
      <alignment horizontal="center"/>
    </xf>
    <xf numFmtId="0" fontId="20" fillId="0" borderId="0" xfId="0" applyFont="1" applyAlignment="1">
      <alignment horizontal="center" vertical="center"/>
    </xf>
    <xf numFmtId="167" fontId="1" fillId="0" borderId="0" xfId="0" applyNumberFormat="1" applyFont="1" applyAlignment="1">
      <alignment vertical="center"/>
    </xf>
    <xf numFmtId="169" fontId="1" fillId="0" borderId="0" xfId="0" applyNumberFormat="1" applyFont="1" applyAlignment="1">
      <alignment vertical="center"/>
    </xf>
    <xf numFmtId="9" fontId="1" fillId="0" borderId="0" xfId="0" applyNumberFormat="1" applyFont="1" applyAlignment="1">
      <alignment vertical="center"/>
    </xf>
    <xf numFmtId="0" fontId="22" fillId="0" borderId="19" xfId="0" applyFont="1" applyBorder="1" applyAlignment="1">
      <alignment horizontal="center" vertical="center"/>
    </xf>
    <xf numFmtId="0" fontId="1" fillId="11" borderId="20" xfId="0" applyFont="1" applyFill="1" applyBorder="1"/>
    <xf numFmtId="0" fontId="1" fillId="0" borderId="0" xfId="0" applyFont="1" applyAlignment="1">
      <alignment vertical="center"/>
    </xf>
    <xf numFmtId="169" fontId="22" fillId="0" borderId="0" xfId="0" applyNumberFormat="1" applyFont="1" applyAlignment="1">
      <alignment vertical="center"/>
    </xf>
    <xf numFmtId="9" fontId="22" fillId="0" borderId="0" xfId="0" applyNumberFormat="1" applyFont="1" applyAlignment="1">
      <alignment vertical="center"/>
    </xf>
    <xf numFmtId="0" fontId="1" fillId="12" borderId="20" xfId="0" applyFont="1" applyFill="1" applyBorder="1"/>
    <xf numFmtId="0" fontId="1" fillId="8" borderId="20" xfId="0" applyFont="1" applyFill="1" applyBorder="1"/>
    <xf numFmtId="0" fontId="22" fillId="0" borderId="21" xfId="0" applyFont="1" applyBorder="1" applyAlignment="1">
      <alignment horizontal="center" vertical="center"/>
    </xf>
    <xf numFmtId="0" fontId="1" fillId="13" borderId="22" xfId="0" applyFont="1" applyFill="1" applyBorder="1"/>
    <xf numFmtId="170" fontId="2" fillId="0" borderId="0" xfId="0" applyNumberFormat="1" applyFont="1"/>
    <xf numFmtId="0" fontId="5" fillId="3" borderId="5" xfId="0" applyFont="1" applyFill="1" applyBorder="1" applyAlignment="1">
      <alignment horizontal="center" vertical="center"/>
    </xf>
    <xf numFmtId="0" fontId="5" fillId="3" borderId="5" xfId="0" applyFont="1" applyFill="1" applyBorder="1" applyAlignment="1">
      <alignment horizontal="center" vertical="center" wrapText="1"/>
    </xf>
    <xf numFmtId="170" fontId="5" fillId="3" borderId="5" xfId="0" applyNumberFormat="1" applyFont="1" applyFill="1" applyBorder="1" applyAlignment="1">
      <alignment horizontal="center" vertical="center" wrapText="1"/>
    </xf>
    <xf numFmtId="166" fontId="2" fillId="4" borderId="5" xfId="0" applyNumberFormat="1" applyFont="1" applyFill="1" applyBorder="1" applyAlignment="1">
      <alignment horizontal="center" vertical="center"/>
    </xf>
    <xf numFmtId="166" fontId="3" fillId="3" borderId="5" xfId="0" applyNumberFormat="1" applyFont="1" applyFill="1" applyBorder="1"/>
    <xf numFmtId="9" fontId="2" fillId="0" borderId="5" xfId="0" applyNumberFormat="1" applyFont="1" applyBorder="1" applyAlignment="1">
      <alignment horizontal="center"/>
    </xf>
    <xf numFmtId="0" fontId="18" fillId="15" borderId="26" xfId="0" applyFont="1" applyFill="1" applyBorder="1"/>
    <xf numFmtId="0" fontId="18" fillId="15" borderId="27" xfId="0" applyFont="1" applyFill="1" applyBorder="1"/>
    <xf numFmtId="0" fontId="18" fillId="15" borderId="28" xfId="0" applyFont="1" applyFill="1" applyBorder="1"/>
    <xf numFmtId="0" fontId="5" fillId="11" borderId="29" xfId="0" applyFont="1" applyFill="1" applyBorder="1"/>
    <xf numFmtId="0" fontId="3" fillId="11" borderId="30" xfId="0" applyFont="1" applyFill="1" applyBorder="1"/>
    <xf numFmtId="9" fontId="2" fillId="0" borderId="31" xfId="0" applyNumberFormat="1" applyFont="1" applyBorder="1"/>
    <xf numFmtId="0" fontId="2" fillId="15" borderId="8" xfId="0" applyFont="1" applyFill="1" applyBorder="1"/>
    <xf numFmtId="0" fontId="2" fillId="14" borderId="5" xfId="0" applyFont="1" applyFill="1" applyBorder="1"/>
    <xf numFmtId="2" fontId="18" fillId="0" borderId="6" xfId="0" applyNumberFormat="1" applyFont="1" applyBorder="1"/>
    <xf numFmtId="170" fontId="3" fillId="11" borderId="11" xfId="0" applyNumberFormat="1" applyFont="1" applyFill="1" applyBorder="1"/>
    <xf numFmtId="0" fontId="2" fillId="5" borderId="8" xfId="0" applyFont="1" applyFill="1" applyBorder="1"/>
    <xf numFmtId="0" fontId="5" fillId="3" borderId="26" xfId="0" applyFont="1" applyFill="1" applyBorder="1"/>
    <xf numFmtId="0" fontId="5" fillId="3" borderId="27" xfId="0" applyFont="1" applyFill="1" applyBorder="1"/>
    <xf numFmtId="170" fontId="5" fillId="3" borderId="28" xfId="0" applyNumberFormat="1" applyFont="1" applyFill="1" applyBorder="1"/>
    <xf numFmtId="166" fontId="5" fillId="3" borderId="5" xfId="0" applyNumberFormat="1" applyFont="1" applyFill="1" applyBorder="1"/>
    <xf numFmtId="166" fontId="3" fillId="3" borderId="38" xfId="0" applyNumberFormat="1" applyFont="1" applyFill="1" applyBorder="1"/>
    <xf numFmtId="0" fontId="2" fillId="4" borderId="38" xfId="0" applyFont="1" applyFill="1" applyBorder="1"/>
    <xf numFmtId="170" fontId="3" fillId="3" borderId="5" xfId="0" applyNumberFormat="1" applyFont="1" applyFill="1" applyBorder="1"/>
    <xf numFmtId="166" fontId="3" fillId="3" borderId="39" xfId="0" applyNumberFormat="1" applyFont="1" applyFill="1" applyBorder="1"/>
    <xf numFmtId="0" fontId="2" fillId="4" borderId="39" xfId="0" applyFont="1" applyFill="1" applyBorder="1"/>
    <xf numFmtId="166" fontId="3" fillId="3" borderId="40" xfId="0" applyNumberFormat="1" applyFont="1" applyFill="1" applyBorder="1"/>
    <xf numFmtId="0" fontId="2" fillId="4" borderId="40" xfId="0" applyFont="1" applyFill="1" applyBorder="1"/>
    <xf numFmtId="166" fontId="5" fillId="3" borderId="40" xfId="0" applyNumberFormat="1" applyFont="1" applyFill="1" applyBorder="1"/>
    <xf numFmtId="166" fontId="3" fillId="3" borderId="7" xfId="0" applyNumberFormat="1" applyFont="1" applyFill="1" applyBorder="1"/>
    <xf numFmtId="0" fontId="2" fillId="4" borderId="7" xfId="0" applyFont="1" applyFill="1" applyBorder="1"/>
    <xf numFmtId="171" fontId="3" fillId="3" borderId="5" xfId="0" applyNumberFormat="1" applyFont="1" applyFill="1" applyBorder="1"/>
    <xf numFmtId="0" fontId="18" fillId="0" borderId="0" xfId="0" applyFont="1"/>
    <xf numFmtId="170" fontId="5" fillId="3" borderId="5" xfId="0" applyNumberFormat="1" applyFont="1" applyFill="1" applyBorder="1"/>
    <xf numFmtId="0" fontId="3" fillId="3" borderId="5" xfId="0" applyFont="1" applyFill="1" applyBorder="1"/>
    <xf numFmtId="0" fontId="18" fillId="0" borderId="5" xfId="0" applyFont="1" applyBorder="1"/>
    <xf numFmtId="0" fontId="9" fillId="2" borderId="0" xfId="0" applyFont="1" applyFill="1"/>
    <xf numFmtId="0" fontId="24" fillId="0" borderId="5" xfId="0" applyFont="1" applyBorder="1"/>
    <xf numFmtId="0" fontId="25" fillId="0" borderId="0" xfId="0" applyFont="1" applyAlignment="1">
      <alignment horizontal="center"/>
    </xf>
    <xf numFmtId="0" fontId="12" fillId="0" borderId="0" xfId="0" applyFont="1"/>
    <xf numFmtId="0" fontId="25" fillId="3" borderId="0" xfId="0" applyFont="1" applyFill="1" applyAlignment="1">
      <alignment horizontal="center"/>
    </xf>
    <xf numFmtId="17" fontId="10" fillId="0" borderId="0" xfId="0" applyNumberFormat="1" applyFont="1" applyAlignment="1">
      <alignment horizontal="right" wrapText="1"/>
    </xf>
    <xf numFmtId="172" fontId="3" fillId="3" borderId="41" xfId="0" applyNumberFormat="1" applyFont="1" applyFill="1" applyBorder="1" applyAlignment="1">
      <alignment horizontal="center" wrapText="1"/>
    </xf>
    <xf numFmtId="17" fontId="3" fillId="3" borderId="42" xfId="0" applyNumberFormat="1" applyFont="1" applyFill="1" applyBorder="1"/>
    <xf numFmtId="0" fontId="3" fillId="3" borderId="43" xfId="0" applyFont="1" applyFill="1" applyBorder="1" applyAlignment="1">
      <alignment horizontal="center"/>
    </xf>
    <xf numFmtId="0" fontId="2" fillId="0" borderId="44" xfId="0" applyFont="1" applyBorder="1"/>
    <xf numFmtId="0" fontId="2" fillId="0" borderId="18" xfId="0" applyFont="1" applyBorder="1"/>
    <xf numFmtId="0" fontId="3" fillId="0" borderId="0" xfId="0" applyFont="1" applyAlignment="1">
      <alignment wrapText="1"/>
    </xf>
    <xf numFmtId="0" fontId="3" fillId="16" borderId="5" xfId="0" applyFont="1" applyFill="1" applyBorder="1" applyAlignment="1">
      <alignment horizontal="center" wrapText="1"/>
    </xf>
    <xf numFmtId="0" fontId="3" fillId="16" borderId="5" xfId="0" applyFont="1" applyFill="1" applyBorder="1" applyAlignment="1">
      <alignment horizontal="center"/>
    </xf>
    <xf numFmtId="0" fontId="3" fillId="0" borderId="0" xfId="0" applyFont="1" applyAlignment="1">
      <alignment horizontal="center"/>
    </xf>
    <xf numFmtId="0" fontId="2" fillId="0" borderId="0" xfId="0" applyFont="1" applyAlignment="1">
      <alignment wrapText="1"/>
    </xf>
    <xf numFmtId="0" fontId="2" fillId="0" borderId="5" xfId="0" applyFont="1" applyBorder="1" applyAlignment="1">
      <alignment wrapText="1"/>
    </xf>
    <xf numFmtId="0" fontId="18" fillId="0" borderId="5" xfId="0" applyFont="1" applyBorder="1" applyAlignment="1">
      <alignment horizontal="right"/>
    </xf>
    <xf numFmtId="0" fontId="2" fillId="0" borderId="0" xfId="0" applyFont="1" applyAlignment="1">
      <alignment horizontal="right"/>
    </xf>
    <xf numFmtId="12" fontId="2" fillId="0" borderId="5" xfId="0" applyNumberFormat="1" applyFont="1" applyBorder="1"/>
    <xf numFmtId="17" fontId="10" fillId="3" borderId="42" xfId="0" applyNumberFormat="1" applyFont="1" applyFill="1" applyBorder="1"/>
    <xf numFmtId="0" fontId="3" fillId="3" borderId="1" xfId="0" applyFont="1" applyFill="1" applyBorder="1" applyAlignment="1">
      <alignment horizontal="center" vertical="center"/>
    </xf>
    <xf numFmtId="0" fontId="4" fillId="0" borderId="2" xfId="0" applyFont="1" applyBorder="1"/>
    <xf numFmtId="0" fontId="4" fillId="0" borderId="3" xfId="0" applyFont="1" applyBorder="1"/>
    <xf numFmtId="0" fontId="5" fillId="3" borderId="1" xfId="0" applyFont="1" applyFill="1" applyBorder="1" applyAlignment="1">
      <alignment horizontal="center" vertical="center"/>
    </xf>
    <xf numFmtId="0" fontId="10"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3" borderId="1" xfId="0" applyFont="1" applyFill="1" applyBorder="1" applyAlignment="1">
      <alignment horizontal="center"/>
    </xf>
    <xf numFmtId="0" fontId="5" fillId="0" borderId="0" xfId="0" applyFont="1" applyAlignment="1">
      <alignment horizontal="center" vertical="center"/>
    </xf>
    <xf numFmtId="0" fontId="0" fillId="0" borderId="0" xfId="0"/>
    <xf numFmtId="0" fontId="3" fillId="0" borderId="0" xfId="0" applyFont="1" applyAlignment="1">
      <alignment horizontal="center" vertical="center"/>
    </xf>
    <xf numFmtId="0" fontId="3" fillId="3" borderId="13" xfId="0" applyFont="1" applyFill="1" applyBorder="1" applyAlignment="1">
      <alignment horizontal="center" vertical="center"/>
    </xf>
    <xf numFmtId="0" fontId="4" fillId="0" borderId="14" xfId="0" applyFont="1" applyBorder="1"/>
    <xf numFmtId="0" fontId="4" fillId="0" borderId="15" xfId="0" applyFont="1" applyBorder="1"/>
    <xf numFmtId="0" fontId="3" fillId="3" borderId="13" xfId="0" applyFont="1" applyFill="1" applyBorder="1" applyAlignment="1">
      <alignment horizontal="center"/>
    </xf>
    <xf numFmtId="0" fontId="21" fillId="10" borderId="17" xfId="0" applyFont="1" applyFill="1" applyBorder="1" applyAlignment="1">
      <alignment horizontal="center" vertical="center"/>
    </xf>
    <xf numFmtId="0" fontId="4" fillId="0" borderId="18" xfId="0" applyFont="1" applyBorder="1"/>
    <xf numFmtId="0" fontId="18" fillId="14" borderId="23" xfId="0" applyFont="1" applyFill="1" applyBorder="1" applyAlignment="1">
      <alignment horizontal="center" vertical="center"/>
    </xf>
    <xf numFmtId="0" fontId="4" fillId="0" borderId="24" xfId="0" applyFont="1" applyBorder="1"/>
    <xf numFmtId="0" fontId="4" fillId="0" borderId="25" xfId="0" applyFont="1" applyBorder="1"/>
    <xf numFmtId="0" fontId="23" fillId="0" borderId="32" xfId="0" applyFont="1" applyBorder="1" applyAlignment="1">
      <alignment horizontal="center" vertical="center"/>
    </xf>
    <xf numFmtId="0" fontId="4" fillId="0" borderId="33" xfId="0" applyFont="1" applyBorder="1"/>
    <xf numFmtId="0" fontId="4" fillId="0" borderId="34" xfId="0" applyFont="1" applyBorder="1"/>
    <xf numFmtId="0" fontId="4" fillId="0" borderId="35" xfId="0" applyFont="1" applyBorder="1"/>
    <xf numFmtId="0" fontId="4" fillId="0" borderId="36" xfId="0" applyFont="1" applyBorder="1"/>
    <xf numFmtId="0" fontId="4" fillId="0" borderId="37" xfId="0" applyFont="1" applyBorder="1"/>
  </cellXfs>
  <cellStyles count="1">
    <cellStyle name="Normal" xfId="0" builtinId="0"/>
  </cellStyles>
  <dxfs count="25">
    <dxf>
      <font>
        <b/>
        <color rgb="FFFFFFFF"/>
      </font>
      <fill>
        <patternFill patternType="solid">
          <fgColor rgb="FF274E13"/>
          <bgColor rgb="FF274E13"/>
        </patternFill>
      </fill>
    </dxf>
    <dxf>
      <font>
        <b/>
        <color rgb="FFF6F8F9"/>
      </font>
      <fill>
        <patternFill patternType="solid">
          <fgColor rgb="FFEC1818"/>
          <bgColor rgb="FFEC1818"/>
        </patternFill>
      </fill>
    </dxf>
    <dxf>
      <font>
        <b/>
        <color rgb="FF000000"/>
      </font>
      <fill>
        <patternFill patternType="solid">
          <fgColor rgb="FFFFD966"/>
          <bgColor rgb="FFFFD966"/>
        </patternFill>
      </fill>
    </dxf>
    <dxf>
      <font>
        <b/>
        <color rgb="FFF6F8F9"/>
      </font>
      <fill>
        <patternFill patternType="solid">
          <fgColor rgb="FF09BE68"/>
          <bgColor rgb="FF09BE68"/>
        </patternFill>
      </fill>
    </dxf>
    <dxf>
      <font>
        <b/>
        <color rgb="FFF6F8F9"/>
      </font>
      <fill>
        <patternFill patternType="solid">
          <fgColor rgb="FFEC1818"/>
          <bgColor rgb="FFEC1818"/>
        </patternFill>
      </fill>
    </dxf>
    <dxf>
      <font>
        <b/>
      </font>
      <fill>
        <patternFill patternType="solid">
          <fgColor rgb="FFFFFF00"/>
          <bgColor rgb="FFFFFF00"/>
        </patternFill>
      </fill>
    </dxf>
    <dxf>
      <font>
        <b/>
        <color rgb="FFFFFFFF"/>
      </font>
      <fill>
        <patternFill patternType="solid">
          <fgColor rgb="FF09BE68"/>
          <bgColor rgb="FF09BE68"/>
        </patternFill>
      </fill>
    </dxf>
    <dxf>
      <font>
        <b/>
        <color rgb="FFF6F8F9"/>
      </font>
      <fill>
        <patternFill patternType="solid">
          <fgColor rgb="FFEC1818"/>
          <bgColor rgb="FFEC1818"/>
        </patternFill>
      </fill>
    </dxf>
    <dxf>
      <font>
        <b/>
      </font>
      <fill>
        <patternFill patternType="solid">
          <fgColor rgb="FFFFFF00"/>
          <bgColor rgb="FFFFFF00"/>
        </patternFill>
      </fill>
    </dxf>
    <dxf>
      <font>
        <b/>
        <color rgb="FFFFFFFF"/>
      </font>
      <fill>
        <patternFill patternType="solid">
          <fgColor rgb="FF09BE68"/>
          <bgColor rgb="FF09BE68"/>
        </patternFill>
      </fill>
    </dxf>
    <dxf>
      <font>
        <b/>
        <color rgb="FFF6F8F9"/>
      </font>
      <fill>
        <patternFill patternType="solid">
          <fgColor rgb="FFEC1818"/>
          <bgColor rgb="FFEC1818"/>
        </patternFill>
      </fill>
    </dxf>
    <dxf>
      <font>
        <b/>
      </font>
      <fill>
        <patternFill patternType="solid">
          <fgColor rgb="FFFFFF00"/>
          <bgColor rgb="FFFFFF00"/>
        </patternFill>
      </fill>
    </dxf>
    <dxf>
      <font>
        <b/>
        <color rgb="FFFFFFFF"/>
      </font>
      <fill>
        <patternFill patternType="solid">
          <fgColor rgb="FF09BE68"/>
          <bgColor rgb="FF09BE68"/>
        </patternFill>
      </fill>
    </dxf>
    <dxf>
      <font>
        <b/>
        <color rgb="FFF6F8F9"/>
      </font>
      <fill>
        <patternFill patternType="solid">
          <fgColor rgb="FFEC1818"/>
          <bgColor rgb="FFEC1818"/>
        </patternFill>
      </fill>
    </dxf>
    <dxf>
      <font>
        <b/>
      </font>
      <fill>
        <patternFill patternType="solid">
          <fgColor rgb="FFFFFF00"/>
          <bgColor rgb="FFFFFF00"/>
        </patternFill>
      </fill>
    </dxf>
    <dxf>
      <font>
        <b/>
        <color rgb="FFFFFFFF"/>
      </font>
      <fill>
        <patternFill patternType="solid">
          <fgColor rgb="FF09BE68"/>
          <bgColor rgb="FF09BE68"/>
        </patternFill>
      </fill>
    </dxf>
    <dxf>
      <font>
        <b/>
        <color rgb="FFF6F8F9"/>
      </font>
      <fill>
        <patternFill patternType="solid">
          <fgColor rgb="FFEC1818"/>
          <bgColor rgb="FFEC1818"/>
        </patternFill>
      </fill>
    </dxf>
    <dxf>
      <font>
        <b/>
      </font>
      <fill>
        <patternFill patternType="solid">
          <fgColor rgb="FFFFFF00"/>
          <bgColor rgb="FFFFFF00"/>
        </patternFill>
      </fill>
    </dxf>
    <dxf>
      <font>
        <b/>
        <color rgb="FFFFFFFF"/>
      </font>
      <fill>
        <patternFill patternType="solid">
          <fgColor rgb="FF09BE68"/>
          <bgColor rgb="FF09BE68"/>
        </patternFill>
      </fill>
    </dxf>
    <dxf>
      <border>
        <left style="thin">
          <color rgb="FF535FC1"/>
        </left>
        <right style="thin">
          <color rgb="FF535FC1"/>
        </right>
        <top style="thin">
          <color rgb="FF535FC1"/>
        </top>
        <bottom style="thin">
          <color rgb="FF535FC1"/>
        </bottom>
      </border>
    </dxf>
    <dxf>
      <fill>
        <patternFill patternType="solid">
          <fgColor rgb="FFCFE2F3"/>
          <bgColor rgb="FFCFE2F3"/>
        </patternFill>
      </fill>
    </dxf>
    <dxf>
      <fill>
        <patternFill patternType="solid">
          <fgColor rgb="FFFFFFFF"/>
          <bgColor rgb="FFFFFFFF"/>
        </patternFill>
      </fill>
    </dxf>
    <dxf>
      <fill>
        <patternFill patternType="solid">
          <fgColor rgb="FF535FC1"/>
          <bgColor rgb="FF535FC1"/>
        </patternFill>
      </fill>
    </dxf>
    <dxf>
      <fill>
        <patternFill patternType="solid">
          <fgColor rgb="FFCFE2F3"/>
          <bgColor rgb="FFCFE2F3"/>
        </patternFill>
      </fill>
    </dxf>
    <dxf>
      <fill>
        <patternFill patternType="solid">
          <fgColor rgb="FFFFFFFF"/>
          <bgColor rgb="FFFFFFFF"/>
        </patternFill>
      </fill>
    </dxf>
  </dxfs>
  <tableStyles count="2">
    <tableStyle name="PRECIOS RAPPI-style" pivot="0" count="2" xr9:uid="{00000000-0011-0000-FFFF-FFFF00000000}">
      <tableStyleElement type="firstRowStripe" dxfId="24"/>
      <tableStyleElement type="secondRowStripe" dxfId="23"/>
    </tableStyle>
    <tableStyle name="TUESTE AL PÚBLICO-style" pivot="0" count="4" xr9:uid="{00000000-0011-0000-FFFF-FFFF01000000}">
      <tableStyleElement type="wholeTable" size="0" dxfId="19"/>
      <tableStyleElement type="headerRow" dxfId="22"/>
      <tableStyleElement type="firstRowStripe" dxfId="21"/>
      <tableStyleElement type="secondRow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UBRECETAS%20CAFE%20TR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RECETAS CAFE TRES"/>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64:C164" headerRowCount="0">
  <tableColumns count="2">
    <tableColumn id="1" xr3:uid="{00000000-0010-0000-0000-000001000000}" name="Column1"/>
    <tableColumn id="2" xr3:uid="{00000000-0010-0000-0000-000002000000}" name="Column2"/>
  </tableColumns>
  <tableStyleInfo name="PRECIOS RAPPI-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_1" displayName="Tabla_1" ref="B2:F76">
  <tableColumns count="5">
    <tableColumn id="1" xr3:uid="{00000000-0010-0000-0100-000001000000}" name="PRODUCTO"/>
    <tableColumn id="2" xr3:uid="{00000000-0010-0000-0100-000002000000}" name="COMPRA TUESTE "/>
    <tableColumn id="3" xr3:uid="{00000000-0010-0000-0100-000003000000}" name="COSTO ENVÍO"/>
    <tableColumn id="4" xr3:uid="{00000000-0010-0000-0100-000004000000}" name="VENTA EN TUESTE"/>
    <tableColumn id="5" xr3:uid="{00000000-0010-0000-0100-000005000000}" name="% RENTABILIDAD"/>
  </tableColumns>
  <tableStyleInfo name="TUESTE AL PÚBLIC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984"/>
  <sheetViews>
    <sheetView showGridLines="0" topLeftCell="A37" workbookViewId="0">
      <selection activeCell="E50" sqref="E50"/>
    </sheetView>
  </sheetViews>
  <sheetFormatPr baseColWidth="10" defaultColWidth="12.6640625" defaultRowHeight="15" customHeight="1" x14ac:dyDescent="0.15"/>
  <cols>
    <col min="1" max="1" width="3.33203125" customWidth="1"/>
    <col min="2" max="2" width="34.83203125" customWidth="1"/>
    <col min="3" max="3" width="10.33203125" customWidth="1"/>
    <col min="4" max="4" width="13.1640625" customWidth="1"/>
    <col min="5" max="5" width="11.33203125" customWidth="1"/>
    <col min="7" max="7" width="33.83203125" customWidth="1"/>
    <col min="12" max="12" width="34.83203125" customWidth="1"/>
    <col min="17" max="17" width="33.1640625" customWidth="1"/>
    <col min="22" max="22" width="33.1640625" customWidth="1"/>
    <col min="27" max="27" width="29.1640625" customWidth="1"/>
    <col min="32" max="32" width="26.6640625" customWidth="1"/>
  </cols>
  <sheetData>
    <row r="1" spans="1:43" x14ac:dyDescent="0.2">
      <c r="A1" s="1" t="s">
        <v>0</v>
      </c>
      <c r="B1" s="2"/>
      <c r="C1" s="2"/>
      <c r="D1" s="2"/>
      <c r="E1" s="2"/>
      <c r="AE1" s="3"/>
      <c r="AF1" s="3"/>
      <c r="AG1" s="3"/>
      <c r="AH1" s="3"/>
      <c r="AI1" s="3"/>
      <c r="AJ1" s="3"/>
      <c r="AK1" s="3"/>
      <c r="AL1" s="3"/>
      <c r="AM1" s="3"/>
      <c r="AN1" s="3"/>
      <c r="AO1" s="3"/>
      <c r="AP1" s="3"/>
      <c r="AQ1" s="3"/>
    </row>
    <row r="2" spans="1:43" x14ac:dyDescent="0.15">
      <c r="B2" s="212" t="s">
        <v>1</v>
      </c>
      <c r="C2" s="213"/>
      <c r="D2" s="213"/>
      <c r="E2" s="214"/>
      <c r="G2" s="212" t="s">
        <v>2</v>
      </c>
      <c r="H2" s="213"/>
      <c r="I2" s="213"/>
      <c r="J2" s="214"/>
      <c r="L2" s="212" t="s">
        <v>3</v>
      </c>
      <c r="M2" s="213"/>
      <c r="N2" s="213"/>
      <c r="O2" s="214"/>
      <c r="Q2" s="215" t="s">
        <v>4</v>
      </c>
      <c r="R2" s="213"/>
      <c r="S2" s="213"/>
      <c r="T2" s="214"/>
      <c r="V2" s="212" t="s">
        <v>5</v>
      </c>
      <c r="W2" s="213"/>
      <c r="X2" s="213"/>
      <c r="Y2" s="214"/>
      <c r="AA2" s="215" t="s">
        <v>6</v>
      </c>
      <c r="AB2" s="213"/>
      <c r="AC2" s="213"/>
      <c r="AD2" s="214"/>
      <c r="AE2" s="4"/>
      <c r="AF2" s="215" t="s">
        <v>7</v>
      </c>
      <c r="AG2" s="213"/>
      <c r="AH2" s="213"/>
      <c r="AI2" s="214"/>
      <c r="AJ2" s="4"/>
      <c r="AK2" s="4"/>
      <c r="AL2" s="4"/>
      <c r="AM2" s="4"/>
      <c r="AN2" s="4"/>
      <c r="AO2" s="4"/>
      <c r="AP2" s="4"/>
      <c r="AQ2" s="4"/>
    </row>
    <row r="3" spans="1:43" x14ac:dyDescent="0.2">
      <c r="B3" s="5"/>
      <c r="C3" s="6" t="s">
        <v>8</v>
      </c>
      <c r="D3" s="7" t="s">
        <v>9</v>
      </c>
      <c r="E3" s="8" t="s">
        <v>10</v>
      </c>
      <c r="G3" s="5"/>
      <c r="H3" s="6" t="s">
        <v>8</v>
      </c>
      <c r="I3" s="7" t="s">
        <v>9</v>
      </c>
      <c r="J3" s="8" t="s">
        <v>10</v>
      </c>
      <c r="L3" s="5"/>
      <c r="M3" s="6" t="s">
        <v>8</v>
      </c>
      <c r="N3" s="7" t="s">
        <v>9</v>
      </c>
      <c r="O3" s="8" t="s">
        <v>10</v>
      </c>
      <c r="Q3" s="5"/>
      <c r="R3" s="6" t="s">
        <v>8</v>
      </c>
      <c r="S3" s="7" t="s">
        <v>9</v>
      </c>
      <c r="T3" s="8" t="s">
        <v>10</v>
      </c>
      <c r="V3" s="5"/>
      <c r="W3" s="6" t="s">
        <v>8</v>
      </c>
      <c r="X3" s="7" t="s">
        <v>9</v>
      </c>
      <c r="Y3" s="8" t="s">
        <v>10</v>
      </c>
      <c r="AA3" s="7"/>
      <c r="AB3" s="6" t="s">
        <v>8</v>
      </c>
      <c r="AC3" s="7" t="s">
        <v>9</v>
      </c>
      <c r="AD3" s="8" t="s">
        <v>10</v>
      </c>
      <c r="AE3" s="9"/>
      <c r="AF3" s="7"/>
      <c r="AG3" s="6" t="s">
        <v>8</v>
      </c>
      <c r="AH3" s="7" t="s">
        <v>9</v>
      </c>
      <c r="AI3" s="8" t="s">
        <v>10</v>
      </c>
      <c r="AJ3" s="9"/>
      <c r="AK3" s="9"/>
      <c r="AL3" s="9"/>
      <c r="AM3" s="9"/>
      <c r="AN3" s="9"/>
      <c r="AO3" s="9"/>
      <c r="AP3" s="9"/>
      <c r="AQ3" s="9"/>
    </row>
    <row r="4" spans="1:43" ht="16" x14ac:dyDescent="0.2">
      <c r="B4" s="7" t="s">
        <v>11</v>
      </c>
      <c r="C4" s="10">
        <v>0.15</v>
      </c>
      <c r="D4" s="11">
        <f>+VLOOKUP(B4,'PRECIO PROVEEDORES'!$A$2:$B$716,2,0)</f>
        <v>7449.2</v>
      </c>
      <c r="E4" s="12">
        <f t="shared" ref="E4:E9" si="0">+C4*D4</f>
        <v>1117.3799999999999</v>
      </c>
      <c r="G4" s="13" t="s">
        <v>12</v>
      </c>
      <c r="H4" s="10">
        <v>1</v>
      </c>
      <c r="I4" s="11">
        <f>+VLOOKUP(G4,'PRECIO PROVEEDORES'!$A$2:$B$716,2,0)</f>
        <v>243.1</v>
      </c>
      <c r="J4" s="12">
        <f t="shared" ref="J4:J9" si="1">+H4*I4</f>
        <v>243.1</v>
      </c>
      <c r="L4" s="13" t="s">
        <v>13</v>
      </c>
      <c r="M4" s="10">
        <v>2</v>
      </c>
      <c r="N4" s="11">
        <f>+VLOOKUP(L4,'PRECIO PROVEEDORES'!$A$2:$B$716,2,0)</f>
        <v>391.80500000000001</v>
      </c>
      <c r="O4" s="12">
        <f t="shared" ref="O4:O8" si="2">+M4*N4</f>
        <v>783.61</v>
      </c>
      <c r="Q4" s="14" t="s">
        <v>14</v>
      </c>
      <c r="R4" s="10">
        <v>0.04</v>
      </c>
      <c r="S4" s="11">
        <f>+VLOOKUP(Q4,'PRECIO PROVEEDORES'!$A$2:$B$716,2,0)</f>
        <v>2332</v>
      </c>
      <c r="T4" s="12">
        <f t="shared" ref="T4:T12" si="3">+R4*S4</f>
        <v>93.28</v>
      </c>
      <c r="V4" s="7" t="s">
        <v>12</v>
      </c>
      <c r="W4" s="10">
        <v>2</v>
      </c>
      <c r="X4" s="11">
        <f>+VLOOKUP(V4,'PRECIO PROVEEDORES'!$A$2:$B$716,2,0)</f>
        <v>243.1</v>
      </c>
      <c r="Y4" s="12">
        <f t="shared" ref="Y4:Y13" si="4">+W4*X4</f>
        <v>486.2</v>
      </c>
      <c r="AA4" s="7" t="s">
        <v>12</v>
      </c>
      <c r="AB4" s="10">
        <v>2</v>
      </c>
      <c r="AC4" s="11">
        <f>+VLOOKUP(AA4,'PRECIO PROVEEDORES'!$A$2:$B$716,2,0)</f>
        <v>243.1</v>
      </c>
      <c r="AD4" s="12">
        <f t="shared" ref="AD4:AD7" si="5">+AB4*AC4</f>
        <v>486.2</v>
      </c>
      <c r="AE4" s="15"/>
      <c r="AF4" s="13" t="s">
        <v>15</v>
      </c>
      <c r="AG4" s="10">
        <v>1</v>
      </c>
      <c r="AH4" s="11">
        <f>+VLOOKUP(AF4,'PRECIO PROVEEDORES'!$A$2:$B$716,2,0)</f>
        <v>992.2</v>
      </c>
      <c r="AI4" s="12">
        <f t="shared" ref="AI4:AI15" si="6">+AG4*AH4</f>
        <v>992.2</v>
      </c>
      <c r="AJ4" s="15"/>
      <c r="AK4" s="15"/>
      <c r="AL4" s="15"/>
      <c r="AM4" s="15"/>
      <c r="AN4" s="15"/>
      <c r="AO4" s="15"/>
      <c r="AP4" s="15"/>
      <c r="AQ4" s="15"/>
    </row>
    <row r="5" spans="1:43" ht="16" x14ac:dyDescent="0.2">
      <c r="B5" s="13" t="s">
        <v>16</v>
      </c>
      <c r="C5" s="10">
        <v>0.05</v>
      </c>
      <c r="D5" s="11">
        <f>+VLOOKUP(B5,'PRECIO PROVEEDORES'!$A$2:$B$716,2,0)</f>
        <v>8954.3189333333339</v>
      </c>
      <c r="E5" s="12">
        <f t="shared" si="0"/>
        <v>447.7159466666667</v>
      </c>
      <c r="G5" s="13" t="s">
        <v>17</v>
      </c>
      <c r="H5" s="10">
        <v>3</v>
      </c>
      <c r="I5" s="11">
        <f>+VLOOKUP(G5,'PRECIO PROVEEDORES'!$A$2:$B$716,2,0)</f>
        <v>192</v>
      </c>
      <c r="J5" s="12">
        <f t="shared" si="1"/>
        <v>576</v>
      </c>
      <c r="L5" s="7" t="s">
        <v>18</v>
      </c>
      <c r="M5" s="10">
        <v>0.01</v>
      </c>
      <c r="N5" s="11">
        <f>+VLOOKUP(L5,'PRECIO PROVEEDORES'!$A$2:$B$716,2,0)</f>
        <v>9542</v>
      </c>
      <c r="O5" s="12">
        <f t="shared" si="2"/>
        <v>95.42</v>
      </c>
      <c r="Q5" s="16" t="s">
        <v>19</v>
      </c>
      <c r="R5" s="10">
        <v>1</v>
      </c>
      <c r="S5" s="11">
        <f>+VLOOKUP(Q5,'PRECIO PROVEEDORES'!$A$2:$B$716,2,0)</f>
        <v>1650</v>
      </c>
      <c r="T5" s="12">
        <f t="shared" si="3"/>
        <v>1650</v>
      </c>
      <c r="V5" s="13" t="s">
        <v>20</v>
      </c>
      <c r="W5" s="10">
        <v>0.12</v>
      </c>
      <c r="X5" s="11">
        <f>+VLOOKUP(V5,'PRECIO PROVEEDORES'!$A$2:$B$716,2,0)</f>
        <v>7700</v>
      </c>
      <c r="Y5" s="12">
        <f t="shared" si="4"/>
        <v>924</v>
      </c>
      <c r="AA5" s="7" t="s">
        <v>21</v>
      </c>
      <c r="AB5" s="10">
        <v>0.06</v>
      </c>
      <c r="AC5" s="11">
        <f>+VLOOKUP(AA5,'PRECIO PROVEEDORES'!$A$2:$B$716,2,0)</f>
        <v>11881</v>
      </c>
      <c r="AD5" s="12">
        <f t="shared" si="5"/>
        <v>712.86</v>
      </c>
      <c r="AE5" s="15"/>
      <c r="AF5" s="7" t="s">
        <v>22</v>
      </c>
      <c r="AG5" s="10">
        <v>0.03</v>
      </c>
      <c r="AH5" s="11">
        <f>+VLOOKUP(AF5,'PRECIO PROVEEDORES'!$A$2:$B$716,2,0)</f>
        <v>4788</v>
      </c>
      <c r="AI5" s="12">
        <f t="shared" si="6"/>
        <v>143.63999999999999</v>
      </c>
      <c r="AJ5" s="15"/>
      <c r="AK5" s="15"/>
      <c r="AL5" s="15"/>
      <c r="AM5" s="15"/>
      <c r="AN5" s="15"/>
      <c r="AO5" s="15"/>
      <c r="AP5" s="15"/>
      <c r="AQ5" s="15"/>
    </row>
    <row r="6" spans="1:43" ht="16" x14ac:dyDescent="0.2">
      <c r="B6" s="13" t="s">
        <v>23</v>
      </c>
      <c r="C6" s="10">
        <v>0.05</v>
      </c>
      <c r="D6" s="11">
        <f>+VLOOKUP(B6,'PRECIO PROVEEDORES'!$A$2:$B$716,2,0)</f>
        <v>3360</v>
      </c>
      <c r="E6" s="12">
        <f t="shared" si="0"/>
        <v>168</v>
      </c>
      <c r="G6" s="17" t="s">
        <v>24</v>
      </c>
      <c r="H6" s="10">
        <v>0.08</v>
      </c>
      <c r="I6" s="11">
        <f>+VLOOKUP(G6,'PRECIO PROVEEDORES'!$A$2:$B$716,2,0)</f>
        <v>9316</v>
      </c>
      <c r="J6" s="12">
        <f t="shared" si="1"/>
        <v>745.28</v>
      </c>
      <c r="L6" s="7" t="s">
        <v>25</v>
      </c>
      <c r="M6" s="10">
        <v>0.08</v>
      </c>
      <c r="N6" s="11">
        <f>+VLOOKUP(L6,'PRECIO PROVEEDORES'!$A$2:$B$716,2,0)</f>
        <v>3360</v>
      </c>
      <c r="O6" s="12">
        <f t="shared" si="2"/>
        <v>268.8</v>
      </c>
      <c r="Q6" s="13" t="s">
        <v>26</v>
      </c>
      <c r="R6" s="10">
        <v>0.03</v>
      </c>
      <c r="S6" s="11">
        <f>+VLOOKUP(Q6,'PRECIO PROVEEDORES'!$A$2:$B$716,2,0)</f>
        <v>6000</v>
      </c>
      <c r="T6" s="12">
        <f t="shared" si="3"/>
        <v>180</v>
      </c>
      <c r="V6" s="7" t="s">
        <v>27</v>
      </c>
      <c r="W6" s="10">
        <v>0.02</v>
      </c>
      <c r="X6" s="11">
        <f>+VLOOKUP(V6,'PRECIO PROVEEDORES'!$A$2:$B$716,2,0)</f>
        <v>6440</v>
      </c>
      <c r="Y6" s="12">
        <f t="shared" si="4"/>
        <v>128.80000000000001</v>
      </c>
      <c r="AA6" s="7" t="s">
        <v>28</v>
      </c>
      <c r="AB6" s="10">
        <v>0.09</v>
      </c>
      <c r="AC6" s="11">
        <f>+VLOOKUP(AA6,'PRECIO PROVEEDORES'!$A$2:$B$716,2,0)</f>
        <v>10697</v>
      </c>
      <c r="AD6" s="12">
        <f t="shared" si="5"/>
        <v>962.73</v>
      </c>
      <c r="AE6" s="15"/>
      <c r="AF6" s="7" t="s">
        <v>29</v>
      </c>
      <c r="AG6" s="10">
        <v>0.05</v>
      </c>
      <c r="AH6" s="11">
        <f>+VLOOKUP(AF6,'PRECIO PROVEEDORES'!$A$2:$B$716,2,0)</f>
        <v>9900</v>
      </c>
      <c r="AI6" s="12">
        <f t="shared" si="6"/>
        <v>495</v>
      </c>
      <c r="AJ6" s="15"/>
      <c r="AK6" s="15"/>
      <c r="AL6" s="15"/>
      <c r="AM6" s="15"/>
      <c r="AN6" s="15"/>
      <c r="AO6" s="15"/>
      <c r="AP6" s="15"/>
      <c r="AQ6" s="15"/>
    </row>
    <row r="7" spans="1:43" ht="16" x14ac:dyDescent="0.2">
      <c r="B7" s="13" t="s">
        <v>30</v>
      </c>
      <c r="C7" s="10">
        <v>0.04</v>
      </c>
      <c r="D7" s="11">
        <f>+VLOOKUP(B7,'PRECIO PROVEEDORES'!$A$2:$B$716,2,0)</f>
        <v>26000</v>
      </c>
      <c r="E7" s="12">
        <f t="shared" si="0"/>
        <v>1040</v>
      </c>
      <c r="G7" s="13" t="s">
        <v>26</v>
      </c>
      <c r="H7" s="10">
        <v>3.5000000000000003E-2</v>
      </c>
      <c r="I7" s="11">
        <f>+VLOOKUP(G7,'PRECIO PROVEEDORES'!$A$2:$B$716,2,0)</f>
        <v>6000</v>
      </c>
      <c r="J7" s="12">
        <f t="shared" si="1"/>
        <v>210.00000000000003</v>
      </c>
      <c r="L7" s="13" t="s">
        <v>30</v>
      </c>
      <c r="M7" s="10">
        <v>0.05</v>
      </c>
      <c r="N7" s="11">
        <f>+VLOOKUP(L7,'PRECIO PROVEEDORES'!$A$2:$B$716,2,0)</f>
        <v>26000</v>
      </c>
      <c r="O7" s="12">
        <f t="shared" si="2"/>
        <v>1300</v>
      </c>
      <c r="Q7" s="13" t="s">
        <v>30</v>
      </c>
      <c r="R7" s="10">
        <v>0.05</v>
      </c>
      <c r="S7" s="11">
        <f>+VLOOKUP(Q7,'PRECIO PROVEEDORES'!$A$2:$B$716,2,0)</f>
        <v>26000</v>
      </c>
      <c r="T7" s="12">
        <f t="shared" si="3"/>
        <v>1300</v>
      </c>
      <c r="V7" s="13" t="s">
        <v>31</v>
      </c>
      <c r="W7" s="10">
        <v>0.04</v>
      </c>
      <c r="X7" s="11">
        <f>+VLOOKUP(V7,'PRECIO PROVEEDORES'!$A$2:$B$716,2,0)</f>
        <v>9316</v>
      </c>
      <c r="Y7" s="12">
        <f t="shared" si="4"/>
        <v>372.64</v>
      </c>
      <c r="AA7" s="13" t="s">
        <v>32</v>
      </c>
      <c r="AB7" s="10">
        <v>0.02</v>
      </c>
      <c r="AC7" s="11">
        <f>+VLOOKUP(AA7,'PRECIO PROVEEDORES'!$A$2:$B$716,2,0)</f>
        <v>12206</v>
      </c>
      <c r="AD7" s="12">
        <f t="shared" si="5"/>
        <v>244.12</v>
      </c>
      <c r="AE7" s="15"/>
      <c r="AF7" s="13" t="s">
        <v>33</v>
      </c>
      <c r="AG7" s="10">
        <v>0.01</v>
      </c>
      <c r="AH7" s="11">
        <f>+VLOOKUP(AF7,'PRECIO PROVEEDORES'!$A$2:$B$716,2,0)</f>
        <v>0</v>
      </c>
      <c r="AI7" s="12">
        <f t="shared" si="6"/>
        <v>0</v>
      </c>
      <c r="AJ7" s="15"/>
      <c r="AK7" s="15"/>
      <c r="AL7" s="15"/>
      <c r="AM7" s="15"/>
      <c r="AN7" s="15"/>
      <c r="AO7" s="15"/>
      <c r="AP7" s="15"/>
      <c r="AQ7" s="15"/>
    </row>
    <row r="8" spans="1:43" ht="16" x14ac:dyDescent="0.2">
      <c r="B8" s="13" t="s">
        <v>34</v>
      </c>
      <c r="C8" s="18">
        <v>0.01</v>
      </c>
      <c r="D8" s="11">
        <f>+VLOOKUP(B8,'PRECIO PROVEEDORES'!$A$2:$B$716,2,0)</f>
        <v>5917</v>
      </c>
      <c r="E8" s="12">
        <f t="shared" si="0"/>
        <v>59.17</v>
      </c>
      <c r="G8" s="7" t="s">
        <v>35</v>
      </c>
      <c r="H8" s="10">
        <v>0.05</v>
      </c>
      <c r="I8" s="11">
        <f>+VLOOKUP(G8,'PRECIO PROVEEDORES'!$A$2:$B$716,2,0)</f>
        <v>4095</v>
      </c>
      <c r="J8" s="12">
        <f t="shared" si="1"/>
        <v>204.75</v>
      </c>
      <c r="L8" s="13" t="s">
        <v>36</v>
      </c>
      <c r="M8" s="10">
        <v>0.02</v>
      </c>
      <c r="N8" s="11">
        <f>+VLOOKUP(L8,'PRECIO PROVEEDORES'!$A$2:$B$716,2,0)</f>
        <v>35691.97</v>
      </c>
      <c r="O8" s="12">
        <f t="shared" si="2"/>
        <v>713.83940000000007</v>
      </c>
      <c r="Q8" s="13" t="s">
        <v>34</v>
      </c>
      <c r="R8" s="10">
        <v>1.4999999999999999E-2</v>
      </c>
      <c r="S8" s="11">
        <f>+VLOOKUP(Q8,'PRECIO PROVEEDORES'!$A$2:$B$716,2,0)</f>
        <v>5917</v>
      </c>
      <c r="T8" s="12">
        <f t="shared" si="3"/>
        <v>88.754999999999995</v>
      </c>
      <c r="V8" s="13" t="s">
        <v>37</v>
      </c>
      <c r="W8" s="10">
        <v>0.05</v>
      </c>
      <c r="X8" s="11">
        <f>+VLOOKUP(V8,'PRECIO PROVEEDORES'!$A$2:$B$716,2,0)</f>
        <v>17587.349999999999</v>
      </c>
      <c r="Y8" s="12">
        <f t="shared" si="4"/>
        <v>879.36749999999995</v>
      </c>
      <c r="AA8" s="7"/>
      <c r="AB8" s="7"/>
      <c r="AC8" s="11"/>
      <c r="AD8" s="12"/>
      <c r="AE8" s="15"/>
      <c r="AF8" s="7" t="s">
        <v>38</v>
      </c>
      <c r="AG8" s="10">
        <v>0.1</v>
      </c>
      <c r="AH8" s="11">
        <f>+VLOOKUP(AF8,'PRECIO PROVEEDORES'!$A$2:$B$716,2,0)</f>
        <v>3330</v>
      </c>
      <c r="AI8" s="12">
        <f t="shared" si="6"/>
        <v>333</v>
      </c>
      <c r="AJ8" s="15"/>
      <c r="AK8" s="15"/>
      <c r="AL8" s="15"/>
      <c r="AM8" s="15"/>
      <c r="AN8" s="15"/>
      <c r="AO8" s="15"/>
      <c r="AP8" s="15"/>
      <c r="AQ8" s="15"/>
    </row>
    <row r="9" spans="1:43" ht="16" x14ac:dyDescent="0.2">
      <c r="B9" s="13" t="s">
        <v>39</v>
      </c>
      <c r="C9" s="10">
        <v>0.01</v>
      </c>
      <c r="D9" s="11">
        <f>+VLOOKUP(B9,'PRECIO PROVEEDORES'!$A$2:$B$716,2,0)</f>
        <v>56000</v>
      </c>
      <c r="E9" s="12">
        <f t="shared" si="0"/>
        <v>560</v>
      </c>
      <c r="G9" s="7" t="s">
        <v>40</v>
      </c>
      <c r="H9" s="10">
        <v>0.02</v>
      </c>
      <c r="I9" s="11">
        <f>+VLOOKUP(G9,'PRECIO PROVEEDORES'!$A$2:$B$716,2,0)</f>
        <v>18256.349999999999</v>
      </c>
      <c r="J9" s="12">
        <f t="shared" si="1"/>
        <v>365.12699999999995</v>
      </c>
      <c r="L9" s="7"/>
      <c r="M9" s="7"/>
      <c r="N9" s="11"/>
      <c r="O9" s="12"/>
      <c r="Q9" s="7" t="s">
        <v>41</v>
      </c>
      <c r="R9" s="10">
        <v>2E-3</v>
      </c>
      <c r="S9" s="11">
        <f>+VLOOKUP(Q9,'PRECIO PROVEEDORES'!$A$2:$B$716,2,0)</f>
        <v>18304</v>
      </c>
      <c r="T9" s="12">
        <f t="shared" si="3"/>
        <v>36.608000000000004</v>
      </c>
      <c r="V9" s="13" t="s">
        <v>42</v>
      </c>
      <c r="W9" s="10">
        <v>0.05</v>
      </c>
      <c r="X9" s="11">
        <f>+VLOOKUP(V9,'PRECIO PROVEEDORES'!$A$2:$B$716,2,0)</f>
        <v>2910.45</v>
      </c>
      <c r="Y9" s="12">
        <f t="shared" si="4"/>
        <v>145.52250000000001</v>
      </c>
      <c r="AA9" s="7"/>
      <c r="AB9" s="7"/>
      <c r="AC9" s="11"/>
      <c r="AD9" s="12"/>
      <c r="AE9" s="15"/>
      <c r="AF9" s="13" t="s">
        <v>43</v>
      </c>
      <c r="AG9" s="10">
        <v>0.06</v>
      </c>
      <c r="AH9" s="11">
        <f>+VLOOKUP(AF9,'PRECIO PROVEEDORES'!$A$2:$B$716,2,0)</f>
        <v>1092.5</v>
      </c>
      <c r="AI9" s="12">
        <f t="shared" si="6"/>
        <v>65.55</v>
      </c>
      <c r="AJ9" s="15"/>
      <c r="AK9" s="15"/>
      <c r="AL9" s="15"/>
      <c r="AM9" s="15"/>
      <c r="AN9" s="15"/>
      <c r="AO9" s="15"/>
      <c r="AP9" s="15"/>
      <c r="AQ9" s="15"/>
    </row>
    <row r="10" spans="1:43" ht="16" x14ac:dyDescent="0.2">
      <c r="B10" s="13"/>
      <c r="C10" s="18"/>
      <c r="D10" s="11"/>
      <c r="E10" s="12"/>
      <c r="G10" s="5"/>
      <c r="H10" s="7"/>
      <c r="I10" s="11"/>
      <c r="J10" s="12"/>
      <c r="L10" s="5"/>
      <c r="M10" s="7"/>
      <c r="N10" s="11"/>
      <c r="O10" s="12"/>
      <c r="Q10" s="13" t="s">
        <v>32</v>
      </c>
      <c r="R10" s="10">
        <v>0.01</v>
      </c>
      <c r="S10" s="11">
        <f>+VLOOKUP(Q10,'PRECIO PROVEEDORES'!$A$2:$B$716,2,0)</f>
        <v>12206</v>
      </c>
      <c r="T10" s="12">
        <f t="shared" si="3"/>
        <v>122.06</v>
      </c>
      <c r="V10" s="7" t="s">
        <v>28</v>
      </c>
      <c r="W10" s="10">
        <v>0.02</v>
      </c>
      <c r="X10" s="11">
        <f>+VLOOKUP(V10,'PRECIO PROVEEDORES'!$A$2:$B$716,2,0)</f>
        <v>10697</v>
      </c>
      <c r="Y10" s="12">
        <f t="shared" si="4"/>
        <v>213.94</v>
      </c>
      <c r="AA10" s="7"/>
      <c r="AB10" s="7"/>
      <c r="AC10" s="11"/>
      <c r="AD10" s="12"/>
      <c r="AE10" s="15"/>
      <c r="AF10" s="7" t="s">
        <v>41</v>
      </c>
      <c r="AG10" s="10">
        <v>0.1</v>
      </c>
      <c r="AH10" s="11">
        <f>+VLOOKUP(AF10,'PRECIO PROVEEDORES'!$A$2:$B$716,2,0)</f>
        <v>18304</v>
      </c>
      <c r="AI10" s="12">
        <f t="shared" si="6"/>
        <v>1830.4</v>
      </c>
      <c r="AJ10" s="15"/>
      <c r="AK10" s="15"/>
      <c r="AL10" s="15"/>
      <c r="AM10" s="15"/>
      <c r="AN10" s="15"/>
      <c r="AO10" s="15"/>
      <c r="AP10" s="15"/>
      <c r="AQ10" s="15"/>
    </row>
    <row r="11" spans="1:43" ht="16" x14ac:dyDescent="0.2">
      <c r="B11" s="5"/>
      <c r="C11" s="7"/>
      <c r="D11" s="11"/>
      <c r="E11" s="12"/>
      <c r="G11" s="5"/>
      <c r="H11" s="7"/>
      <c r="I11" s="11"/>
      <c r="J11" s="12"/>
      <c r="L11" s="5"/>
      <c r="M11" s="7"/>
      <c r="N11" s="11"/>
      <c r="O11" s="12"/>
      <c r="Q11" s="13" t="s">
        <v>44</v>
      </c>
      <c r="R11" s="10">
        <v>0.05</v>
      </c>
      <c r="S11" s="11">
        <f>+VLOOKUP(Q11,'PRECIO PROVEEDORES'!$A$2:$B$716,2,0)</f>
        <v>10450</v>
      </c>
      <c r="T11" s="12">
        <f t="shared" si="3"/>
        <v>522.5</v>
      </c>
      <c r="V11" s="13" t="s">
        <v>45</v>
      </c>
      <c r="W11" s="10">
        <v>1.4999999999999999E-2</v>
      </c>
      <c r="X11" s="11">
        <f>+VLOOKUP(V11,'PRECIO PROVEEDORES'!$A$2:$B$716,2,0)</f>
        <v>17376</v>
      </c>
      <c r="Y11" s="12">
        <f t="shared" si="4"/>
        <v>260.64</v>
      </c>
      <c r="AA11" s="5"/>
      <c r="AB11" s="7"/>
      <c r="AC11" s="11"/>
      <c r="AD11" s="12"/>
      <c r="AE11" s="15"/>
      <c r="AF11" s="13" t="s">
        <v>46</v>
      </c>
      <c r="AG11" s="10">
        <v>2E-3</v>
      </c>
      <c r="AH11" s="11">
        <f>+VLOOKUP(AF11,'PRECIO PROVEEDORES'!$A$2:$B$716,2,0)</f>
        <v>10164</v>
      </c>
      <c r="AI11" s="12">
        <f t="shared" si="6"/>
        <v>20.327999999999999</v>
      </c>
      <c r="AJ11" s="15"/>
      <c r="AK11" s="15"/>
      <c r="AL11" s="15"/>
      <c r="AM11" s="15"/>
      <c r="AN11" s="15"/>
      <c r="AO11" s="15"/>
      <c r="AP11" s="15"/>
      <c r="AQ11" s="15"/>
    </row>
    <row r="12" spans="1:43" ht="16" x14ac:dyDescent="0.2">
      <c r="B12" s="19"/>
      <c r="C12" s="7"/>
      <c r="D12" s="11"/>
      <c r="E12" s="12"/>
      <c r="G12" s="19"/>
      <c r="H12" s="7"/>
      <c r="I12" s="11"/>
      <c r="J12" s="12"/>
      <c r="L12" s="19"/>
      <c r="M12" s="7"/>
      <c r="N12" s="11"/>
      <c r="O12" s="12"/>
      <c r="Q12" s="13" t="s">
        <v>47</v>
      </c>
      <c r="R12" s="10">
        <v>0.05</v>
      </c>
      <c r="S12" s="11">
        <f>+VLOOKUP(Q12,'PRECIO PROVEEDORES'!$A$2:$B$716,2,0)</f>
        <v>4860</v>
      </c>
      <c r="T12" s="12">
        <f t="shared" si="3"/>
        <v>243</v>
      </c>
      <c r="V12" s="19" t="s">
        <v>48</v>
      </c>
      <c r="W12" s="7">
        <v>0.15</v>
      </c>
      <c r="X12" s="11">
        <f>+VLOOKUP(V12,'PRECIO PROVEEDORES'!$A$2:$B$716,2,0)</f>
        <v>1685.0214999999996</v>
      </c>
      <c r="Y12" s="12">
        <f t="shared" si="4"/>
        <v>252.75322499999993</v>
      </c>
      <c r="AA12" s="19"/>
      <c r="AB12" s="7"/>
      <c r="AC12" s="11"/>
      <c r="AD12" s="12"/>
      <c r="AE12" s="15"/>
      <c r="AF12" s="13" t="s">
        <v>49</v>
      </c>
      <c r="AG12" s="10">
        <v>2E-3</v>
      </c>
      <c r="AH12" s="11">
        <f>+VLOOKUP(AF12,'PRECIO PROVEEDORES'!$A$2:$B$716,2,0)</f>
        <v>1633</v>
      </c>
      <c r="AI12" s="12">
        <f t="shared" si="6"/>
        <v>3.266</v>
      </c>
      <c r="AJ12" s="15"/>
      <c r="AK12" s="15"/>
      <c r="AL12" s="15"/>
      <c r="AM12" s="15"/>
      <c r="AN12" s="15"/>
      <c r="AO12" s="15"/>
      <c r="AP12" s="15"/>
      <c r="AQ12" s="15"/>
    </row>
    <row r="13" spans="1:43" ht="16" x14ac:dyDescent="0.2">
      <c r="B13" s="19"/>
      <c r="C13" s="7"/>
      <c r="D13" s="11"/>
      <c r="E13" s="12"/>
      <c r="G13" s="19"/>
      <c r="H13" s="7"/>
      <c r="I13" s="11"/>
      <c r="J13" s="12"/>
      <c r="L13" s="19"/>
      <c r="M13" s="7"/>
      <c r="N13" s="11"/>
      <c r="O13" s="12"/>
      <c r="Q13" s="19"/>
      <c r="R13" s="7"/>
      <c r="S13" s="11"/>
      <c r="T13" s="12"/>
      <c r="V13" s="20" t="s">
        <v>50</v>
      </c>
      <c r="W13" s="7">
        <v>0.04</v>
      </c>
      <c r="X13" s="11">
        <f>+VLOOKUP(V13,'PRECIO PROVEEDORES'!$A$2:$B$716,2,0)</f>
        <v>3891.9110000000001</v>
      </c>
      <c r="Y13" s="12">
        <f t="shared" si="4"/>
        <v>155.67644000000001</v>
      </c>
      <c r="AA13" s="19"/>
      <c r="AB13" s="7"/>
      <c r="AC13" s="11"/>
      <c r="AD13" s="12"/>
      <c r="AE13" s="15"/>
      <c r="AF13" s="7" t="s">
        <v>51</v>
      </c>
      <c r="AG13" s="10">
        <v>2E-3</v>
      </c>
      <c r="AH13" s="11">
        <f>+VLOOKUP(AF13,'PRECIO PROVEEDORES'!$A$2:$B$716,2,0)</f>
        <v>22269</v>
      </c>
      <c r="AI13" s="12">
        <f t="shared" si="6"/>
        <v>44.538000000000004</v>
      </c>
      <c r="AJ13" s="15"/>
      <c r="AK13" s="15"/>
      <c r="AL13" s="15"/>
      <c r="AM13" s="15"/>
      <c r="AN13" s="15"/>
      <c r="AO13" s="15"/>
      <c r="AP13" s="15"/>
      <c r="AQ13" s="15"/>
    </row>
    <row r="14" spans="1:43" ht="16" x14ac:dyDescent="0.2">
      <c r="B14" s="19"/>
      <c r="C14" s="7"/>
      <c r="D14" s="11"/>
      <c r="E14" s="12"/>
      <c r="G14" s="19"/>
      <c r="H14" s="7"/>
      <c r="I14" s="11"/>
      <c r="J14" s="12"/>
      <c r="L14" s="19"/>
      <c r="M14" s="7"/>
      <c r="N14" s="11"/>
      <c r="O14" s="12"/>
      <c r="Q14" s="19"/>
      <c r="R14" s="7"/>
      <c r="S14" s="11"/>
      <c r="T14" s="12"/>
      <c r="V14" s="19"/>
      <c r="W14" s="7"/>
      <c r="X14" s="11"/>
      <c r="Y14" s="12"/>
      <c r="AA14" s="19"/>
      <c r="AB14" s="7"/>
      <c r="AC14" s="11"/>
      <c r="AD14" s="12"/>
      <c r="AE14" s="15"/>
      <c r="AF14" s="19" t="s">
        <v>48</v>
      </c>
      <c r="AG14" s="10">
        <v>0.15</v>
      </c>
      <c r="AH14" s="11">
        <f>+VLOOKUP(AF14,'PRECIO PROVEEDORES'!$A$2:$B$716,2,0)</f>
        <v>1685.0214999999996</v>
      </c>
      <c r="AI14" s="12">
        <f t="shared" si="6"/>
        <v>252.75322499999993</v>
      </c>
      <c r="AJ14" s="15"/>
      <c r="AK14" s="15"/>
      <c r="AL14" s="15"/>
      <c r="AM14" s="15"/>
      <c r="AN14" s="15"/>
      <c r="AO14" s="15"/>
      <c r="AP14" s="15"/>
      <c r="AQ14" s="15"/>
    </row>
    <row r="15" spans="1:43" x14ac:dyDescent="0.2">
      <c r="B15" s="19"/>
      <c r="C15" s="7"/>
      <c r="D15" s="11"/>
      <c r="E15" s="12"/>
      <c r="G15" s="19"/>
      <c r="H15" s="7"/>
      <c r="I15" s="11"/>
      <c r="J15" s="12"/>
      <c r="L15" s="19"/>
      <c r="M15" s="7"/>
      <c r="N15" s="11"/>
      <c r="O15" s="12"/>
      <c r="Q15" s="19"/>
      <c r="R15" s="7"/>
      <c r="S15" s="11"/>
      <c r="T15" s="12"/>
      <c r="V15" s="19"/>
      <c r="W15" s="7"/>
      <c r="X15" s="11"/>
      <c r="Y15" s="12"/>
      <c r="AA15" s="19"/>
      <c r="AB15" s="7"/>
      <c r="AC15" s="11"/>
      <c r="AD15" s="12"/>
      <c r="AE15" s="15"/>
      <c r="AF15" s="20" t="s">
        <v>50</v>
      </c>
      <c r="AG15" s="7">
        <v>0.04</v>
      </c>
      <c r="AH15" s="11">
        <f>+VLOOKUP(AF15,'PRECIO PROVEEDORES'!$A$2:$B$716,2,0)</f>
        <v>3891.9110000000001</v>
      </c>
      <c r="AI15" s="12">
        <f t="shared" si="6"/>
        <v>155.67644000000001</v>
      </c>
      <c r="AJ15" s="15"/>
      <c r="AK15" s="15"/>
      <c r="AL15" s="15"/>
      <c r="AM15" s="15"/>
      <c r="AN15" s="15"/>
      <c r="AO15" s="15"/>
      <c r="AP15" s="15"/>
      <c r="AQ15" s="15"/>
    </row>
    <row r="16" spans="1:43" x14ac:dyDescent="0.2">
      <c r="B16" s="5"/>
      <c r="C16" s="7"/>
      <c r="D16" s="11"/>
      <c r="E16" s="12"/>
      <c r="G16" s="5"/>
      <c r="H16" s="7"/>
      <c r="I16" s="11"/>
      <c r="J16" s="12"/>
      <c r="L16" s="5"/>
      <c r="M16" s="7"/>
      <c r="N16" s="11"/>
      <c r="O16" s="12"/>
      <c r="Q16" s="5"/>
      <c r="R16" s="7"/>
      <c r="S16" s="11"/>
      <c r="T16" s="12"/>
      <c r="V16" s="5"/>
      <c r="W16" s="7"/>
      <c r="X16" s="11"/>
      <c r="Y16" s="12"/>
      <c r="AA16" s="5"/>
      <c r="AB16" s="7"/>
      <c r="AC16" s="11"/>
      <c r="AD16" s="12"/>
      <c r="AE16" s="15"/>
      <c r="AF16" s="20"/>
      <c r="AG16" s="7"/>
      <c r="AH16" s="11"/>
      <c r="AI16" s="12"/>
      <c r="AJ16" s="15"/>
      <c r="AK16" s="15"/>
      <c r="AL16" s="15"/>
      <c r="AM16" s="15"/>
      <c r="AN16" s="15"/>
      <c r="AO16" s="15"/>
      <c r="AP16" s="15"/>
      <c r="AQ16" s="15"/>
    </row>
    <row r="17" spans="1:43" ht="15.75" customHeight="1" x14ac:dyDescent="0.2">
      <c r="B17" s="5"/>
      <c r="C17" s="7"/>
      <c r="D17" s="11"/>
      <c r="E17" s="12"/>
      <c r="G17" s="5"/>
      <c r="H17" s="7"/>
      <c r="I17" s="11"/>
      <c r="J17" s="12"/>
      <c r="L17" s="5"/>
      <c r="M17" s="7"/>
      <c r="N17" s="11"/>
      <c r="O17" s="12"/>
      <c r="Q17" s="5"/>
      <c r="R17" s="7"/>
      <c r="S17" s="11"/>
      <c r="T17" s="12"/>
      <c r="V17" s="5"/>
      <c r="W17" s="7"/>
      <c r="X17" s="11"/>
      <c r="Y17" s="12"/>
      <c r="AA17" s="5"/>
      <c r="AB17" s="7"/>
      <c r="AC17" s="11"/>
      <c r="AD17" s="12"/>
      <c r="AE17" s="15"/>
      <c r="AF17" s="5"/>
      <c r="AG17" s="7"/>
      <c r="AH17" s="11"/>
      <c r="AI17" s="12"/>
      <c r="AJ17" s="15"/>
      <c r="AK17" s="15"/>
      <c r="AL17" s="15"/>
      <c r="AM17" s="15"/>
      <c r="AN17" s="15"/>
      <c r="AO17" s="15"/>
      <c r="AP17" s="15"/>
      <c r="AQ17" s="15"/>
    </row>
    <row r="18" spans="1:43" ht="15.75" customHeight="1" x14ac:dyDescent="0.2">
      <c r="B18" s="5"/>
      <c r="C18" s="7"/>
      <c r="D18" s="11"/>
      <c r="E18" s="12"/>
      <c r="G18" s="5"/>
      <c r="H18" s="7"/>
      <c r="I18" s="11"/>
      <c r="J18" s="12"/>
      <c r="L18" s="5"/>
      <c r="M18" s="7"/>
      <c r="N18" s="11"/>
      <c r="O18" s="12"/>
      <c r="Q18" s="5"/>
      <c r="R18" s="7"/>
      <c r="S18" s="11"/>
      <c r="T18" s="12"/>
      <c r="V18" s="5"/>
      <c r="W18" s="7"/>
      <c r="X18" s="11"/>
      <c r="Y18" s="12"/>
      <c r="AA18" s="5"/>
      <c r="AB18" s="7"/>
      <c r="AC18" s="11"/>
      <c r="AD18" s="12"/>
      <c r="AE18" s="15"/>
      <c r="AF18" s="5"/>
      <c r="AG18" s="7"/>
      <c r="AH18" s="11"/>
      <c r="AI18" s="12"/>
      <c r="AJ18" s="15"/>
      <c r="AK18" s="15"/>
      <c r="AL18" s="15"/>
      <c r="AM18" s="15"/>
      <c r="AN18" s="15"/>
      <c r="AO18" s="15"/>
      <c r="AP18" s="15"/>
      <c r="AQ18" s="15"/>
    </row>
    <row r="19" spans="1:43" ht="15.75" customHeight="1" x14ac:dyDescent="0.2">
      <c r="B19" s="21" t="s">
        <v>52</v>
      </c>
      <c r="C19" s="22"/>
      <c r="D19" s="23"/>
      <c r="E19" s="24">
        <f>SUM(E4:E18)</f>
        <v>3392.2659466666664</v>
      </c>
      <c r="G19" s="21" t="s">
        <v>52</v>
      </c>
      <c r="H19" s="22"/>
      <c r="I19" s="23"/>
      <c r="J19" s="24">
        <f>SUM(J4:J18)</f>
        <v>2344.2570000000001</v>
      </c>
      <c r="L19" s="21" t="s">
        <v>52</v>
      </c>
      <c r="M19" s="22"/>
      <c r="N19" s="23"/>
      <c r="O19" s="24">
        <f>SUM(O4:O18)</f>
        <v>3161.6693999999998</v>
      </c>
      <c r="Q19" s="21" t="s">
        <v>52</v>
      </c>
      <c r="R19" s="22"/>
      <c r="S19" s="23"/>
      <c r="T19" s="24">
        <f>SUM(T4:T18)</f>
        <v>4236.2029999999995</v>
      </c>
      <c r="V19" s="21" t="s">
        <v>52</v>
      </c>
      <c r="W19" s="22"/>
      <c r="X19" s="23"/>
      <c r="Y19" s="24">
        <f>SUM(Y4:Y18)</f>
        <v>3819.5396649999998</v>
      </c>
      <c r="AA19" s="21" t="s">
        <v>52</v>
      </c>
      <c r="AB19" s="22"/>
      <c r="AC19" s="23"/>
      <c r="AD19" s="24">
        <f>SUM(AD4:AD18)</f>
        <v>2405.91</v>
      </c>
      <c r="AE19" s="25"/>
      <c r="AF19" s="21" t="s">
        <v>52</v>
      </c>
      <c r="AG19" s="22"/>
      <c r="AH19" s="23"/>
      <c r="AI19" s="24">
        <f>SUM(AI4:AI18)</f>
        <v>4336.3516650000001</v>
      </c>
      <c r="AJ19" s="25"/>
      <c r="AK19" s="25"/>
      <c r="AL19" s="25"/>
      <c r="AM19" s="25"/>
      <c r="AN19" s="25"/>
      <c r="AO19" s="25"/>
      <c r="AP19" s="25"/>
      <c r="AQ19" s="25"/>
    </row>
    <row r="20" spans="1:43" ht="15.75" customHeight="1" x14ac:dyDescent="0.2">
      <c r="A20" s="26"/>
      <c r="B20" s="19" t="s">
        <v>53</v>
      </c>
      <c r="C20" s="27"/>
      <c r="D20" s="28"/>
      <c r="E20" s="29">
        <f>SUM(E19)</f>
        <v>3392.2659466666664</v>
      </c>
      <c r="G20" s="19" t="s">
        <v>53</v>
      </c>
      <c r="H20" s="27"/>
      <c r="I20" s="28"/>
      <c r="J20" s="29">
        <f>SUM(J19)</f>
        <v>2344.2570000000001</v>
      </c>
      <c r="L20" s="19" t="s">
        <v>53</v>
      </c>
      <c r="M20" s="27"/>
      <c r="N20" s="28"/>
      <c r="O20" s="29">
        <f>SUM(O19)</f>
        <v>3161.6693999999998</v>
      </c>
      <c r="Q20" s="19" t="s">
        <v>53</v>
      </c>
      <c r="R20" s="27"/>
      <c r="S20" s="28"/>
      <c r="T20" s="29">
        <f>SUM(T19)</f>
        <v>4236.2029999999995</v>
      </c>
      <c r="V20" s="19" t="s">
        <v>53</v>
      </c>
      <c r="W20" s="27"/>
      <c r="X20" s="28"/>
      <c r="Y20" s="29">
        <f>SUM(Y19)</f>
        <v>3819.5396649999998</v>
      </c>
      <c r="AA20" s="19" t="s">
        <v>53</v>
      </c>
      <c r="AB20" s="27"/>
      <c r="AC20" s="28"/>
      <c r="AD20" s="29">
        <f>SUM(AD19)</f>
        <v>2405.91</v>
      </c>
      <c r="AE20" s="30"/>
      <c r="AF20" s="19" t="s">
        <v>53</v>
      </c>
      <c r="AG20" s="27"/>
      <c r="AH20" s="28"/>
      <c r="AI20" s="29">
        <f>SUM(AI19)</f>
        <v>4336.3516650000001</v>
      </c>
      <c r="AJ20" s="30"/>
      <c r="AK20" s="30"/>
      <c r="AL20" s="30"/>
      <c r="AM20" s="30"/>
      <c r="AN20" s="30"/>
      <c r="AO20" s="30"/>
      <c r="AP20" s="30"/>
      <c r="AQ20" s="30"/>
    </row>
    <row r="21" spans="1:43" ht="15.75" customHeight="1" x14ac:dyDescent="0.2">
      <c r="A21" s="26"/>
      <c r="B21" s="19" t="s">
        <v>54</v>
      </c>
      <c r="C21" s="27"/>
      <c r="D21" s="28"/>
      <c r="E21" s="29">
        <f>+E20</f>
        <v>3392.2659466666664</v>
      </c>
      <c r="G21" s="19" t="s">
        <v>54</v>
      </c>
      <c r="H21" s="27"/>
      <c r="I21" s="28"/>
      <c r="J21" s="29">
        <f>+J20</f>
        <v>2344.2570000000001</v>
      </c>
      <c r="L21" s="19" t="s">
        <v>54</v>
      </c>
      <c r="M21" s="27"/>
      <c r="N21" s="28"/>
      <c r="O21" s="29">
        <f>+O20</f>
        <v>3161.6693999999998</v>
      </c>
      <c r="Q21" s="19" t="s">
        <v>54</v>
      </c>
      <c r="R21" s="27"/>
      <c r="S21" s="28"/>
      <c r="T21" s="29">
        <f>+T20</f>
        <v>4236.2029999999995</v>
      </c>
      <c r="V21" s="19" t="s">
        <v>54</v>
      </c>
      <c r="W21" s="27"/>
      <c r="X21" s="28"/>
      <c r="Y21" s="29">
        <f>+Y20</f>
        <v>3819.5396649999998</v>
      </c>
      <c r="AA21" s="19" t="s">
        <v>54</v>
      </c>
      <c r="AB21" s="27"/>
      <c r="AC21" s="28"/>
      <c r="AD21" s="29">
        <f>+AD20</f>
        <v>2405.91</v>
      </c>
      <c r="AE21" s="30"/>
      <c r="AF21" s="19" t="s">
        <v>54</v>
      </c>
      <c r="AG21" s="27"/>
      <c r="AH21" s="28"/>
      <c r="AI21" s="29">
        <f>+AI20</f>
        <v>4336.3516650000001</v>
      </c>
      <c r="AJ21" s="30"/>
      <c r="AK21" s="30"/>
      <c r="AL21" s="30"/>
      <c r="AM21" s="30"/>
      <c r="AN21" s="30"/>
      <c r="AO21" s="30"/>
      <c r="AP21" s="30"/>
      <c r="AQ21" s="30"/>
    </row>
    <row r="22" spans="1:43" ht="15.75" customHeight="1" x14ac:dyDescent="0.2">
      <c r="A22" s="26"/>
      <c r="B22" s="19" t="s">
        <v>55</v>
      </c>
      <c r="C22" s="27"/>
      <c r="D22" s="31">
        <v>0.3</v>
      </c>
      <c r="E22" s="29"/>
      <c r="G22" s="19" t="s">
        <v>55</v>
      </c>
      <c r="H22" s="27"/>
      <c r="I22" s="31">
        <v>0.3</v>
      </c>
      <c r="J22" s="29"/>
      <c r="L22" s="19" t="s">
        <v>55</v>
      </c>
      <c r="M22" s="27"/>
      <c r="N22" s="31">
        <v>0.3</v>
      </c>
      <c r="O22" s="29"/>
      <c r="Q22" s="19" t="s">
        <v>55</v>
      </c>
      <c r="R22" s="27"/>
      <c r="S22" s="31">
        <v>0.3</v>
      </c>
      <c r="T22" s="29"/>
      <c r="V22" s="19" t="s">
        <v>55</v>
      </c>
      <c r="W22" s="27"/>
      <c r="X22" s="31">
        <v>0.3</v>
      </c>
      <c r="Y22" s="29"/>
      <c r="AA22" s="19" t="s">
        <v>55</v>
      </c>
      <c r="AB22" s="27"/>
      <c r="AC22" s="31">
        <v>0.3</v>
      </c>
      <c r="AD22" s="29"/>
      <c r="AE22" s="30"/>
      <c r="AF22" s="19" t="s">
        <v>55</v>
      </c>
      <c r="AG22" s="27"/>
      <c r="AH22" s="31">
        <v>0.3</v>
      </c>
      <c r="AI22" s="29"/>
      <c r="AJ22" s="30"/>
      <c r="AK22" s="30"/>
      <c r="AL22" s="30"/>
      <c r="AM22" s="30"/>
      <c r="AN22" s="30"/>
      <c r="AO22" s="30"/>
      <c r="AP22" s="30"/>
      <c r="AQ22" s="30"/>
    </row>
    <row r="23" spans="1:43" ht="15.75" customHeight="1" x14ac:dyDescent="0.2">
      <c r="A23" s="26"/>
      <c r="B23" s="19" t="s">
        <v>56</v>
      </c>
      <c r="C23" s="27"/>
      <c r="D23" s="31"/>
      <c r="E23" s="29">
        <f>+E21*3.33333333333333</f>
        <v>11307.553155555543</v>
      </c>
      <c r="G23" s="19" t="s">
        <v>56</v>
      </c>
      <c r="H23" s="27"/>
      <c r="I23" s="31"/>
      <c r="J23" s="29">
        <f>+J21*3.33333333333333</f>
        <v>7814.1899999999923</v>
      </c>
      <c r="L23" s="19" t="s">
        <v>56</v>
      </c>
      <c r="M23" s="27"/>
      <c r="N23" s="31"/>
      <c r="O23" s="29">
        <f>+O21*3.33333333333333</f>
        <v>10538.897999999988</v>
      </c>
      <c r="Q23" s="19" t="s">
        <v>56</v>
      </c>
      <c r="R23" s="27"/>
      <c r="S23" s="31"/>
      <c r="T23" s="29">
        <f>+T21*3.33333333333333</f>
        <v>14120.67666666665</v>
      </c>
      <c r="V23" s="19" t="s">
        <v>56</v>
      </c>
      <c r="W23" s="27"/>
      <c r="X23" s="31"/>
      <c r="Y23" s="29">
        <f>+Y21*3.33333333333333</f>
        <v>12731.79888333332</v>
      </c>
      <c r="AA23" s="19" t="s">
        <v>56</v>
      </c>
      <c r="AB23" s="27"/>
      <c r="AC23" s="31"/>
      <c r="AD23" s="29">
        <f>+AD21*3.33333333333333</f>
        <v>8019.6999999999916</v>
      </c>
      <c r="AE23" s="30"/>
      <c r="AF23" s="19" t="s">
        <v>56</v>
      </c>
      <c r="AG23" s="27"/>
      <c r="AH23" s="31"/>
      <c r="AI23" s="29">
        <f>+AI21*3.33333333333333</f>
        <v>14454.505549999985</v>
      </c>
      <c r="AJ23" s="30"/>
      <c r="AK23" s="30"/>
      <c r="AL23" s="30"/>
      <c r="AM23" s="30"/>
      <c r="AN23" s="30"/>
      <c r="AO23" s="30"/>
      <c r="AP23" s="30"/>
      <c r="AQ23" s="30"/>
    </row>
    <row r="24" spans="1:43" ht="15.75" customHeight="1" x14ac:dyDescent="0.2">
      <c r="A24" s="26"/>
      <c r="B24" s="19" t="s">
        <v>57</v>
      </c>
      <c r="C24" s="27"/>
      <c r="D24" s="27"/>
      <c r="E24" s="29">
        <v>15000</v>
      </c>
      <c r="G24" s="19" t="s">
        <v>57</v>
      </c>
      <c r="H24" s="27"/>
      <c r="I24" s="27"/>
      <c r="J24" s="29">
        <v>15000</v>
      </c>
      <c r="L24" s="19" t="s">
        <v>57</v>
      </c>
      <c r="M24" s="27"/>
      <c r="N24" s="27"/>
      <c r="O24" s="29">
        <v>17000</v>
      </c>
      <c r="Q24" s="19" t="s">
        <v>57</v>
      </c>
      <c r="R24" s="27"/>
      <c r="S24" s="27"/>
      <c r="T24" s="29">
        <v>17500</v>
      </c>
      <c r="V24" s="19" t="s">
        <v>57</v>
      </c>
      <c r="W24" s="27"/>
      <c r="X24" s="27"/>
      <c r="Y24" s="29">
        <v>19000</v>
      </c>
      <c r="AA24" s="19" t="s">
        <v>57</v>
      </c>
      <c r="AB24" s="27"/>
      <c r="AC24" s="27"/>
      <c r="AD24" s="29">
        <v>14000</v>
      </c>
      <c r="AE24" s="30"/>
      <c r="AF24" s="19" t="s">
        <v>57</v>
      </c>
      <c r="AG24" s="27"/>
      <c r="AH24" s="27">
        <v>15000</v>
      </c>
      <c r="AI24" s="29">
        <v>17000</v>
      </c>
      <c r="AJ24" s="30"/>
      <c r="AK24" s="30"/>
      <c r="AL24" s="30"/>
      <c r="AM24" s="30"/>
      <c r="AN24" s="30"/>
      <c r="AO24" s="30"/>
      <c r="AP24" s="30"/>
      <c r="AQ24" s="30"/>
    </row>
    <row r="25" spans="1:43" ht="15.75" customHeight="1" x14ac:dyDescent="0.2">
      <c r="A25" s="26"/>
      <c r="B25" s="19"/>
      <c r="C25" s="27"/>
      <c r="D25" s="28"/>
      <c r="E25" s="24">
        <f>+E24-E23</f>
        <v>3692.4468444444574</v>
      </c>
      <c r="G25" s="19"/>
      <c r="H25" s="27"/>
      <c r="I25" s="28"/>
      <c r="J25" s="24">
        <f>+J24-J23</f>
        <v>7185.8100000000077</v>
      </c>
      <c r="L25" s="19"/>
      <c r="M25" s="27"/>
      <c r="N25" s="28"/>
      <c r="O25" s="24">
        <f>+O24-O23</f>
        <v>6461.1020000000117</v>
      </c>
      <c r="Q25" s="19"/>
      <c r="R25" s="27"/>
      <c r="S25" s="28"/>
      <c r="T25" s="24">
        <f>+T24-T23</f>
        <v>3379.3233333333501</v>
      </c>
      <c r="V25" s="19"/>
      <c r="W25" s="27"/>
      <c r="X25" s="28"/>
      <c r="Y25" s="24">
        <f>+Y24-Y23</f>
        <v>6268.2011166666798</v>
      </c>
      <c r="AA25" s="19"/>
      <c r="AB25" s="27"/>
      <c r="AC25" s="28"/>
      <c r="AD25" s="24">
        <f>+AD24-AD23</f>
        <v>5980.3000000000084</v>
      </c>
      <c r="AE25" s="25"/>
      <c r="AF25" s="19"/>
      <c r="AG25" s="27"/>
      <c r="AH25" s="28"/>
      <c r="AI25" s="24">
        <f>+AI24-AI23</f>
        <v>2545.4944500000147</v>
      </c>
      <c r="AJ25" s="25"/>
      <c r="AK25" s="25"/>
      <c r="AL25" s="25"/>
      <c r="AM25" s="25"/>
      <c r="AN25" s="25"/>
      <c r="AO25" s="25"/>
      <c r="AP25" s="25"/>
      <c r="AQ25" s="25"/>
    </row>
    <row r="26" spans="1:43" ht="15.75" customHeight="1" x14ac:dyDescent="0.2">
      <c r="B26" s="32" t="s">
        <v>58</v>
      </c>
      <c r="C26" s="33"/>
      <c r="D26" s="33"/>
      <c r="E26" s="34">
        <f>E21/E24</f>
        <v>0.22615106311111111</v>
      </c>
      <c r="G26" s="32" t="s">
        <v>58</v>
      </c>
      <c r="H26" s="33"/>
      <c r="I26" s="33"/>
      <c r="J26" s="34">
        <f>J21/J24</f>
        <v>0.1562838</v>
      </c>
      <c r="L26" s="32" t="s">
        <v>58</v>
      </c>
      <c r="M26" s="33"/>
      <c r="N26" s="33"/>
      <c r="O26" s="34">
        <f>O21/O24</f>
        <v>0.18598055294117646</v>
      </c>
      <c r="Q26" s="32" t="s">
        <v>58</v>
      </c>
      <c r="R26" s="33"/>
      <c r="S26" s="33"/>
      <c r="T26" s="34">
        <f>T21/T24</f>
        <v>0.24206874285714283</v>
      </c>
      <c r="V26" s="32" t="s">
        <v>58</v>
      </c>
      <c r="W26" s="33"/>
      <c r="X26" s="33"/>
      <c r="Y26" s="34">
        <f>Y21/Y24</f>
        <v>0.20102840342105263</v>
      </c>
      <c r="AA26" s="32" t="s">
        <v>58</v>
      </c>
      <c r="AB26" s="33"/>
      <c r="AC26" s="33"/>
      <c r="AD26" s="34">
        <f>AD21/AD24</f>
        <v>0.17185071428571427</v>
      </c>
      <c r="AE26" s="35"/>
      <c r="AF26" s="32" t="s">
        <v>58</v>
      </c>
      <c r="AG26" s="33"/>
      <c r="AH26" s="33"/>
      <c r="AI26" s="34">
        <f>AI21/AI24</f>
        <v>0.25507950970588233</v>
      </c>
      <c r="AJ26" s="35"/>
      <c r="AK26" s="35"/>
      <c r="AL26" s="35"/>
      <c r="AM26" s="35"/>
      <c r="AN26" s="35"/>
      <c r="AO26" s="35"/>
      <c r="AP26" s="35"/>
      <c r="AQ26" s="35"/>
    </row>
    <row r="27" spans="1:43" ht="15.75" customHeight="1" x14ac:dyDescent="0.15">
      <c r="AE27" s="3"/>
      <c r="AF27" s="3"/>
      <c r="AG27" s="3"/>
      <c r="AH27" s="3"/>
      <c r="AI27" s="3"/>
      <c r="AJ27" s="3"/>
      <c r="AK27" s="3"/>
      <c r="AL27" s="3"/>
      <c r="AM27" s="3"/>
      <c r="AN27" s="3"/>
      <c r="AO27" s="3"/>
      <c r="AP27" s="3"/>
      <c r="AQ27" s="3"/>
    </row>
    <row r="28" spans="1:43" ht="15.75" customHeight="1" x14ac:dyDescent="0.15">
      <c r="AE28" s="3"/>
      <c r="AF28" s="3"/>
      <c r="AG28" s="3"/>
      <c r="AH28" s="3"/>
      <c r="AI28" s="3"/>
      <c r="AJ28" s="3"/>
      <c r="AK28" s="3"/>
      <c r="AL28" s="3"/>
      <c r="AM28" s="3"/>
      <c r="AN28" s="3"/>
      <c r="AO28" s="3"/>
      <c r="AP28" s="3"/>
      <c r="AQ28" s="3"/>
    </row>
    <row r="29" spans="1:43" ht="15.75" customHeight="1" x14ac:dyDescent="0.15">
      <c r="B29" s="215" t="s">
        <v>59</v>
      </c>
      <c r="C29" s="213"/>
      <c r="D29" s="213"/>
      <c r="E29" s="214"/>
      <c r="G29" s="215" t="s">
        <v>60</v>
      </c>
      <c r="H29" s="213"/>
      <c r="I29" s="213"/>
      <c r="J29" s="214"/>
      <c r="L29" s="215" t="s">
        <v>61</v>
      </c>
      <c r="M29" s="213"/>
      <c r="N29" s="213"/>
      <c r="O29" s="214"/>
      <c r="Q29" s="212" t="s">
        <v>62</v>
      </c>
      <c r="R29" s="213"/>
      <c r="S29" s="213"/>
      <c r="T29" s="214"/>
      <c r="V29" s="212" t="s">
        <v>63</v>
      </c>
      <c r="W29" s="213"/>
      <c r="X29" s="213"/>
      <c r="Y29" s="214"/>
      <c r="AA29" s="215" t="s">
        <v>64</v>
      </c>
      <c r="AB29" s="213"/>
      <c r="AC29" s="213"/>
      <c r="AD29" s="214"/>
      <c r="AE29" s="4"/>
      <c r="AF29" s="212" t="s">
        <v>65</v>
      </c>
      <c r="AG29" s="213"/>
      <c r="AH29" s="213"/>
      <c r="AI29" s="214"/>
      <c r="AJ29" s="4"/>
      <c r="AK29" s="4"/>
      <c r="AL29" s="4"/>
      <c r="AM29" s="4"/>
      <c r="AN29" s="4"/>
      <c r="AO29" s="4"/>
      <c r="AP29" s="4"/>
      <c r="AQ29" s="4"/>
    </row>
    <row r="30" spans="1:43" ht="15.75" customHeight="1" x14ac:dyDescent="0.2">
      <c r="B30" s="5"/>
      <c r="C30" s="6" t="s">
        <v>8</v>
      </c>
      <c r="D30" s="7" t="s">
        <v>9</v>
      </c>
      <c r="E30" s="8" t="s">
        <v>10</v>
      </c>
      <c r="G30" s="5"/>
      <c r="H30" s="6" t="s">
        <v>8</v>
      </c>
      <c r="I30" s="7" t="s">
        <v>9</v>
      </c>
      <c r="J30" s="8" t="s">
        <v>10</v>
      </c>
      <c r="L30" s="5"/>
      <c r="M30" s="6" t="s">
        <v>8</v>
      </c>
      <c r="N30" s="7" t="s">
        <v>9</v>
      </c>
      <c r="O30" s="8" t="s">
        <v>10</v>
      </c>
      <c r="Q30" s="5"/>
      <c r="R30" s="6" t="s">
        <v>8</v>
      </c>
      <c r="S30" s="7" t="s">
        <v>9</v>
      </c>
      <c r="T30" s="8" t="s">
        <v>10</v>
      </c>
      <c r="V30" s="5"/>
      <c r="W30" s="6" t="s">
        <v>8</v>
      </c>
      <c r="X30" s="7" t="s">
        <v>9</v>
      </c>
      <c r="Y30" s="8" t="s">
        <v>10</v>
      </c>
      <c r="AA30" s="5"/>
      <c r="AB30" s="6" t="s">
        <v>8</v>
      </c>
      <c r="AC30" s="7" t="s">
        <v>9</v>
      </c>
      <c r="AD30" s="8" t="s">
        <v>10</v>
      </c>
      <c r="AE30" s="9"/>
      <c r="AF30" s="7"/>
      <c r="AG30" s="6" t="s">
        <v>8</v>
      </c>
      <c r="AH30" s="7" t="s">
        <v>9</v>
      </c>
      <c r="AI30" s="8" t="s">
        <v>10</v>
      </c>
      <c r="AJ30" s="9"/>
      <c r="AK30" s="9"/>
      <c r="AL30" s="9"/>
      <c r="AM30" s="9"/>
      <c r="AN30" s="9"/>
      <c r="AO30" s="9"/>
      <c r="AP30" s="9"/>
      <c r="AQ30" s="9"/>
    </row>
    <row r="31" spans="1:43" ht="15.75" customHeight="1" x14ac:dyDescent="0.2">
      <c r="B31" s="13" t="s">
        <v>66</v>
      </c>
      <c r="C31" s="10">
        <v>1</v>
      </c>
      <c r="D31" s="11">
        <f>+VLOOKUP(B31,'PRECIO PROVEEDORES'!$A$2:$B$716,2,0)</f>
        <v>1252.8</v>
      </c>
      <c r="E31" s="12">
        <f t="shared" ref="E31:E36" si="7">+C31*D31</f>
        <v>1252.8</v>
      </c>
      <c r="G31" s="13" t="s">
        <v>66</v>
      </c>
      <c r="H31" s="10">
        <v>1</v>
      </c>
      <c r="I31" s="11">
        <f>+VLOOKUP(G31,'PRECIO PROVEEDORES'!$A$2:$B$716,2,0)</f>
        <v>1252.8</v>
      </c>
      <c r="J31" s="12">
        <f t="shared" ref="J31:J37" si="8">+H31*I31</f>
        <v>1252.8</v>
      </c>
      <c r="L31" s="13" t="s">
        <v>67</v>
      </c>
      <c r="M31" s="10">
        <v>0.18</v>
      </c>
      <c r="N31" s="11">
        <f>+VLOOKUP(L31,'PRECIO PROVEEDORES'!$A$2:$B$716,2,0)</f>
        <v>8843.4185185185197</v>
      </c>
      <c r="O31" s="12">
        <f t="shared" ref="O31:O35" si="9">+M31*N31</f>
        <v>1591.8153333333335</v>
      </c>
      <c r="Q31" s="13" t="s">
        <v>68</v>
      </c>
      <c r="R31" s="10">
        <v>0.15</v>
      </c>
      <c r="S31" s="11">
        <f>+VLOOKUP(Q31,'PRECIO PROVEEDORES'!$A$2:$B$716,2,0)</f>
        <v>17289</v>
      </c>
      <c r="T31" s="12">
        <f t="shared" ref="T31:T36" si="10">+R31*S31</f>
        <v>2593.35</v>
      </c>
      <c r="V31" s="13" t="s">
        <v>69</v>
      </c>
      <c r="W31" s="10">
        <v>1</v>
      </c>
      <c r="X31" s="11">
        <f>+VLOOKUP(V31,'PRECIO PROVEEDORES'!$A$2:$B$716,2,0)</f>
        <v>168.45510000000002</v>
      </c>
      <c r="Y31" s="12">
        <f t="shared" ref="Y31:Y37" si="11">+W31*X31</f>
        <v>168.45510000000002</v>
      </c>
      <c r="AA31" s="13" t="s">
        <v>70</v>
      </c>
      <c r="AB31" s="10">
        <v>1</v>
      </c>
      <c r="AC31" s="11">
        <f>+VLOOKUP(AA31,'PRECIO PROVEEDORES'!$A$2:$B$716,2,0)</f>
        <v>675</v>
      </c>
      <c r="AD31" s="12">
        <f t="shared" ref="AD31:AD33" si="12">+AB31*AC31</f>
        <v>675</v>
      </c>
      <c r="AE31" s="15"/>
      <c r="AF31" s="7" t="s">
        <v>71</v>
      </c>
      <c r="AG31" s="36">
        <v>1</v>
      </c>
      <c r="AH31" s="11">
        <f>+VLOOKUP(AF31,'PRECIO PROVEEDORES'!$A$2:$B$716,2,0)</f>
        <v>8843.4185185185197</v>
      </c>
      <c r="AI31" s="12">
        <f>+AG31*AH31</f>
        <v>8843.4185185185197</v>
      </c>
      <c r="AJ31" s="15"/>
      <c r="AK31" s="15"/>
      <c r="AL31" s="15"/>
      <c r="AM31" s="15"/>
      <c r="AN31" s="15"/>
      <c r="AO31" s="15"/>
      <c r="AP31" s="15"/>
      <c r="AQ31" s="15"/>
    </row>
    <row r="32" spans="1:43" ht="15.75" customHeight="1" x14ac:dyDescent="0.2">
      <c r="B32" s="7" t="s">
        <v>29</v>
      </c>
      <c r="C32" s="10">
        <v>0.03</v>
      </c>
      <c r="D32" s="11">
        <f>+VLOOKUP(B32,'PRECIO PROVEEDORES'!$A$2:$B$716,2,0)</f>
        <v>9900</v>
      </c>
      <c r="E32" s="12">
        <f t="shared" si="7"/>
        <v>297</v>
      </c>
      <c r="G32" s="13" t="s">
        <v>26</v>
      </c>
      <c r="H32" s="10">
        <v>0.05</v>
      </c>
      <c r="I32" s="11">
        <f>+VLOOKUP(G32,'PRECIO PROVEEDORES'!$A$2:$B$716,2,0)</f>
        <v>6000</v>
      </c>
      <c r="J32" s="12">
        <f t="shared" si="8"/>
        <v>300</v>
      </c>
      <c r="L32" s="7" t="s">
        <v>21</v>
      </c>
      <c r="M32" s="10">
        <v>0.06</v>
      </c>
      <c r="N32" s="11">
        <f>+VLOOKUP(L32,'PRECIO PROVEEDORES'!$A$2:$B$716,2,0)</f>
        <v>11881</v>
      </c>
      <c r="O32" s="12">
        <f t="shared" si="9"/>
        <v>712.86</v>
      </c>
      <c r="Q32" s="13" t="s">
        <v>72</v>
      </c>
      <c r="R32" s="10">
        <v>1</v>
      </c>
      <c r="S32" s="11">
        <f>+VLOOKUP(Q32,'PRECIO PROVEEDORES'!$A$2:$B$716,2,0)</f>
        <v>531</v>
      </c>
      <c r="T32" s="12">
        <f t="shared" si="10"/>
        <v>531</v>
      </c>
      <c r="V32" s="7" t="s">
        <v>29</v>
      </c>
      <c r="W32" s="10">
        <v>0.04</v>
      </c>
      <c r="X32" s="11">
        <f>+VLOOKUP(V32,'PRECIO PROVEEDORES'!$A$2:$B$716,2,0)</f>
        <v>9900</v>
      </c>
      <c r="Y32" s="12">
        <f t="shared" si="11"/>
        <v>396</v>
      </c>
      <c r="AA32" s="7" t="s">
        <v>73</v>
      </c>
      <c r="AB32" s="10">
        <v>0.05</v>
      </c>
      <c r="AC32" s="11">
        <f>+VLOOKUP(AA32,'PRECIO PROVEEDORES'!$A$2:$B$716,2,0)</f>
        <v>16343</v>
      </c>
      <c r="AD32" s="12">
        <f t="shared" si="12"/>
        <v>817.15000000000009</v>
      </c>
      <c r="AE32" s="37"/>
      <c r="AF32" s="13"/>
      <c r="AG32" s="36"/>
      <c r="AH32" s="11"/>
      <c r="AI32" s="12"/>
      <c r="AJ32" s="15"/>
      <c r="AK32" s="15"/>
      <c r="AL32" s="15"/>
      <c r="AM32" s="15"/>
      <c r="AN32" s="15"/>
      <c r="AO32" s="15"/>
      <c r="AP32" s="15"/>
      <c r="AQ32" s="15"/>
    </row>
    <row r="33" spans="2:43" ht="15.75" customHeight="1" x14ac:dyDescent="0.2">
      <c r="B33" s="14" t="s">
        <v>30</v>
      </c>
      <c r="C33" s="10">
        <v>0.04</v>
      </c>
      <c r="D33" s="11">
        <f>+VLOOKUP(B33,'PRECIO PROVEEDORES'!$A$2:$B$716,2,0)</f>
        <v>26000</v>
      </c>
      <c r="E33" s="12">
        <f t="shared" si="7"/>
        <v>1040</v>
      </c>
      <c r="G33" s="13" t="s">
        <v>31</v>
      </c>
      <c r="H33" s="10">
        <v>0.08</v>
      </c>
      <c r="I33" s="11">
        <f>+VLOOKUP(G33,'PRECIO PROVEEDORES'!$A$2:$B$716,2,0)</f>
        <v>9316</v>
      </c>
      <c r="J33" s="12">
        <f t="shared" si="8"/>
        <v>745.28</v>
      </c>
      <c r="L33" s="7" t="s">
        <v>28</v>
      </c>
      <c r="M33" s="10">
        <v>0.09</v>
      </c>
      <c r="N33" s="11">
        <f>+VLOOKUP(L33,'PRECIO PROVEEDORES'!$A$2:$B$716,2,0)</f>
        <v>10697</v>
      </c>
      <c r="O33" s="12">
        <f t="shared" si="9"/>
        <v>962.73</v>
      </c>
      <c r="Q33" s="13" t="s">
        <v>74</v>
      </c>
      <c r="R33" s="10">
        <v>0.03</v>
      </c>
      <c r="S33" s="11">
        <f>+VLOOKUP(Q33,'PRECIO PROVEEDORES'!$A$2:$B$716,2,0)</f>
        <v>4800</v>
      </c>
      <c r="T33" s="12">
        <f t="shared" si="10"/>
        <v>144</v>
      </c>
      <c r="V33" s="7" t="s">
        <v>37</v>
      </c>
      <c r="W33" s="10">
        <v>0.02</v>
      </c>
      <c r="X33" s="11">
        <f>+VLOOKUP(V33,'PRECIO PROVEEDORES'!$A$2:$B$716,2,0)</f>
        <v>17587.349999999999</v>
      </c>
      <c r="Y33" s="12">
        <f t="shared" si="11"/>
        <v>351.74699999999996</v>
      </c>
      <c r="AA33" s="7" t="s">
        <v>75</v>
      </c>
      <c r="AB33" s="10">
        <v>0.06</v>
      </c>
      <c r="AC33" s="11">
        <f>+VLOOKUP(AA33,'PRECIO PROVEEDORES'!$A$2:$B$716,2,0)</f>
        <v>15813</v>
      </c>
      <c r="AD33" s="12">
        <f t="shared" si="12"/>
        <v>948.78</v>
      </c>
      <c r="AE33" s="37"/>
      <c r="AF33" s="13"/>
      <c r="AG33" s="36"/>
      <c r="AH33" s="11"/>
      <c r="AI33" s="12"/>
      <c r="AJ33" s="15"/>
      <c r="AK33" s="15"/>
      <c r="AL33" s="15"/>
      <c r="AM33" s="15"/>
      <c r="AN33" s="15"/>
      <c r="AO33" s="15"/>
      <c r="AP33" s="15"/>
      <c r="AQ33" s="15"/>
    </row>
    <row r="34" spans="2:43" ht="15.75" customHeight="1" x14ac:dyDescent="0.2">
      <c r="B34" s="14" t="s">
        <v>76</v>
      </c>
      <c r="C34" s="10">
        <v>1.4999999999999999E-2</v>
      </c>
      <c r="D34" s="11">
        <f>+VLOOKUP(B34,'PRECIO PROVEEDORES'!$A$2:$B$716,2,0)</f>
        <v>16260</v>
      </c>
      <c r="E34" s="12">
        <f t="shared" si="7"/>
        <v>243.89999999999998</v>
      </c>
      <c r="G34" s="38" t="s">
        <v>77</v>
      </c>
      <c r="H34" s="10">
        <v>7.0000000000000001E-3</v>
      </c>
      <c r="I34" s="11">
        <f>+VLOOKUP(G34,'PRECIO PROVEEDORES'!$A$2:$B$716,2,0)</f>
        <v>24435.611199999999</v>
      </c>
      <c r="J34" s="12">
        <f t="shared" si="8"/>
        <v>171.04927839999999</v>
      </c>
      <c r="L34" s="7" t="s">
        <v>78</v>
      </c>
      <c r="M34" s="10">
        <v>2.5000000000000001E-2</v>
      </c>
      <c r="N34" s="11">
        <f>+VLOOKUP(L34,'PRECIO PROVEEDORES'!$A$2:$B$716,2,0)</f>
        <v>37116.004999999997</v>
      </c>
      <c r="O34" s="12">
        <f t="shared" si="9"/>
        <v>927.900125</v>
      </c>
      <c r="Q34" s="13" t="s">
        <v>79</v>
      </c>
      <c r="R34" s="10">
        <v>0.01</v>
      </c>
      <c r="S34" s="11">
        <f>+VLOOKUP(Q34,'PRECIO PROVEEDORES'!$A$2:$B$716,2,0)</f>
        <v>2381.6560509554142</v>
      </c>
      <c r="T34" s="12">
        <f t="shared" si="10"/>
        <v>23.816560509554144</v>
      </c>
      <c r="V34" s="13" t="s">
        <v>80</v>
      </c>
      <c r="W34" s="10">
        <v>0.08</v>
      </c>
      <c r="X34" s="11">
        <f>+VLOOKUP(V34,'PRECIO PROVEEDORES'!$A$2:$B$716,2,0)</f>
        <v>20535</v>
      </c>
      <c r="Y34" s="12">
        <f t="shared" si="11"/>
        <v>1642.8</v>
      </c>
      <c r="AA34" s="5"/>
      <c r="AB34" s="7"/>
      <c r="AC34" s="11"/>
      <c r="AD34" s="12"/>
      <c r="AE34" s="37"/>
      <c r="AF34" s="13"/>
      <c r="AG34" s="36"/>
      <c r="AH34" s="11"/>
      <c r="AI34" s="12"/>
      <c r="AJ34" s="15"/>
      <c r="AK34" s="15"/>
      <c r="AL34" s="15"/>
      <c r="AM34" s="15"/>
      <c r="AN34" s="15"/>
      <c r="AO34" s="15"/>
      <c r="AP34" s="15"/>
      <c r="AQ34" s="15"/>
    </row>
    <row r="35" spans="2:43" ht="15.75" customHeight="1" x14ac:dyDescent="0.2">
      <c r="B35" s="14" t="s">
        <v>80</v>
      </c>
      <c r="C35" s="10">
        <v>0.04</v>
      </c>
      <c r="D35" s="11">
        <f>+VLOOKUP(B35,'PRECIO PROVEEDORES'!$A$2:$B$716,2,0)</f>
        <v>20535</v>
      </c>
      <c r="E35" s="12">
        <f t="shared" si="7"/>
        <v>821.4</v>
      </c>
      <c r="G35" s="38" t="s">
        <v>81</v>
      </c>
      <c r="H35" s="10">
        <v>3.0000000000000001E-3</v>
      </c>
      <c r="I35" s="11">
        <f>+VLOOKUP(G35,'PRECIO PROVEEDORES'!$A$2:$B$716,2,0)</f>
        <v>10601.56</v>
      </c>
      <c r="J35" s="12">
        <f t="shared" si="8"/>
        <v>31.804679999999998</v>
      </c>
      <c r="L35" s="7" t="s">
        <v>33</v>
      </c>
      <c r="M35" s="10">
        <v>0.01</v>
      </c>
      <c r="N35" s="11">
        <f>+VLOOKUP(L35,'PRECIO PROVEEDORES'!$A$2:$B$716,2,0)</f>
        <v>0</v>
      </c>
      <c r="O35" s="12">
        <f t="shared" si="9"/>
        <v>0</v>
      </c>
      <c r="Q35" s="13" t="s">
        <v>48</v>
      </c>
      <c r="R35" s="10">
        <v>0.15</v>
      </c>
      <c r="S35" s="11">
        <f>+VLOOKUP(Q35,'PRECIO PROVEEDORES'!$A$2:$B$716,2,0)</f>
        <v>1685.0214999999996</v>
      </c>
      <c r="T35" s="12">
        <f t="shared" si="10"/>
        <v>252.75322499999993</v>
      </c>
      <c r="V35" s="13" t="s">
        <v>82</v>
      </c>
      <c r="W35" s="10">
        <v>0.03</v>
      </c>
      <c r="X35" s="11">
        <f>+VLOOKUP(V35,'PRECIO PROVEEDORES'!$A$2:$B$716,2,0)</f>
        <v>4622.4708520179374</v>
      </c>
      <c r="Y35" s="12">
        <f t="shared" si="11"/>
        <v>138.67412556053813</v>
      </c>
      <c r="AA35" s="5"/>
      <c r="AB35" s="7"/>
      <c r="AC35" s="11"/>
      <c r="AD35" s="12"/>
      <c r="AE35" s="37"/>
      <c r="AF35" s="38"/>
      <c r="AG35" s="36"/>
      <c r="AH35" s="11"/>
      <c r="AI35" s="12"/>
      <c r="AJ35" s="15"/>
      <c r="AK35" s="15"/>
      <c r="AL35" s="15"/>
      <c r="AM35" s="15"/>
      <c r="AN35" s="15"/>
      <c r="AO35" s="15"/>
      <c r="AP35" s="15"/>
      <c r="AQ35" s="15"/>
    </row>
    <row r="36" spans="2:43" ht="15.75" customHeight="1" x14ac:dyDescent="0.2">
      <c r="B36" s="14" t="s">
        <v>34</v>
      </c>
      <c r="C36" s="10">
        <v>0.01</v>
      </c>
      <c r="D36" s="11">
        <f>+VLOOKUP(B36,'PRECIO PROVEEDORES'!$A$2:$B$716,2,0)</f>
        <v>5917</v>
      </c>
      <c r="E36" s="12">
        <f t="shared" si="7"/>
        <v>59.17</v>
      </c>
      <c r="G36" s="13" t="s">
        <v>83</v>
      </c>
      <c r="H36" s="10">
        <v>3.0000000000000001E-3</v>
      </c>
      <c r="I36" s="11">
        <f>+VLOOKUP(G36,'PRECIO PROVEEDORES'!$A$2:$B$716,2,0)</f>
        <v>5952.89</v>
      </c>
      <c r="J36" s="12">
        <f t="shared" si="8"/>
        <v>17.85867</v>
      </c>
      <c r="L36" s="5"/>
      <c r="M36" s="7"/>
      <c r="N36" s="11"/>
      <c r="O36" s="12"/>
      <c r="Q36" s="20" t="s">
        <v>50</v>
      </c>
      <c r="R36" s="7">
        <v>0.04</v>
      </c>
      <c r="S36" s="11">
        <f>+VLOOKUP(Q36,'PRECIO PROVEEDORES'!$A$2:$B$716,2,0)</f>
        <v>3891.9110000000001</v>
      </c>
      <c r="T36" s="12">
        <f t="shared" si="10"/>
        <v>155.67644000000001</v>
      </c>
      <c r="V36" s="13" t="s">
        <v>48</v>
      </c>
      <c r="W36" s="10">
        <v>0.15</v>
      </c>
      <c r="X36" s="11">
        <f>+VLOOKUP(V36,'PRECIO PROVEEDORES'!$A$2:$B$716,2,0)</f>
        <v>1685.0214999999996</v>
      </c>
      <c r="Y36" s="12">
        <f t="shared" si="11"/>
        <v>252.75322499999993</v>
      </c>
      <c r="AA36" s="5"/>
      <c r="AB36" s="7"/>
      <c r="AC36" s="11"/>
      <c r="AD36" s="12"/>
      <c r="AE36" s="37"/>
      <c r="AF36" s="13"/>
      <c r="AG36" s="36"/>
      <c r="AH36" s="11"/>
      <c r="AI36" s="12"/>
      <c r="AJ36" s="15"/>
      <c r="AK36" s="15"/>
      <c r="AL36" s="15"/>
      <c r="AM36" s="15"/>
      <c r="AN36" s="15"/>
      <c r="AO36" s="15"/>
      <c r="AP36" s="15"/>
      <c r="AQ36" s="15"/>
    </row>
    <row r="37" spans="2:43" ht="15.75" customHeight="1" x14ac:dyDescent="0.2">
      <c r="B37" s="5"/>
      <c r="C37" s="7"/>
      <c r="D37" s="11"/>
      <c r="E37" s="12"/>
      <c r="G37" s="13" t="s">
        <v>84</v>
      </c>
      <c r="H37" s="10">
        <v>1E-3</v>
      </c>
      <c r="I37" s="11">
        <f>+VLOOKUP(G37,'PRECIO PROVEEDORES'!$A$2:$B$716,2,0)</f>
        <v>5033.6000000000004</v>
      </c>
      <c r="J37" s="12">
        <f t="shared" si="8"/>
        <v>5.0336000000000007</v>
      </c>
      <c r="L37" s="5"/>
      <c r="M37" s="7"/>
      <c r="N37" s="11"/>
      <c r="O37" s="12"/>
      <c r="Q37" s="5"/>
      <c r="R37" s="7"/>
      <c r="S37" s="11"/>
      <c r="T37" s="12"/>
      <c r="V37" s="20" t="s">
        <v>50</v>
      </c>
      <c r="W37" s="7">
        <v>0.04</v>
      </c>
      <c r="X37" s="11">
        <f>+VLOOKUP(V37,'PRECIO PROVEEDORES'!$A$2:$B$716,2,0)</f>
        <v>3891.9110000000001</v>
      </c>
      <c r="Y37" s="12">
        <f t="shared" si="11"/>
        <v>155.67644000000001</v>
      </c>
      <c r="AA37" s="5"/>
      <c r="AB37" s="7"/>
      <c r="AC37" s="11"/>
      <c r="AD37" s="12"/>
      <c r="AE37" s="37"/>
      <c r="AF37" s="13"/>
      <c r="AG37" s="36"/>
      <c r="AH37" s="11"/>
      <c r="AI37" s="12"/>
      <c r="AJ37" s="15"/>
      <c r="AK37" s="15"/>
      <c r="AL37" s="15"/>
      <c r="AM37" s="15"/>
      <c r="AN37" s="15"/>
      <c r="AO37" s="15"/>
      <c r="AP37" s="15"/>
      <c r="AQ37" s="15"/>
    </row>
    <row r="38" spans="2:43" ht="15.75" customHeight="1" x14ac:dyDescent="0.2">
      <c r="B38" s="5"/>
      <c r="C38" s="7"/>
      <c r="D38" s="11"/>
      <c r="E38" s="12"/>
      <c r="G38" s="5"/>
      <c r="H38" s="7"/>
      <c r="I38" s="11"/>
      <c r="J38" s="12"/>
      <c r="L38" s="5"/>
      <c r="M38" s="7"/>
      <c r="N38" s="11"/>
      <c r="O38" s="12"/>
      <c r="Q38" s="5"/>
      <c r="R38" s="7"/>
      <c r="S38" s="11"/>
      <c r="T38" s="12"/>
      <c r="V38" s="5"/>
      <c r="W38" s="7"/>
      <c r="X38" s="11"/>
      <c r="Y38" s="12"/>
      <c r="AA38" s="5"/>
      <c r="AB38" s="7"/>
      <c r="AC38" s="11"/>
      <c r="AD38" s="12"/>
      <c r="AE38" s="37"/>
      <c r="AF38" s="5"/>
      <c r="AG38" s="7"/>
      <c r="AH38" s="11"/>
      <c r="AI38" s="12"/>
      <c r="AJ38" s="15"/>
      <c r="AK38" s="15"/>
      <c r="AL38" s="15"/>
      <c r="AM38" s="15"/>
      <c r="AN38" s="15"/>
      <c r="AO38" s="15"/>
      <c r="AP38" s="15"/>
      <c r="AQ38" s="15"/>
    </row>
    <row r="39" spans="2:43" ht="15.75" customHeight="1" x14ac:dyDescent="0.2">
      <c r="B39" s="19"/>
      <c r="C39" s="7"/>
      <c r="D39" s="11"/>
      <c r="E39" s="12"/>
      <c r="G39" s="19"/>
      <c r="H39" s="7"/>
      <c r="I39" s="11"/>
      <c r="J39" s="12"/>
      <c r="L39" s="19"/>
      <c r="M39" s="7"/>
      <c r="N39" s="11"/>
      <c r="O39" s="12"/>
      <c r="Q39" s="19"/>
      <c r="R39" s="7"/>
      <c r="S39" s="11"/>
      <c r="T39" s="12"/>
      <c r="V39" s="19"/>
      <c r="W39" s="7"/>
      <c r="X39" s="11"/>
      <c r="Y39" s="12"/>
      <c r="AA39" s="19"/>
      <c r="AB39" s="7"/>
      <c r="AC39" s="11"/>
      <c r="AD39" s="12"/>
      <c r="AE39" s="37"/>
      <c r="AF39" s="19"/>
      <c r="AG39" s="7"/>
      <c r="AH39" s="11"/>
      <c r="AI39" s="12"/>
      <c r="AJ39" s="15"/>
      <c r="AK39" s="15"/>
      <c r="AL39" s="15"/>
      <c r="AM39" s="15"/>
      <c r="AN39" s="15"/>
      <c r="AO39" s="15"/>
      <c r="AP39" s="15"/>
      <c r="AQ39" s="15"/>
    </row>
    <row r="40" spans="2:43" ht="15.75" customHeight="1" x14ac:dyDescent="0.2">
      <c r="B40" s="19"/>
      <c r="C40" s="7"/>
      <c r="D40" s="11"/>
      <c r="E40" s="12"/>
      <c r="G40" s="19"/>
      <c r="H40" s="7"/>
      <c r="I40" s="11"/>
      <c r="J40" s="12"/>
      <c r="L40" s="19"/>
      <c r="M40" s="7"/>
      <c r="N40" s="11"/>
      <c r="O40" s="12"/>
      <c r="Q40" s="19"/>
      <c r="R40" s="7"/>
      <c r="S40" s="11"/>
      <c r="T40" s="12"/>
      <c r="V40" s="19"/>
      <c r="W40" s="7"/>
      <c r="X40" s="11"/>
      <c r="Y40" s="12"/>
      <c r="AA40" s="19"/>
      <c r="AB40" s="7"/>
      <c r="AC40" s="11"/>
      <c r="AD40" s="12"/>
      <c r="AE40" s="37"/>
      <c r="AF40" s="19"/>
      <c r="AG40" s="7"/>
      <c r="AH40" s="11"/>
      <c r="AI40" s="12"/>
      <c r="AJ40" s="15"/>
      <c r="AK40" s="15"/>
      <c r="AL40" s="15"/>
      <c r="AM40" s="15"/>
      <c r="AN40" s="15"/>
      <c r="AO40" s="15"/>
      <c r="AP40" s="15"/>
      <c r="AQ40" s="15"/>
    </row>
    <row r="41" spans="2:43" ht="15.75" customHeight="1" x14ac:dyDescent="0.2">
      <c r="B41" s="19"/>
      <c r="C41" s="7"/>
      <c r="D41" s="11"/>
      <c r="E41" s="12"/>
      <c r="G41" s="19"/>
      <c r="H41" s="7"/>
      <c r="I41" s="11"/>
      <c r="J41" s="12"/>
      <c r="L41" s="19"/>
      <c r="M41" s="7"/>
      <c r="N41" s="11"/>
      <c r="O41" s="12"/>
      <c r="Q41" s="19"/>
      <c r="R41" s="7"/>
      <c r="S41" s="11"/>
      <c r="T41" s="12"/>
      <c r="V41" s="19"/>
      <c r="W41" s="7"/>
      <c r="X41" s="11"/>
      <c r="Y41" s="12"/>
      <c r="AA41" s="19"/>
      <c r="AB41" s="7"/>
      <c r="AC41" s="11"/>
      <c r="AD41" s="12"/>
      <c r="AE41" s="37"/>
      <c r="AF41" s="19"/>
      <c r="AG41" s="7"/>
      <c r="AH41" s="11"/>
      <c r="AI41" s="12"/>
      <c r="AJ41" s="15"/>
      <c r="AK41" s="15"/>
      <c r="AL41" s="15"/>
      <c r="AM41" s="15"/>
      <c r="AN41" s="15"/>
      <c r="AO41" s="15"/>
      <c r="AP41" s="15"/>
      <c r="AQ41" s="15"/>
    </row>
    <row r="42" spans="2:43" ht="15.75" customHeight="1" x14ac:dyDescent="0.2">
      <c r="B42" s="19"/>
      <c r="C42" s="7"/>
      <c r="D42" s="11"/>
      <c r="E42" s="12"/>
      <c r="G42" s="19"/>
      <c r="H42" s="7"/>
      <c r="I42" s="11"/>
      <c r="J42" s="12"/>
      <c r="L42" s="19"/>
      <c r="M42" s="7"/>
      <c r="N42" s="11"/>
      <c r="O42" s="12"/>
      <c r="Q42" s="19"/>
      <c r="R42" s="7"/>
      <c r="S42" s="11"/>
      <c r="T42" s="12"/>
      <c r="V42" s="19"/>
      <c r="W42" s="7"/>
      <c r="X42" s="11"/>
      <c r="Y42" s="12"/>
      <c r="AA42" s="19"/>
      <c r="AB42" s="7"/>
      <c r="AC42" s="11"/>
      <c r="AD42" s="12"/>
      <c r="AE42" s="37"/>
      <c r="AF42" s="19"/>
      <c r="AG42" s="7"/>
      <c r="AH42" s="11"/>
      <c r="AI42" s="12"/>
      <c r="AJ42" s="15"/>
      <c r="AK42" s="15"/>
      <c r="AL42" s="15"/>
      <c r="AM42" s="15"/>
      <c r="AN42" s="15"/>
      <c r="AO42" s="15"/>
      <c r="AP42" s="15"/>
      <c r="AQ42" s="15"/>
    </row>
    <row r="43" spans="2:43" ht="15.75" customHeight="1" x14ac:dyDescent="0.2">
      <c r="B43" s="5"/>
      <c r="C43" s="7"/>
      <c r="D43" s="11"/>
      <c r="E43" s="12"/>
      <c r="G43" s="5"/>
      <c r="H43" s="7"/>
      <c r="I43" s="11"/>
      <c r="J43" s="12"/>
      <c r="L43" s="5"/>
      <c r="M43" s="7"/>
      <c r="N43" s="11"/>
      <c r="O43" s="12"/>
      <c r="Q43" s="5"/>
      <c r="R43" s="7"/>
      <c r="S43" s="11"/>
      <c r="T43" s="12"/>
      <c r="V43" s="5"/>
      <c r="W43" s="7"/>
      <c r="X43" s="11"/>
      <c r="Y43" s="12"/>
      <c r="AA43" s="5"/>
      <c r="AB43" s="7"/>
      <c r="AC43" s="11"/>
      <c r="AD43" s="12"/>
      <c r="AE43" s="37"/>
      <c r="AF43" s="5"/>
      <c r="AG43" s="7"/>
      <c r="AH43" s="11"/>
      <c r="AI43" s="12"/>
      <c r="AJ43" s="15"/>
      <c r="AK43" s="15"/>
      <c r="AL43" s="15"/>
      <c r="AM43" s="15"/>
      <c r="AN43" s="15"/>
      <c r="AO43" s="15"/>
      <c r="AP43" s="15"/>
      <c r="AQ43" s="15"/>
    </row>
    <row r="44" spans="2:43" ht="15.75" customHeight="1" x14ac:dyDescent="0.2">
      <c r="B44" s="5"/>
      <c r="C44" s="7"/>
      <c r="D44" s="11"/>
      <c r="E44" s="12"/>
      <c r="G44" s="5"/>
      <c r="H44" s="7"/>
      <c r="I44" s="11"/>
      <c r="J44" s="12"/>
      <c r="L44" s="5"/>
      <c r="M44" s="7"/>
      <c r="N44" s="11"/>
      <c r="O44" s="12"/>
      <c r="Q44" s="5"/>
      <c r="R44" s="7"/>
      <c r="S44" s="11"/>
      <c r="T44" s="12"/>
      <c r="V44" s="5"/>
      <c r="W44" s="7"/>
      <c r="X44" s="11"/>
      <c r="Y44" s="12"/>
      <c r="AA44" s="5"/>
      <c r="AB44" s="7"/>
      <c r="AC44" s="11"/>
      <c r="AD44" s="12"/>
      <c r="AE44" s="15"/>
      <c r="AF44" s="5"/>
      <c r="AG44" s="7"/>
      <c r="AH44" s="11"/>
      <c r="AI44" s="12"/>
      <c r="AJ44" s="15"/>
      <c r="AK44" s="15"/>
      <c r="AL44" s="15"/>
      <c r="AM44" s="15"/>
      <c r="AN44" s="15"/>
      <c r="AO44" s="15"/>
      <c r="AP44" s="15"/>
      <c r="AQ44" s="15"/>
    </row>
    <row r="45" spans="2:43" ht="15.75" customHeight="1" x14ac:dyDescent="0.2">
      <c r="B45" s="5"/>
      <c r="C45" s="7"/>
      <c r="D45" s="11"/>
      <c r="E45" s="12"/>
      <c r="G45" s="5"/>
      <c r="H45" s="7"/>
      <c r="I45" s="11"/>
      <c r="J45" s="12"/>
      <c r="L45" s="5"/>
      <c r="M45" s="7"/>
      <c r="N45" s="11"/>
      <c r="O45" s="12"/>
      <c r="Q45" s="5"/>
      <c r="R45" s="7"/>
      <c r="S45" s="11"/>
      <c r="T45" s="12"/>
      <c r="V45" s="5"/>
      <c r="W45" s="7"/>
      <c r="X45" s="11"/>
      <c r="Y45" s="12"/>
      <c r="AA45" s="5"/>
      <c r="AB45" s="7"/>
      <c r="AC45" s="11"/>
      <c r="AD45" s="12"/>
      <c r="AE45" s="15"/>
      <c r="AF45" s="5"/>
      <c r="AG45" s="7"/>
      <c r="AH45" s="11"/>
      <c r="AI45" s="12"/>
      <c r="AJ45" s="15"/>
      <c r="AK45" s="15"/>
      <c r="AL45" s="15"/>
      <c r="AM45" s="15"/>
      <c r="AN45" s="15"/>
      <c r="AO45" s="15"/>
      <c r="AP45" s="15"/>
      <c r="AQ45" s="15"/>
    </row>
    <row r="46" spans="2:43" ht="15.75" customHeight="1" x14ac:dyDescent="0.2">
      <c r="B46" s="21" t="s">
        <v>52</v>
      </c>
      <c r="C46" s="22"/>
      <c r="D46" s="23"/>
      <c r="E46" s="24">
        <f>SUM(E31:E45)</f>
        <v>3714.2700000000004</v>
      </c>
      <c r="G46" s="21" t="s">
        <v>52</v>
      </c>
      <c r="H46" s="22"/>
      <c r="I46" s="23"/>
      <c r="J46" s="24">
        <f>SUM(J31:J45)</f>
        <v>2523.8262284000002</v>
      </c>
      <c r="L46" s="21" t="s">
        <v>52</v>
      </c>
      <c r="M46" s="22"/>
      <c r="N46" s="23"/>
      <c r="O46" s="24">
        <f>SUM(O31:O45)</f>
        <v>4195.3054583333333</v>
      </c>
      <c r="Q46" s="21" t="s">
        <v>52</v>
      </c>
      <c r="R46" s="22"/>
      <c r="S46" s="23"/>
      <c r="T46" s="24">
        <f>SUM(T31:T45)</f>
        <v>3700.5962255095542</v>
      </c>
      <c r="V46" s="21" t="s">
        <v>52</v>
      </c>
      <c r="W46" s="22"/>
      <c r="X46" s="23"/>
      <c r="Y46" s="24">
        <f>SUM(Y31:Y45)</f>
        <v>3106.1058905605378</v>
      </c>
      <c r="AA46" s="21" t="s">
        <v>52</v>
      </c>
      <c r="AB46" s="22"/>
      <c r="AC46" s="23"/>
      <c r="AD46" s="24">
        <f>SUM(AD31:AD45)</f>
        <v>2440.9300000000003</v>
      </c>
      <c r="AE46" s="25"/>
      <c r="AF46" s="21" t="s">
        <v>52</v>
      </c>
      <c r="AG46" s="22"/>
      <c r="AH46" s="23"/>
      <c r="AI46" s="24">
        <f>SUM(AI31:AI45)</f>
        <v>8843.4185185185197</v>
      </c>
      <c r="AJ46" s="25"/>
      <c r="AK46" s="25"/>
      <c r="AL46" s="25"/>
      <c r="AM46" s="25"/>
      <c r="AN46" s="25"/>
      <c r="AO46" s="25"/>
      <c r="AP46" s="25"/>
      <c r="AQ46" s="25"/>
    </row>
    <row r="47" spans="2:43" ht="15.75" customHeight="1" x14ac:dyDescent="0.2">
      <c r="B47" s="19" t="s">
        <v>53</v>
      </c>
      <c r="C47" s="27"/>
      <c r="D47" s="28"/>
      <c r="E47" s="29">
        <f>SUM(E46)</f>
        <v>3714.2700000000004</v>
      </c>
      <c r="G47" s="19" t="s">
        <v>53</v>
      </c>
      <c r="H47" s="27"/>
      <c r="I47" s="28"/>
      <c r="J47" s="29">
        <f>SUM(J46)</f>
        <v>2523.8262284000002</v>
      </c>
      <c r="L47" s="19" t="s">
        <v>53</v>
      </c>
      <c r="M47" s="27"/>
      <c r="N47" s="28"/>
      <c r="O47" s="29">
        <f>SUM(O46)</f>
        <v>4195.3054583333333</v>
      </c>
      <c r="Q47" s="19" t="s">
        <v>53</v>
      </c>
      <c r="R47" s="27"/>
      <c r="S47" s="28"/>
      <c r="T47" s="29">
        <f>SUM(T46)</f>
        <v>3700.5962255095542</v>
      </c>
      <c r="V47" s="19" t="s">
        <v>53</v>
      </c>
      <c r="W47" s="27"/>
      <c r="X47" s="28"/>
      <c r="Y47" s="29">
        <f>SUM(Y46)</f>
        <v>3106.1058905605378</v>
      </c>
      <c r="AA47" s="19" t="s">
        <v>53</v>
      </c>
      <c r="AB47" s="27"/>
      <c r="AC47" s="28"/>
      <c r="AD47" s="29">
        <f>SUM(AD46)</f>
        <v>2440.9300000000003</v>
      </c>
      <c r="AE47" s="30"/>
      <c r="AF47" s="19" t="s">
        <v>53</v>
      </c>
      <c r="AG47" s="27"/>
      <c r="AH47" s="28"/>
      <c r="AI47" s="29">
        <f>SUM(AI46)</f>
        <v>8843.4185185185197</v>
      </c>
      <c r="AJ47" s="30"/>
      <c r="AK47" s="30"/>
      <c r="AL47" s="30"/>
      <c r="AM47" s="30"/>
      <c r="AN47" s="30"/>
      <c r="AO47" s="30"/>
      <c r="AP47" s="30"/>
      <c r="AQ47" s="30"/>
    </row>
    <row r="48" spans="2:43" ht="15.75" customHeight="1" x14ac:dyDescent="0.2">
      <c r="B48" s="19" t="s">
        <v>54</v>
      </c>
      <c r="C48" s="27"/>
      <c r="D48" s="28"/>
      <c r="E48" s="29">
        <f>+E47</f>
        <v>3714.2700000000004</v>
      </c>
      <c r="G48" s="19" t="s">
        <v>54</v>
      </c>
      <c r="H48" s="27"/>
      <c r="I48" s="28"/>
      <c r="J48" s="29">
        <f>+J47</f>
        <v>2523.8262284000002</v>
      </c>
      <c r="L48" s="19" t="s">
        <v>54</v>
      </c>
      <c r="M48" s="27"/>
      <c r="N48" s="28"/>
      <c r="O48" s="29">
        <f>+O47</f>
        <v>4195.3054583333333</v>
      </c>
      <c r="Q48" s="19" t="s">
        <v>54</v>
      </c>
      <c r="R48" s="27"/>
      <c r="S48" s="28"/>
      <c r="T48" s="29">
        <f>+T47</f>
        <v>3700.5962255095542</v>
      </c>
      <c r="V48" s="19" t="s">
        <v>54</v>
      </c>
      <c r="W48" s="27"/>
      <c r="X48" s="28"/>
      <c r="Y48" s="29">
        <f>+Y47</f>
        <v>3106.1058905605378</v>
      </c>
      <c r="AA48" s="19" t="s">
        <v>54</v>
      </c>
      <c r="AB48" s="27"/>
      <c r="AC48" s="28"/>
      <c r="AD48" s="29">
        <f>+AD47</f>
        <v>2440.9300000000003</v>
      </c>
      <c r="AE48" s="30"/>
      <c r="AF48" s="19" t="s">
        <v>54</v>
      </c>
      <c r="AG48" s="27"/>
      <c r="AH48" s="28"/>
      <c r="AI48" s="29">
        <f>+AI47</f>
        <v>8843.4185185185197</v>
      </c>
      <c r="AJ48" s="30"/>
      <c r="AK48" s="30"/>
      <c r="AL48" s="30"/>
      <c r="AM48" s="30"/>
      <c r="AN48" s="30"/>
      <c r="AO48" s="30"/>
      <c r="AP48" s="30"/>
      <c r="AQ48" s="30"/>
    </row>
    <row r="49" spans="2:43" ht="15.75" customHeight="1" x14ac:dyDescent="0.2">
      <c r="B49" s="19" t="s">
        <v>55</v>
      </c>
      <c r="C49" s="27"/>
      <c r="D49" s="31">
        <v>0.3</v>
      </c>
      <c r="E49" s="29"/>
      <c r="G49" s="19" t="s">
        <v>55</v>
      </c>
      <c r="H49" s="27"/>
      <c r="I49" s="31">
        <v>0.3</v>
      </c>
      <c r="J49" s="29"/>
      <c r="L49" s="19" t="s">
        <v>55</v>
      </c>
      <c r="M49" s="27"/>
      <c r="N49" s="31">
        <v>0.3</v>
      </c>
      <c r="O49" s="29"/>
      <c r="Q49" s="19" t="s">
        <v>55</v>
      </c>
      <c r="R49" s="27"/>
      <c r="S49" s="31">
        <v>0.3</v>
      </c>
      <c r="T49" s="29"/>
      <c r="V49" s="19" t="s">
        <v>55</v>
      </c>
      <c r="W49" s="27"/>
      <c r="X49" s="31">
        <v>0.3</v>
      </c>
      <c r="Y49" s="29"/>
      <c r="AA49" s="19" t="s">
        <v>55</v>
      </c>
      <c r="AB49" s="27"/>
      <c r="AC49" s="31">
        <v>0.3</v>
      </c>
      <c r="AD49" s="29"/>
      <c r="AE49" s="30"/>
      <c r="AF49" s="19" t="s">
        <v>55</v>
      </c>
      <c r="AG49" s="27"/>
      <c r="AH49" s="31">
        <v>0.3</v>
      </c>
      <c r="AI49" s="29"/>
      <c r="AJ49" s="30"/>
      <c r="AK49" s="30"/>
      <c r="AL49" s="30"/>
      <c r="AM49" s="30"/>
      <c r="AN49" s="30"/>
      <c r="AO49" s="30"/>
      <c r="AP49" s="30"/>
      <c r="AQ49" s="30"/>
    </row>
    <row r="50" spans="2:43" ht="15.75" customHeight="1" x14ac:dyDescent="0.2">
      <c r="B50" s="19" t="s">
        <v>56</v>
      </c>
      <c r="C50" s="27"/>
      <c r="D50" s="31"/>
      <c r="E50" s="29">
        <f>+E48*3.33333333333333</f>
        <v>12380.899999999989</v>
      </c>
      <c r="G50" s="19" t="s">
        <v>56</v>
      </c>
      <c r="H50" s="27"/>
      <c r="I50" s="31"/>
      <c r="J50" s="29">
        <f>+J48*3.33333333333333</f>
        <v>8412.7540946666595</v>
      </c>
      <c r="L50" s="19" t="s">
        <v>56</v>
      </c>
      <c r="M50" s="27"/>
      <c r="N50" s="31"/>
      <c r="O50" s="29">
        <f>+O48*3.33333333333333</f>
        <v>13984.351527777762</v>
      </c>
      <c r="Q50" s="19" t="s">
        <v>56</v>
      </c>
      <c r="R50" s="27"/>
      <c r="S50" s="31"/>
      <c r="T50" s="29">
        <f>+T48*3.33333333333333</f>
        <v>12335.320751698502</v>
      </c>
      <c r="V50" s="19" t="s">
        <v>56</v>
      </c>
      <c r="W50" s="27"/>
      <c r="X50" s="31"/>
      <c r="Y50" s="29">
        <f>+Y48*3.33333333333333</f>
        <v>10353.686301868449</v>
      </c>
      <c r="AA50" s="19" t="s">
        <v>56</v>
      </c>
      <c r="AB50" s="27"/>
      <c r="AC50" s="31"/>
      <c r="AD50" s="29">
        <f>+AD48*3.33333333333333</f>
        <v>8136.4333333333261</v>
      </c>
      <c r="AE50" s="30"/>
      <c r="AF50" s="19" t="s">
        <v>56</v>
      </c>
      <c r="AG50" s="27"/>
      <c r="AH50" s="31"/>
      <c r="AI50" s="29">
        <f>+AI48*3.33333333333333</f>
        <v>29478.061728395034</v>
      </c>
      <c r="AJ50" s="30"/>
      <c r="AK50" s="30"/>
      <c r="AL50" s="30"/>
      <c r="AM50" s="30"/>
      <c r="AN50" s="30"/>
      <c r="AO50" s="30"/>
      <c r="AP50" s="30"/>
      <c r="AQ50" s="30"/>
    </row>
    <row r="51" spans="2:43" ht="15.75" customHeight="1" x14ac:dyDescent="0.2">
      <c r="B51" s="19" t="s">
        <v>57</v>
      </c>
      <c r="C51" s="27"/>
      <c r="D51" s="27"/>
      <c r="E51" s="29">
        <v>16000</v>
      </c>
      <c r="G51" s="19" t="s">
        <v>57</v>
      </c>
      <c r="H51" s="27"/>
      <c r="I51" s="27"/>
      <c r="J51" s="29">
        <v>15000</v>
      </c>
      <c r="L51" s="19" t="s">
        <v>57</v>
      </c>
      <c r="M51" s="27"/>
      <c r="N51" s="27"/>
      <c r="O51" s="29">
        <v>17000</v>
      </c>
      <c r="Q51" s="19" t="s">
        <v>57</v>
      </c>
      <c r="R51" s="27"/>
      <c r="S51" s="27"/>
      <c r="T51" s="29">
        <v>18500</v>
      </c>
      <c r="V51" s="19" t="s">
        <v>57</v>
      </c>
      <c r="W51" s="27"/>
      <c r="X51" s="27"/>
      <c r="Y51" s="29">
        <v>16500</v>
      </c>
      <c r="AA51" s="19" t="s">
        <v>57</v>
      </c>
      <c r="AB51" s="27"/>
      <c r="AC51" s="27"/>
      <c r="AD51" s="29">
        <v>12500</v>
      </c>
      <c r="AE51" s="30"/>
      <c r="AF51" s="19" t="s">
        <v>57</v>
      </c>
      <c r="AG51" s="27"/>
      <c r="AH51" s="27"/>
      <c r="AI51" s="29">
        <v>4200</v>
      </c>
      <c r="AJ51" s="30"/>
      <c r="AK51" s="30"/>
      <c r="AL51" s="30"/>
      <c r="AM51" s="30"/>
      <c r="AN51" s="30"/>
      <c r="AO51" s="30"/>
      <c r="AP51" s="30"/>
      <c r="AQ51" s="30"/>
    </row>
    <row r="52" spans="2:43" ht="15.75" customHeight="1" x14ac:dyDescent="0.2">
      <c r="B52" s="19"/>
      <c r="C52" s="27"/>
      <c r="D52" s="28"/>
      <c r="E52" s="24">
        <f>+E51-E50</f>
        <v>3619.1000000000113</v>
      </c>
      <c r="G52" s="19"/>
      <c r="H52" s="27"/>
      <c r="I52" s="28"/>
      <c r="J52" s="24">
        <f>+J51-J50</f>
        <v>6587.2459053333405</v>
      </c>
      <c r="L52" s="19"/>
      <c r="M52" s="27"/>
      <c r="N52" s="28"/>
      <c r="O52" s="24">
        <f>+O51-O50</f>
        <v>3015.6484722222376</v>
      </c>
      <c r="Q52" s="19"/>
      <c r="R52" s="27"/>
      <c r="S52" s="28"/>
      <c r="T52" s="24">
        <f>+T51-T50</f>
        <v>6164.6792483014979</v>
      </c>
      <c r="V52" s="19"/>
      <c r="W52" s="27"/>
      <c r="X52" s="28"/>
      <c r="Y52" s="24">
        <f>+Y51-Y50</f>
        <v>6146.3136981315511</v>
      </c>
      <c r="AA52" s="19"/>
      <c r="AB52" s="27"/>
      <c r="AC52" s="28"/>
      <c r="AD52" s="24">
        <f>+AD51-AD50</f>
        <v>4363.5666666666739</v>
      </c>
      <c r="AE52" s="25"/>
      <c r="AF52" s="19"/>
      <c r="AG52" s="27"/>
      <c r="AH52" s="28"/>
      <c r="AI52" s="24">
        <f>+AI51-AI50</f>
        <v>-25278.061728395034</v>
      </c>
      <c r="AJ52" s="25"/>
      <c r="AK52" s="25"/>
      <c r="AL52" s="25"/>
      <c r="AM52" s="25"/>
      <c r="AN52" s="25"/>
      <c r="AO52" s="25"/>
      <c r="AP52" s="25"/>
      <c r="AQ52" s="25"/>
    </row>
    <row r="53" spans="2:43" ht="15.75" customHeight="1" x14ac:dyDescent="0.2">
      <c r="B53" s="32" t="s">
        <v>58</v>
      </c>
      <c r="C53" s="33"/>
      <c r="D53" s="33"/>
      <c r="E53" s="34">
        <f>E48/E51</f>
        <v>0.23214187500000003</v>
      </c>
      <c r="G53" s="32" t="s">
        <v>58</v>
      </c>
      <c r="H53" s="33"/>
      <c r="I53" s="33"/>
      <c r="J53" s="34">
        <f>J48/J51</f>
        <v>0.16825508189333335</v>
      </c>
      <c r="L53" s="32" t="s">
        <v>58</v>
      </c>
      <c r="M53" s="33"/>
      <c r="N53" s="28"/>
      <c r="O53" s="34">
        <f>O48/O51</f>
        <v>0.24678267401960785</v>
      </c>
      <c r="Q53" s="32" t="s">
        <v>58</v>
      </c>
      <c r="R53" s="33"/>
      <c r="S53" s="33"/>
      <c r="T53" s="34">
        <f>T48/T51</f>
        <v>0.20003222840592186</v>
      </c>
      <c r="V53" s="32" t="s">
        <v>58</v>
      </c>
      <c r="W53" s="33"/>
      <c r="X53" s="33"/>
      <c r="Y53" s="34">
        <f>Y48/Y51</f>
        <v>0.18824884185215379</v>
      </c>
      <c r="AA53" s="32" t="s">
        <v>58</v>
      </c>
      <c r="AB53" s="33"/>
      <c r="AC53" s="33"/>
      <c r="AD53" s="34">
        <f>AD48/AD51</f>
        <v>0.19527440000000001</v>
      </c>
      <c r="AE53" s="35"/>
      <c r="AF53" s="32" t="s">
        <v>58</v>
      </c>
      <c r="AG53" s="33"/>
      <c r="AH53" s="33"/>
      <c r="AI53" s="34">
        <f>AI48/AI51</f>
        <v>2.1055758377425047</v>
      </c>
      <c r="AJ53" s="35"/>
      <c r="AK53" s="35"/>
      <c r="AL53" s="35"/>
      <c r="AM53" s="35"/>
      <c r="AN53" s="35"/>
      <c r="AO53" s="35"/>
      <c r="AP53" s="35"/>
      <c r="AQ53" s="35"/>
    </row>
    <row r="54" spans="2:43" ht="15.75" customHeight="1" x14ac:dyDescent="0.15">
      <c r="AE54" s="3"/>
      <c r="AF54" s="3"/>
      <c r="AG54" s="3"/>
      <c r="AH54" s="3"/>
      <c r="AI54" s="3"/>
      <c r="AJ54" s="3"/>
      <c r="AK54" s="3"/>
      <c r="AL54" s="3"/>
      <c r="AM54" s="3"/>
      <c r="AN54" s="3"/>
      <c r="AO54" s="3"/>
      <c r="AP54" s="3"/>
      <c r="AQ54" s="3"/>
    </row>
    <row r="55" spans="2:43" ht="15.75" customHeight="1" x14ac:dyDescent="0.15">
      <c r="AE55" s="3"/>
      <c r="AF55" s="3"/>
      <c r="AG55" s="3"/>
      <c r="AH55" s="3"/>
      <c r="AI55" s="3"/>
      <c r="AJ55" s="3"/>
      <c r="AK55" s="3"/>
      <c r="AL55" s="3"/>
      <c r="AM55" s="3"/>
      <c r="AN55" s="3"/>
      <c r="AO55" s="3"/>
      <c r="AP55" s="3"/>
      <c r="AQ55" s="3"/>
    </row>
    <row r="56" spans="2:43" ht="15.75" customHeight="1" x14ac:dyDescent="0.15">
      <c r="B56" s="212" t="s">
        <v>85</v>
      </c>
      <c r="C56" s="213"/>
      <c r="D56" s="213"/>
      <c r="E56" s="214"/>
      <c r="G56" s="215" t="s">
        <v>86</v>
      </c>
      <c r="H56" s="213"/>
      <c r="I56" s="213"/>
      <c r="J56" s="214"/>
      <c r="L56" s="212" t="s">
        <v>87</v>
      </c>
      <c r="M56" s="213"/>
      <c r="N56" s="213"/>
      <c r="O56" s="214"/>
      <c r="Q56" s="215" t="s">
        <v>88</v>
      </c>
      <c r="R56" s="213"/>
      <c r="S56" s="213"/>
      <c r="T56" s="214"/>
      <c r="V56" s="215" t="s">
        <v>89</v>
      </c>
      <c r="W56" s="213"/>
      <c r="X56" s="213"/>
      <c r="Y56" s="214"/>
      <c r="AA56" s="212" t="s">
        <v>90</v>
      </c>
      <c r="AB56" s="213"/>
      <c r="AC56" s="213"/>
      <c r="AD56" s="214"/>
      <c r="AE56" s="4"/>
      <c r="AF56" s="212" t="s">
        <v>91</v>
      </c>
      <c r="AG56" s="213"/>
      <c r="AH56" s="213"/>
      <c r="AI56" s="214"/>
      <c r="AJ56" s="4"/>
      <c r="AK56" s="4"/>
      <c r="AL56" s="4"/>
      <c r="AM56" s="4"/>
      <c r="AN56" s="4"/>
      <c r="AO56" s="4"/>
      <c r="AP56" s="4"/>
      <c r="AQ56" s="4"/>
    </row>
    <row r="57" spans="2:43" ht="15.75" customHeight="1" x14ac:dyDescent="0.2">
      <c r="B57" s="5"/>
      <c r="C57" s="6" t="s">
        <v>8</v>
      </c>
      <c r="D57" s="7" t="s">
        <v>9</v>
      </c>
      <c r="E57" s="8" t="s">
        <v>10</v>
      </c>
      <c r="G57" s="5"/>
      <c r="H57" s="6" t="s">
        <v>8</v>
      </c>
      <c r="I57" s="7" t="s">
        <v>9</v>
      </c>
      <c r="J57" s="8" t="s">
        <v>10</v>
      </c>
      <c r="L57" s="5"/>
      <c r="M57" s="6" t="s">
        <v>8</v>
      </c>
      <c r="N57" s="7" t="s">
        <v>9</v>
      </c>
      <c r="O57" s="8" t="s">
        <v>10</v>
      </c>
      <c r="Q57" s="5"/>
      <c r="R57" s="6" t="s">
        <v>8</v>
      </c>
      <c r="S57" s="7" t="s">
        <v>9</v>
      </c>
      <c r="T57" s="8" t="s">
        <v>10</v>
      </c>
      <c r="V57" s="5"/>
      <c r="W57" s="6" t="s">
        <v>8</v>
      </c>
      <c r="X57" s="7" t="s">
        <v>9</v>
      </c>
      <c r="Y57" s="8" t="s">
        <v>10</v>
      </c>
      <c r="AA57" s="5"/>
      <c r="AB57" s="6" t="s">
        <v>8</v>
      </c>
      <c r="AC57" s="7" t="s">
        <v>9</v>
      </c>
      <c r="AD57" s="8" t="s">
        <v>10</v>
      </c>
      <c r="AE57" s="9"/>
      <c r="AF57" s="5"/>
      <c r="AG57" s="6" t="s">
        <v>8</v>
      </c>
      <c r="AH57" s="7" t="s">
        <v>9</v>
      </c>
      <c r="AI57" s="8" t="s">
        <v>10</v>
      </c>
      <c r="AJ57" s="9"/>
      <c r="AK57" s="9"/>
      <c r="AL57" s="9"/>
      <c r="AM57" s="9"/>
      <c r="AN57" s="9"/>
      <c r="AO57" s="9"/>
      <c r="AP57" s="9"/>
      <c r="AQ57" s="9"/>
    </row>
    <row r="58" spans="2:43" ht="15.75" customHeight="1" x14ac:dyDescent="0.2">
      <c r="B58" s="13" t="s">
        <v>92</v>
      </c>
      <c r="C58" s="10">
        <v>1</v>
      </c>
      <c r="D58" s="11">
        <f>+VLOOKUP(B58,'PRECIO PROVEEDORES'!$A$2:$B$716,2,0)</f>
        <v>1350</v>
      </c>
      <c r="E58" s="12">
        <f t="shared" ref="E58:E60" si="13">+C58*D58</f>
        <v>1350</v>
      </c>
      <c r="G58" s="13" t="s">
        <v>92</v>
      </c>
      <c r="H58" s="10">
        <v>1</v>
      </c>
      <c r="I58" s="11">
        <f>+VLOOKUP(G58,'PRECIO PROVEEDORES'!$A$2:$B$716,2,0)</f>
        <v>1350</v>
      </c>
      <c r="J58" s="12">
        <f t="shared" ref="J58:J60" si="14">+H58*I58</f>
        <v>1350</v>
      </c>
      <c r="L58" s="7" t="s">
        <v>93</v>
      </c>
      <c r="M58" s="10">
        <v>1</v>
      </c>
      <c r="N58" s="11">
        <f>+VLOOKUP(L58,'PRECIO PROVEEDORES'!$A$2:$B$716,2,0)</f>
        <v>1307</v>
      </c>
      <c r="O58" s="12">
        <f t="shared" ref="O58:O61" si="15">+M58*N58</f>
        <v>1307</v>
      </c>
      <c r="Q58" s="7" t="s">
        <v>93</v>
      </c>
      <c r="R58" s="10">
        <v>1</v>
      </c>
      <c r="S58" s="11">
        <f>+VLOOKUP(Q58,'PRECIO PROVEEDORES'!$A$2:$B$716,2,0)</f>
        <v>1307</v>
      </c>
      <c r="T58" s="12">
        <f t="shared" ref="T58:T63" si="16">+R58*S58</f>
        <v>1307</v>
      </c>
      <c r="V58" s="7" t="s">
        <v>27</v>
      </c>
      <c r="W58" s="10">
        <v>0.04</v>
      </c>
      <c r="X58" s="11">
        <f>+VLOOKUP(V58,'PRECIO PROVEEDORES'!$A$2:$B$716,2,0)</f>
        <v>6440</v>
      </c>
      <c r="Y58" s="12">
        <f t="shared" ref="Y58:Y64" si="17">+W58*X58</f>
        <v>257.60000000000002</v>
      </c>
      <c r="AA58" s="7" t="s">
        <v>94</v>
      </c>
      <c r="AB58" s="10">
        <v>0.15</v>
      </c>
      <c r="AC58" s="11">
        <f>+VLOOKUP(AA58,'PRECIO PROVEEDORES'!$A$2:$B$716,2,0)</f>
        <v>7748.8990000000003</v>
      </c>
      <c r="AD58" s="12">
        <f t="shared" ref="AD58:AD64" si="18">+AB58*AC58</f>
        <v>1162.33485</v>
      </c>
      <c r="AE58" s="37"/>
      <c r="AF58" s="7" t="s">
        <v>95</v>
      </c>
      <c r="AG58" s="10">
        <v>1</v>
      </c>
      <c r="AH58" s="11">
        <f>+VLOOKUP(AF58,'PRECIO PROVEEDORES'!$A$2:$B$716,2,0)</f>
        <v>1574</v>
      </c>
      <c r="AI58" s="12">
        <f t="shared" ref="AI58:AI64" si="19">+AG58*AH58</f>
        <v>1574</v>
      </c>
      <c r="AJ58" s="15"/>
      <c r="AK58" s="15"/>
      <c r="AL58" s="15"/>
      <c r="AM58" s="15"/>
      <c r="AN58" s="15"/>
      <c r="AO58" s="15"/>
      <c r="AP58" s="15"/>
      <c r="AQ58" s="15"/>
    </row>
    <row r="59" spans="2:43" ht="15.75" customHeight="1" x14ac:dyDescent="0.2">
      <c r="B59" s="7" t="s">
        <v>21</v>
      </c>
      <c r="C59" s="10">
        <v>2.5000000000000001E-2</v>
      </c>
      <c r="D59" s="11">
        <f>+VLOOKUP(B59,'PRECIO PROVEEDORES'!$A$2:$B$716,2,0)</f>
        <v>11881</v>
      </c>
      <c r="E59" s="12">
        <f t="shared" si="13"/>
        <v>297.02500000000003</v>
      </c>
      <c r="G59" s="7" t="s">
        <v>96</v>
      </c>
      <c r="H59" s="10">
        <v>3.5000000000000003E-2</v>
      </c>
      <c r="I59" s="11">
        <f>+VLOOKUP(G59,'PRECIO PROVEEDORES'!$A$2:$B$716,2,0)</f>
        <v>1800</v>
      </c>
      <c r="J59" s="12">
        <f t="shared" si="14"/>
        <v>63.000000000000007</v>
      </c>
      <c r="L59" s="13" t="s">
        <v>31</v>
      </c>
      <c r="M59" s="10">
        <v>0.08</v>
      </c>
      <c r="N59" s="11">
        <f>+VLOOKUP(L59,'PRECIO PROVEEDORES'!$A$2:$B$716,2,0)</f>
        <v>9316</v>
      </c>
      <c r="O59" s="12">
        <f t="shared" si="15"/>
        <v>745.28</v>
      </c>
      <c r="Q59" s="7" t="s">
        <v>29</v>
      </c>
      <c r="R59" s="10">
        <v>0.03</v>
      </c>
      <c r="S59" s="11">
        <f>+VLOOKUP(Q59,'PRECIO PROVEEDORES'!$A$2:$B$716,2,0)</f>
        <v>9900</v>
      </c>
      <c r="T59" s="12">
        <f t="shared" si="16"/>
        <v>297</v>
      </c>
      <c r="V59" s="7" t="s">
        <v>29</v>
      </c>
      <c r="W59" s="10">
        <v>0.03</v>
      </c>
      <c r="X59" s="11">
        <f>+VLOOKUP(V59,'PRECIO PROVEEDORES'!$A$2:$B$716,2,0)</f>
        <v>9900</v>
      </c>
      <c r="Y59" s="12">
        <f t="shared" si="17"/>
        <v>297</v>
      </c>
      <c r="AA59" s="13" t="s">
        <v>97</v>
      </c>
      <c r="AB59" s="10">
        <v>2</v>
      </c>
      <c r="AC59" s="11">
        <f>+VLOOKUP(AA59,'PRECIO PROVEEDORES'!$A$2:$B$716,2,0)</f>
        <v>192</v>
      </c>
      <c r="AD59" s="12">
        <f t="shared" si="18"/>
        <v>384</v>
      </c>
      <c r="AE59" s="37"/>
      <c r="AF59" s="7" t="s">
        <v>98</v>
      </c>
      <c r="AG59" s="10">
        <v>0.08</v>
      </c>
      <c r="AH59" s="11">
        <f>+VLOOKUP(AF59,'PRECIO PROVEEDORES'!$A$2:$B$716,2,0)</f>
        <v>20000</v>
      </c>
      <c r="AI59" s="12">
        <f t="shared" si="19"/>
        <v>1600</v>
      </c>
      <c r="AJ59" s="15"/>
      <c r="AK59" s="15"/>
      <c r="AL59" s="15"/>
      <c r="AM59" s="15"/>
      <c r="AN59" s="15"/>
      <c r="AO59" s="15"/>
      <c r="AP59" s="15"/>
      <c r="AQ59" s="15"/>
    </row>
    <row r="60" spans="2:43" ht="15.75" customHeight="1" x14ac:dyDescent="0.2">
      <c r="B60" s="7" t="s">
        <v>28</v>
      </c>
      <c r="C60" s="10">
        <v>0.03</v>
      </c>
      <c r="D60" s="11">
        <f>+VLOOKUP(B60,'PRECIO PROVEEDORES'!$A$2:$B$716,2,0)</f>
        <v>10697</v>
      </c>
      <c r="E60" s="12">
        <f t="shared" si="13"/>
        <v>320.90999999999997</v>
      </c>
      <c r="G60" s="7" t="s">
        <v>28</v>
      </c>
      <c r="H60" s="10">
        <v>0.03</v>
      </c>
      <c r="I60" s="11">
        <f>+VLOOKUP(G60,'PRECIO PROVEEDORES'!$A$2:$B$716,2,0)</f>
        <v>10697</v>
      </c>
      <c r="J60" s="12">
        <f t="shared" si="14"/>
        <v>320.90999999999997</v>
      </c>
      <c r="L60" s="13" t="s">
        <v>26</v>
      </c>
      <c r="M60" s="10">
        <v>0.02</v>
      </c>
      <c r="N60" s="11">
        <f>+VLOOKUP(L60,'PRECIO PROVEEDORES'!$A$2:$B$716,2,0)</f>
        <v>6000</v>
      </c>
      <c r="O60" s="12">
        <f t="shared" si="15"/>
        <v>120</v>
      </c>
      <c r="Q60" s="7" t="s">
        <v>98</v>
      </c>
      <c r="R60" s="10">
        <v>4.4999999999999998E-2</v>
      </c>
      <c r="S60" s="11">
        <f>+VLOOKUP(Q60,'PRECIO PROVEEDORES'!$A$2:$B$716,2,0)</f>
        <v>20000</v>
      </c>
      <c r="T60" s="12">
        <f t="shared" si="16"/>
        <v>900</v>
      </c>
      <c r="V60" s="13" t="s">
        <v>99</v>
      </c>
      <c r="W60" s="10">
        <v>0.03</v>
      </c>
      <c r="X60" s="11">
        <f>+VLOOKUP(V60,'PRECIO PROVEEDORES'!$A$2:$B$716,2,0)</f>
        <v>19455.208333333332</v>
      </c>
      <c r="Y60" s="12">
        <f t="shared" si="17"/>
        <v>583.65624999999989</v>
      </c>
      <c r="AA60" s="7" t="s">
        <v>100</v>
      </c>
      <c r="AB60" s="10">
        <v>0.03</v>
      </c>
      <c r="AC60" s="11">
        <f>+VLOOKUP(AA60,'PRECIO PROVEEDORES'!$A$2:$B$716,2,0)</f>
        <v>1690.4949999999999</v>
      </c>
      <c r="AD60" s="12">
        <f t="shared" si="18"/>
        <v>50.714849999999991</v>
      </c>
      <c r="AE60" s="37"/>
      <c r="AF60" s="7" t="s">
        <v>28</v>
      </c>
      <c r="AG60" s="10">
        <v>0.08</v>
      </c>
      <c r="AH60" s="11">
        <f>+VLOOKUP(AF60,'PRECIO PROVEEDORES'!$A$2:$B$716,2,0)</f>
        <v>10697</v>
      </c>
      <c r="AI60" s="12">
        <f t="shared" si="19"/>
        <v>855.76</v>
      </c>
      <c r="AJ60" s="15"/>
      <c r="AK60" s="15"/>
      <c r="AL60" s="15"/>
      <c r="AM60" s="15"/>
      <c r="AN60" s="15"/>
      <c r="AO60" s="15"/>
      <c r="AP60" s="15"/>
      <c r="AQ60" s="15"/>
    </row>
    <row r="61" spans="2:43" ht="15.75" customHeight="1" x14ac:dyDescent="0.2">
      <c r="B61" s="5"/>
      <c r="C61" s="7"/>
      <c r="D61" s="11"/>
      <c r="E61" s="12"/>
      <c r="G61" s="5"/>
      <c r="H61" s="7"/>
      <c r="I61" s="11"/>
      <c r="J61" s="12"/>
      <c r="L61" s="13" t="s">
        <v>101</v>
      </c>
      <c r="M61" s="10">
        <v>7.0000000000000001E-3</v>
      </c>
      <c r="N61" s="11">
        <f>+VLOOKUP(L61,'PRECIO PROVEEDORES'!$A$2:$B$716,2,0)</f>
        <v>24435.611199999999</v>
      </c>
      <c r="O61" s="12">
        <f t="shared" si="15"/>
        <v>171.04927839999999</v>
      </c>
      <c r="Q61" s="13" t="s">
        <v>80</v>
      </c>
      <c r="R61" s="10">
        <v>0.05</v>
      </c>
      <c r="S61" s="11">
        <f>+VLOOKUP(Q61,'PRECIO PROVEEDORES'!$A$2:$B$716,2,0)</f>
        <v>20535</v>
      </c>
      <c r="T61" s="12">
        <f t="shared" si="16"/>
        <v>1026.75</v>
      </c>
      <c r="V61" s="13" t="s">
        <v>102</v>
      </c>
      <c r="W61" s="10">
        <v>0.05</v>
      </c>
      <c r="X61" s="11">
        <f>+VLOOKUP(V61,'PRECIO PROVEEDORES'!$A$2:$B$716,2,0)</f>
        <v>6130.5563999999995</v>
      </c>
      <c r="Y61" s="12">
        <f t="shared" si="17"/>
        <v>306.52781999999996</v>
      </c>
      <c r="AA61" s="7" t="s">
        <v>69</v>
      </c>
      <c r="AB61" s="10">
        <v>1</v>
      </c>
      <c r="AC61" s="11">
        <f>+VLOOKUP(AA61,'PRECIO PROVEEDORES'!$A$2:$B$716,2,0)</f>
        <v>168.45510000000002</v>
      </c>
      <c r="AD61" s="12">
        <f t="shared" si="18"/>
        <v>168.45510000000002</v>
      </c>
      <c r="AE61" s="37"/>
      <c r="AF61" s="13" t="s">
        <v>37</v>
      </c>
      <c r="AG61" s="10">
        <v>0.02</v>
      </c>
      <c r="AH61" s="11">
        <f>+VLOOKUP(AF61,'PRECIO PROVEEDORES'!$A$2:$B$716,2,0)</f>
        <v>17587.349999999999</v>
      </c>
      <c r="AI61" s="12">
        <f t="shared" si="19"/>
        <v>351.74699999999996</v>
      </c>
      <c r="AJ61" s="15"/>
      <c r="AK61" s="15"/>
      <c r="AL61" s="15"/>
      <c r="AM61" s="15"/>
      <c r="AN61" s="15"/>
      <c r="AO61" s="15"/>
      <c r="AP61" s="15"/>
      <c r="AQ61" s="15"/>
    </row>
    <row r="62" spans="2:43" ht="15.75" customHeight="1" x14ac:dyDescent="0.2">
      <c r="B62" s="5"/>
      <c r="C62" s="7"/>
      <c r="D62" s="11"/>
      <c r="E62" s="12"/>
      <c r="G62" s="5"/>
      <c r="H62" s="7"/>
      <c r="I62" s="11"/>
      <c r="J62" s="12"/>
      <c r="L62" s="5"/>
      <c r="M62" s="7"/>
      <c r="N62" s="11"/>
      <c r="O62" s="12"/>
      <c r="Q62" s="13" t="s">
        <v>37</v>
      </c>
      <c r="R62" s="10">
        <v>0.02</v>
      </c>
      <c r="S62" s="11">
        <f>+VLOOKUP(Q62,'PRECIO PROVEEDORES'!$A$2:$B$716,2,0)</f>
        <v>17587.349999999999</v>
      </c>
      <c r="T62" s="12">
        <f t="shared" si="16"/>
        <v>351.74699999999996</v>
      </c>
      <c r="V62" s="13" t="s">
        <v>31</v>
      </c>
      <c r="W62" s="36">
        <v>0.04</v>
      </c>
      <c r="X62" s="11">
        <f>+VLOOKUP(V62,'PRECIO PROVEEDORES'!$A$2:$B$716,2,0)</f>
        <v>9316</v>
      </c>
      <c r="Y62" s="12">
        <f t="shared" si="17"/>
        <v>372.64</v>
      </c>
      <c r="AA62" s="17" t="s">
        <v>40</v>
      </c>
      <c r="AB62" s="10">
        <v>0.01</v>
      </c>
      <c r="AC62" s="11">
        <f>+VLOOKUP(AA62,'PRECIO PROVEEDORES'!$A$2:$B$716,2,0)</f>
        <v>18256.349999999999</v>
      </c>
      <c r="AD62" s="12">
        <f t="shared" si="18"/>
        <v>182.56349999999998</v>
      </c>
      <c r="AE62" s="37"/>
      <c r="AF62" s="13" t="s">
        <v>32</v>
      </c>
      <c r="AG62" s="10">
        <v>0.01</v>
      </c>
      <c r="AH62" s="11">
        <f>+VLOOKUP(AF62,'PRECIO PROVEEDORES'!$A$2:$B$716,2,0)</f>
        <v>12206</v>
      </c>
      <c r="AI62" s="12">
        <f t="shared" si="19"/>
        <v>122.06</v>
      </c>
      <c r="AJ62" s="15"/>
      <c r="AK62" s="15"/>
      <c r="AL62" s="15"/>
      <c r="AM62" s="15"/>
      <c r="AN62" s="15"/>
      <c r="AO62" s="15"/>
      <c r="AP62" s="15"/>
      <c r="AQ62" s="15"/>
    </row>
    <row r="63" spans="2:43" ht="15.75" customHeight="1" x14ac:dyDescent="0.2">
      <c r="B63" s="5"/>
      <c r="C63" s="7"/>
      <c r="D63" s="11"/>
      <c r="E63" s="12"/>
      <c r="G63" s="5"/>
      <c r="H63" s="7"/>
      <c r="I63" s="11"/>
      <c r="J63" s="12"/>
      <c r="L63" s="5"/>
      <c r="M63" s="7"/>
      <c r="N63" s="11"/>
      <c r="O63" s="12"/>
      <c r="Q63" s="13" t="s">
        <v>103</v>
      </c>
      <c r="R63" s="10">
        <v>5.0000000000000001E-3</v>
      </c>
      <c r="S63" s="11">
        <f>+VLOOKUP(Q63,'PRECIO PROVEEDORES'!$A$2:$B$716,2,0)</f>
        <v>10601.56</v>
      </c>
      <c r="T63" s="12">
        <f t="shared" si="16"/>
        <v>53.007799999999996</v>
      </c>
      <c r="V63" s="20" t="s">
        <v>104</v>
      </c>
      <c r="W63" s="10">
        <v>3.5000000000000003E-2</v>
      </c>
      <c r="X63" s="11">
        <f>+VLOOKUP(V63,'PRECIO PROVEEDORES'!$A$2:$B$716,2,0)</f>
        <v>2972.2272727272725</v>
      </c>
      <c r="Y63" s="12">
        <f t="shared" si="17"/>
        <v>104.02795454545455</v>
      </c>
      <c r="AA63" s="13" t="s">
        <v>48</v>
      </c>
      <c r="AB63" s="10">
        <v>0.15</v>
      </c>
      <c r="AC63" s="11">
        <f>+VLOOKUP(AA63,'PRECIO PROVEEDORES'!$A$2:$B$716,2,0)</f>
        <v>1685.0214999999996</v>
      </c>
      <c r="AD63" s="12">
        <f t="shared" si="18"/>
        <v>252.75322499999993</v>
      </c>
      <c r="AE63" s="37"/>
      <c r="AF63" s="13" t="s">
        <v>48</v>
      </c>
      <c r="AG63" s="10">
        <v>0.15</v>
      </c>
      <c r="AH63" s="11">
        <f>+VLOOKUP(AF63,'PRECIO PROVEEDORES'!$A$2:$B$716,2,0)</f>
        <v>1685.0214999999996</v>
      </c>
      <c r="AI63" s="12">
        <f t="shared" si="19"/>
        <v>252.75322499999993</v>
      </c>
      <c r="AJ63" s="15"/>
      <c r="AK63" s="15"/>
      <c r="AL63" s="15"/>
      <c r="AM63" s="15"/>
      <c r="AN63" s="15"/>
      <c r="AO63" s="15"/>
      <c r="AP63" s="15"/>
      <c r="AQ63" s="15"/>
    </row>
    <row r="64" spans="2:43" ht="15.75" customHeight="1" x14ac:dyDescent="0.2">
      <c r="B64" s="5"/>
      <c r="C64" s="7"/>
      <c r="D64" s="11"/>
      <c r="E64" s="12"/>
      <c r="G64" s="5"/>
      <c r="H64" s="7"/>
      <c r="I64" s="11"/>
      <c r="J64" s="12"/>
      <c r="L64" s="5"/>
      <c r="M64" s="7"/>
      <c r="N64" s="11"/>
      <c r="O64" s="12"/>
      <c r="Q64" s="5"/>
      <c r="R64" s="7"/>
      <c r="S64" s="11"/>
      <c r="T64" s="12"/>
      <c r="V64" s="5" t="s">
        <v>20</v>
      </c>
      <c r="W64" s="7">
        <v>0.15</v>
      </c>
      <c r="X64" s="11">
        <f>+VLOOKUP(V64,'PRECIO PROVEEDORES'!$A$2:$B$716,2,0)</f>
        <v>7700</v>
      </c>
      <c r="Y64" s="12">
        <f t="shared" si="17"/>
        <v>1155</v>
      </c>
      <c r="AA64" s="20" t="s">
        <v>50</v>
      </c>
      <c r="AB64" s="10">
        <v>0.04</v>
      </c>
      <c r="AC64" s="11">
        <f>+VLOOKUP(AA64,'PRECIO PROVEEDORES'!$A$2:$B$716,2,0)</f>
        <v>3891.9110000000001</v>
      </c>
      <c r="AD64" s="12">
        <f t="shared" si="18"/>
        <v>155.67644000000001</v>
      </c>
      <c r="AE64" s="37"/>
      <c r="AF64" s="20" t="s">
        <v>50</v>
      </c>
      <c r="AG64" s="10">
        <v>0.04</v>
      </c>
      <c r="AH64" s="11">
        <f>+VLOOKUP(AF64,'PRECIO PROVEEDORES'!$A$2:$B$716,2,0)</f>
        <v>3891.9110000000001</v>
      </c>
      <c r="AI64" s="12">
        <f t="shared" si="19"/>
        <v>155.67644000000001</v>
      </c>
      <c r="AJ64" s="15"/>
      <c r="AK64" s="15"/>
      <c r="AL64" s="15"/>
      <c r="AM64" s="15"/>
      <c r="AN64" s="15"/>
      <c r="AO64" s="15"/>
      <c r="AP64" s="15"/>
      <c r="AQ64" s="15"/>
    </row>
    <row r="65" spans="2:43" ht="15.75" customHeight="1" x14ac:dyDescent="0.2">
      <c r="B65" s="5"/>
      <c r="C65" s="7"/>
      <c r="D65" s="11"/>
      <c r="E65" s="12"/>
      <c r="G65" s="5"/>
      <c r="H65" s="7"/>
      <c r="I65" s="11"/>
      <c r="J65" s="12"/>
      <c r="L65" s="5"/>
      <c r="M65" s="7"/>
      <c r="N65" s="11"/>
      <c r="O65" s="12"/>
      <c r="Q65" s="5"/>
      <c r="R65" s="7"/>
      <c r="S65" s="11"/>
      <c r="T65" s="12"/>
      <c r="V65" s="5"/>
      <c r="W65" s="7"/>
      <c r="X65" s="11"/>
      <c r="Y65" s="12"/>
      <c r="AA65" s="7"/>
      <c r="AB65" s="7"/>
      <c r="AC65" s="11"/>
      <c r="AD65" s="12"/>
      <c r="AE65" s="37"/>
      <c r="AF65" s="7"/>
      <c r="AG65" s="7"/>
      <c r="AH65" s="11"/>
      <c r="AI65" s="12"/>
      <c r="AJ65" s="15"/>
      <c r="AK65" s="15"/>
      <c r="AL65" s="15"/>
      <c r="AM65" s="15"/>
      <c r="AN65" s="15"/>
      <c r="AO65" s="15"/>
      <c r="AP65" s="15"/>
      <c r="AQ65" s="15"/>
    </row>
    <row r="66" spans="2:43" ht="15.75" customHeight="1" x14ac:dyDescent="0.2">
      <c r="B66" s="19"/>
      <c r="C66" s="7"/>
      <c r="D66" s="11"/>
      <c r="E66" s="12"/>
      <c r="G66" s="19"/>
      <c r="H66" s="7"/>
      <c r="I66" s="11"/>
      <c r="J66" s="12"/>
      <c r="L66" s="19"/>
      <c r="M66" s="7"/>
      <c r="N66" s="11"/>
      <c r="O66" s="12"/>
      <c r="Q66" s="19"/>
      <c r="R66" s="7"/>
      <c r="S66" s="11"/>
      <c r="T66" s="12"/>
      <c r="V66" s="19"/>
      <c r="W66" s="7"/>
      <c r="X66" s="11"/>
      <c r="Y66" s="12"/>
      <c r="AA66" s="19"/>
      <c r="AB66" s="7"/>
      <c r="AC66" s="11"/>
      <c r="AD66" s="12"/>
      <c r="AE66" s="37"/>
      <c r="AF66" s="19"/>
      <c r="AG66" s="7"/>
      <c r="AH66" s="11"/>
      <c r="AI66" s="12"/>
      <c r="AJ66" s="15"/>
      <c r="AK66" s="15"/>
      <c r="AL66" s="15"/>
      <c r="AM66" s="15"/>
      <c r="AN66" s="15"/>
      <c r="AO66" s="15"/>
      <c r="AP66" s="15"/>
      <c r="AQ66" s="15"/>
    </row>
    <row r="67" spans="2:43" ht="15.75" customHeight="1" x14ac:dyDescent="0.2">
      <c r="B67" s="19"/>
      <c r="C67" s="7"/>
      <c r="D67" s="11"/>
      <c r="E67" s="12"/>
      <c r="G67" s="19"/>
      <c r="H67" s="7"/>
      <c r="I67" s="11"/>
      <c r="J67" s="12"/>
      <c r="L67" s="19"/>
      <c r="M67" s="7"/>
      <c r="N67" s="11"/>
      <c r="O67" s="12"/>
      <c r="Q67" s="19"/>
      <c r="R67" s="7"/>
      <c r="S67" s="11"/>
      <c r="T67" s="12"/>
      <c r="V67" s="19"/>
      <c r="W67" s="7"/>
      <c r="X67" s="11"/>
      <c r="Y67" s="12"/>
      <c r="AA67" s="19"/>
      <c r="AB67" s="7"/>
      <c r="AC67" s="11"/>
      <c r="AD67" s="12"/>
      <c r="AE67" s="37"/>
      <c r="AF67" s="19"/>
      <c r="AG67" s="7"/>
      <c r="AH67" s="11"/>
      <c r="AI67" s="12"/>
      <c r="AJ67" s="15"/>
      <c r="AK67" s="15"/>
      <c r="AL67" s="15"/>
      <c r="AM67" s="15"/>
      <c r="AN67" s="15"/>
      <c r="AO67" s="15"/>
      <c r="AP67" s="15"/>
      <c r="AQ67" s="15"/>
    </row>
    <row r="68" spans="2:43" ht="15.75" customHeight="1" x14ac:dyDescent="0.2">
      <c r="B68" s="19"/>
      <c r="C68" s="7"/>
      <c r="D68" s="11"/>
      <c r="E68" s="12"/>
      <c r="G68" s="19"/>
      <c r="H68" s="7"/>
      <c r="I68" s="11"/>
      <c r="J68" s="12"/>
      <c r="L68" s="19"/>
      <c r="M68" s="7"/>
      <c r="N68" s="11"/>
      <c r="O68" s="12"/>
      <c r="Q68" s="19"/>
      <c r="R68" s="7"/>
      <c r="S68" s="11"/>
      <c r="T68" s="12"/>
      <c r="V68" s="19"/>
      <c r="W68" s="7"/>
      <c r="X68" s="11"/>
      <c r="Y68" s="12"/>
      <c r="AA68" s="19"/>
      <c r="AB68" s="7"/>
      <c r="AC68" s="11"/>
      <c r="AD68" s="12"/>
      <c r="AE68" s="37"/>
      <c r="AF68" s="19"/>
      <c r="AG68" s="7"/>
      <c r="AH68" s="11"/>
      <c r="AI68" s="12"/>
      <c r="AJ68" s="15"/>
      <c r="AK68" s="15"/>
      <c r="AL68" s="15"/>
      <c r="AM68" s="15"/>
      <c r="AN68" s="15"/>
      <c r="AO68" s="15"/>
      <c r="AP68" s="15"/>
      <c r="AQ68" s="15"/>
    </row>
    <row r="69" spans="2:43" ht="15.75" customHeight="1" x14ac:dyDescent="0.2">
      <c r="B69" s="19"/>
      <c r="C69" s="7"/>
      <c r="D69" s="11"/>
      <c r="E69" s="12"/>
      <c r="G69" s="19"/>
      <c r="H69" s="7"/>
      <c r="I69" s="11"/>
      <c r="J69" s="12"/>
      <c r="L69" s="19"/>
      <c r="M69" s="7"/>
      <c r="N69" s="11"/>
      <c r="O69" s="12"/>
      <c r="Q69" s="19"/>
      <c r="R69" s="7"/>
      <c r="S69" s="11"/>
      <c r="T69" s="12"/>
      <c r="V69" s="19"/>
      <c r="W69" s="7"/>
      <c r="X69" s="11"/>
      <c r="Y69" s="12"/>
      <c r="AA69" s="19"/>
      <c r="AB69" s="7"/>
      <c r="AC69" s="11"/>
      <c r="AD69" s="12"/>
      <c r="AE69" s="37"/>
      <c r="AF69" s="19"/>
      <c r="AG69" s="7"/>
      <c r="AH69" s="11"/>
      <c r="AI69" s="12"/>
      <c r="AJ69" s="15"/>
      <c r="AK69" s="15"/>
      <c r="AL69" s="15"/>
      <c r="AM69" s="15"/>
      <c r="AN69" s="15"/>
      <c r="AO69" s="15"/>
      <c r="AP69" s="15"/>
      <c r="AQ69" s="15"/>
    </row>
    <row r="70" spans="2:43" ht="15.75" customHeight="1" x14ac:dyDescent="0.2">
      <c r="B70" s="5"/>
      <c r="C70" s="7"/>
      <c r="D70" s="11"/>
      <c r="E70" s="12"/>
      <c r="G70" s="5"/>
      <c r="H70" s="7"/>
      <c r="I70" s="11"/>
      <c r="J70" s="12"/>
      <c r="L70" s="5"/>
      <c r="M70" s="7"/>
      <c r="N70" s="11"/>
      <c r="O70" s="12"/>
      <c r="Q70" s="5"/>
      <c r="R70" s="7"/>
      <c r="S70" s="11"/>
      <c r="T70" s="12"/>
      <c r="V70" s="5"/>
      <c r="W70" s="7"/>
      <c r="X70" s="11"/>
      <c r="Y70" s="12"/>
      <c r="AA70" s="5"/>
      <c r="AB70" s="7"/>
      <c r="AC70" s="11"/>
      <c r="AD70" s="12"/>
      <c r="AE70" s="37"/>
      <c r="AF70" s="5"/>
      <c r="AG70" s="7"/>
      <c r="AH70" s="11"/>
      <c r="AI70" s="12"/>
      <c r="AJ70" s="15"/>
      <c r="AK70" s="15"/>
      <c r="AL70" s="15"/>
      <c r="AM70" s="15"/>
      <c r="AN70" s="15"/>
      <c r="AO70" s="15"/>
      <c r="AP70" s="15"/>
      <c r="AQ70" s="15"/>
    </row>
    <row r="71" spans="2:43" ht="15.75" customHeight="1" x14ac:dyDescent="0.2">
      <c r="B71" s="5"/>
      <c r="C71" s="7"/>
      <c r="D71" s="11"/>
      <c r="E71" s="12"/>
      <c r="G71" s="5"/>
      <c r="H71" s="7"/>
      <c r="I71" s="11"/>
      <c r="J71" s="12"/>
      <c r="L71" s="5"/>
      <c r="M71" s="7"/>
      <c r="N71" s="11"/>
      <c r="O71" s="12"/>
      <c r="Q71" s="5"/>
      <c r="R71" s="7"/>
      <c r="S71" s="11"/>
      <c r="T71" s="12"/>
      <c r="V71" s="5"/>
      <c r="W71" s="7"/>
      <c r="X71" s="11"/>
      <c r="Y71" s="12"/>
      <c r="AA71" s="5"/>
      <c r="AB71" s="7"/>
      <c r="AC71" s="11"/>
      <c r="AD71" s="12"/>
      <c r="AE71" s="15"/>
      <c r="AF71" s="5"/>
      <c r="AG71" s="7"/>
      <c r="AH71" s="11"/>
      <c r="AI71" s="12"/>
      <c r="AJ71" s="15"/>
      <c r="AK71" s="15"/>
      <c r="AL71" s="15"/>
      <c r="AM71" s="15"/>
      <c r="AN71" s="15"/>
      <c r="AO71" s="15"/>
      <c r="AP71" s="15"/>
      <c r="AQ71" s="15"/>
    </row>
    <row r="72" spans="2:43" ht="15.75" customHeight="1" x14ac:dyDescent="0.2">
      <c r="B72" s="5"/>
      <c r="C72" s="7"/>
      <c r="D72" s="11"/>
      <c r="E72" s="12"/>
      <c r="G72" s="5"/>
      <c r="H72" s="7"/>
      <c r="I72" s="11"/>
      <c r="J72" s="12"/>
      <c r="L72" s="5"/>
      <c r="M72" s="7"/>
      <c r="N72" s="11"/>
      <c r="O72" s="12"/>
      <c r="Q72" s="5"/>
      <c r="R72" s="7"/>
      <c r="S72" s="11"/>
      <c r="T72" s="12"/>
      <c r="V72" s="5"/>
      <c r="W72" s="7"/>
      <c r="X72" s="11"/>
      <c r="Y72" s="12"/>
      <c r="AA72" s="5"/>
      <c r="AB72" s="7"/>
      <c r="AC72" s="11"/>
      <c r="AD72" s="12"/>
      <c r="AE72" s="15"/>
      <c r="AF72" s="5"/>
      <c r="AG72" s="7"/>
      <c r="AH72" s="11"/>
      <c r="AI72" s="12"/>
      <c r="AJ72" s="15"/>
      <c r="AK72" s="15"/>
      <c r="AL72" s="15"/>
      <c r="AM72" s="15"/>
      <c r="AN72" s="15"/>
      <c r="AO72" s="15"/>
      <c r="AP72" s="15"/>
      <c r="AQ72" s="15"/>
    </row>
    <row r="73" spans="2:43" ht="15.75" customHeight="1" x14ac:dyDescent="0.2">
      <c r="B73" s="21" t="s">
        <v>52</v>
      </c>
      <c r="C73" s="22"/>
      <c r="D73" s="23"/>
      <c r="E73" s="24">
        <f>SUM(E58:E72)</f>
        <v>1967.9349999999999</v>
      </c>
      <c r="G73" s="21" t="s">
        <v>52</v>
      </c>
      <c r="H73" s="22"/>
      <c r="I73" s="23"/>
      <c r="J73" s="24">
        <f>SUM(J58:J72)</f>
        <v>1733.9099999999999</v>
      </c>
      <c r="L73" s="21" t="s">
        <v>52</v>
      </c>
      <c r="M73" s="22"/>
      <c r="N73" s="23"/>
      <c r="O73" s="24">
        <f>SUM(O58:O72)</f>
        <v>2343.3292783999996</v>
      </c>
      <c r="Q73" s="21" t="s">
        <v>52</v>
      </c>
      <c r="R73" s="22"/>
      <c r="S73" s="23"/>
      <c r="T73" s="24">
        <f>SUM(T58:T72)</f>
        <v>3935.5047999999997</v>
      </c>
      <c r="V73" s="21" t="s">
        <v>52</v>
      </c>
      <c r="W73" s="22"/>
      <c r="X73" s="23"/>
      <c r="Y73" s="24">
        <f>SUM(Y58:Y72)</f>
        <v>3076.4520245454546</v>
      </c>
      <c r="AA73" s="21" t="s">
        <v>52</v>
      </c>
      <c r="AB73" s="22"/>
      <c r="AC73" s="23"/>
      <c r="AD73" s="24">
        <f>SUM(AD58:AD72)</f>
        <v>2356.4979650000005</v>
      </c>
      <c r="AE73" s="25"/>
      <c r="AF73" s="21" t="s">
        <v>52</v>
      </c>
      <c r="AG73" s="22"/>
      <c r="AH73" s="23"/>
      <c r="AI73" s="24">
        <f>SUM(AI58:AI72)</f>
        <v>4911.9966650000015</v>
      </c>
      <c r="AJ73" s="25"/>
      <c r="AK73" s="25"/>
      <c r="AL73" s="25"/>
      <c r="AM73" s="25"/>
      <c r="AN73" s="25"/>
      <c r="AO73" s="25"/>
      <c r="AP73" s="25"/>
      <c r="AQ73" s="25"/>
    </row>
    <row r="74" spans="2:43" ht="15.75" customHeight="1" x14ac:dyDescent="0.2">
      <c r="B74" s="19" t="s">
        <v>53</v>
      </c>
      <c r="C74" s="27"/>
      <c r="D74" s="28"/>
      <c r="E74" s="29">
        <f>SUM(E73)</f>
        <v>1967.9349999999999</v>
      </c>
      <c r="G74" s="19" t="s">
        <v>53</v>
      </c>
      <c r="H74" s="27"/>
      <c r="I74" s="28"/>
      <c r="J74" s="29">
        <f>SUM(J73)</f>
        <v>1733.9099999999999</v>
      </c>
      <c r="L74" s="19" t="s">
        <v>53</v>
      </c>
      <c r="M74" s="27"/>
      <c r="N74" s="28"/>
      <c r="O74" s="29">
        <f>SUM(O73)</f>
        <v>2343.3292783999996</v>
      </c>
      <c r="Q74" s="19" t="s">
        <v>53</v>
      </c>
      <c r="R74" s="27"/>
      <c r="S74" s="28"/>
      <c r="T74" s="29">
        <f>SUM(T73)</f>
        <v>3935.5047999999997</v>
      </c>
      <c r="V74" s="19" t="s">
        <v>53</v>
      </c>
      <c r="W74" s="27"/>
      <c r="X74" s="28"/>
      <c r="Y74" s="29">
        <f>SUM(Y73)</f>
        <v>3076.4520245454546</v>
      </c>
      <c r="AA74" s="19" t="s">
        <v>53</v>
      </c>
      <c r="AB74" s="27"/>
      <c r="AC74" s="28"/>
      <c r="AD74" s="29">
        <f>SUM(AD73)</f>
        <v>2356.4979650000005</v>
      </c>
      <c r="AE74" s="30"/>
      <c r="AF74" s="19" t="s">
        <v>53</v>
      </c>
      <c r="AG74" s="27"/>
      <c r="AH74" s="28"/>
      <c r="AI74" s="29">
        <f>SUM(AI73)</f>
        <v>4911.9966650000015</v>
      </c>
      <c r="AJ74" s="30"/>
      <c r="AK74" s="30"/>
      <c r="AL74" s="30"/>
      <c r="AM74" s="30"/>
      <c r="AN74" s="30"/>
      <c r="AO74" s="30"/>
      <c r="AP74" s="30"/>
      <c r="AQ74" s="30"/>
    </row>
    <row r="75" spans="2:43" ht="15.75" customHeight="1" x14ac:dyDescent="0.2">
      <c r="B75" s="19" t="s">
        <v>54</v>
      </c>
      <c r="C75" s="27"/>
      <c r="D75" s="28"/>
      <c r="E75" s="29">
        <f>+E74</f>
        <v>1967.9349999999999</v>
      </c>
      <c r="G75" s="19" t="s">
        <v>54</v>
      </c>
      <c r="H75" s="27"/>
      <c r="I75" s="28"/>
      <c r="J75" s="29">
        <f>+J74</f>
        <v>1733.9099999999999</v>
      </c>
      <c r="L75" s="19" t="s">
        <v>54</v>
      </c>
      <c r="M75" s="27"/>
      <c r="N75" s="28"/>
      <c r="O75" s="29">
        <f>+O74</f>
        <v>2343.3292783999996</v>
      </c>
      <c r="Q75" s="19" t="s">
        <v>54</v>
      </c>
      <c r="R75" s="27"/>
      <c r="S75" s="28"/>
      <c r="T75" s="29">
        <f>+T74</f>
        <v>3935.5047999999997</v>
      </c>
      <c r="V75" s="19" t="s">
        <v>54</v>
      </c>
      <c r="W75" s="27"/>
      <c r="X75" s="28"/>
      <c r="Y75" s="29">
        <f>+Y74</f>
        <v>3076.4520245454546</v>
      </c>
      <c r="AA75" s="19" t="s">
        <v>54</v>
      </c>
      <c r="AB75" s="27"/>
      <c r="AC75" s="28"/>
      <c r="AD75" s="29">
        <f>+AD74</f>
        <v>2356.4979650000005</v>
      </c>
      <c r="AE75" s="30"/>
      <c r="AF75" s="19" t="s">
        <v>54</v>
      </c>
      <c r="AG75" s="27"/>
      <c r="AH75" s="28"/>
      <c r="AI75" s="29">
        <f>+AI74</f>
        <v>4911.9966650000015</v>
      </c>
      <c r="AJ75" s="30"/>
      <c r="AK75" s="30"/>
      <c r="AL75" s="30"/>
      <c r="AM75" s="30"/>
      <c r="AN75" s="30"/>
      <c r="AO75" s="30"/>
      <c r="AP75" s="30"/>
      <c r="AQ75" s="30"/>
    </row>
    <row r="76" spans="2:43" ht="15.75" customHeight="1" x14ac:dyDescent="0.2">
      <c r="B76" s="19" t="s">
        <v>55</v>
      </c>
      <c r="C76" s="27"/>
      <c r="D76" s="31">
        <v>0.3</v>
      </c>
      <c r="E76" s="29"/>
      <c r="G76" s="19" t="s">
        <v>55</v>
      </c>
      <c r="H76" s="27"/>
      <c r="I76" s="31">
        <v>0.3</v>
      </c>
      <c r="J76" s="29"/>
      <c r="L76" s="19" t="s">
        <v>55</v>
      </c>
      <c r="M76" s="27"/>
      <c r="N76" s="31">
        <v>0.3</v>
      </c>
      <c r="O76" s="29"/>
      <c r="Q76" s="19" t="s">
        <v>55</v>
      </c>
      <c r="R76" s="27"/>
      <c r="S76" s="31">
        <v>0.3</v>
      </c>
      <c r="T76" s="29"/>
      <c r="V76" s="19" t="s">
        <v>55</v>
      </c>
      <c r="W76" s="27"/>
      <c r="X76" s="31">
        <v>0.3</v>
      </c>
      <c r="Y76" s="29"/>
      <c r="AA76" s="19" t="s">
        <v>55</v>
      </c>
      <c r="AB76" s="27"/>
      <c r="AC76" s="31">
        <v>0.3</v>
      </c>
      <c r="AD76" s="29"/>
      <c r="AE76" s="30"/>
      <c r="AF76" s="19" t="s">
        <v>55</v>
      </c>
      <c r="AG76" s="27"/>
      <c r="AH76" s="31">
        <v>0.3</v>
      </c>
      <c r="AI76" s="29"/>
      <c r="AJ76" s="30"/>
      <c r="AK76" s="30"/>
      <c r="AL76" s="30"/>
      <c r="AM76" s="30"/>
      <c r="AN76" s="30"/>
      <c r="AO76" s="30"/>
      <c r="AP76" s="30"/>
      <c r="AQ76" s="30"/>
    </row>
    <row r="77" spans="2:43" ht="15.75" customHeight="1" x14ac:dyDescent="0.2">
      <c r="B77" s="19" t="s">
        <v>56</v>
      </c>
      <c r="C77" s="27"/>
      <c r="D77" s="31"/>
      <c r="E77" s="29">
        <f>+E75*3.33333333333333</f>
        <v>6559.7833333333265</v>
      </c>
      <c r="G77" s="19" t="s">
        <v>56</v>
      </c>
      <c r="H77" s="27"/>
      <c r="I77" s="31"/>
      <c r="J77" s="29">
        <f>+J75*3.33333333333333</f>
        <v>5779.6999999999935</v>
      </c>
      <c r="L77" s="19" t="s">
        <v>56</v>
      </c>
      <c r="M77" s="27"/>
      <c r="N77" s="31"/>
      <c r="O77" s="29">
        <f>+O75*3.33333333333333</f>
        <v>7811.0975946666576</v>
      </c>
      <c r="Q77" s="19" t="s">
        <v>56</v>
      </c>
      <c r="R77" s="27"/>
      <c r="S77" s="31"/>
      <c r="T77" s="29">
        <f>+T75*3.33333333333333</f>
        <v>13118.349333333319</v>
      </c>
      <c r="V77" s="19" t="s">
        <v>56</v>
      </c>
      <c r="W77" s="27"/>
      <c r="X77" s="31"/>
      <c r="Y77" s="29">
        <f>+Y75*3.33333333333333</f>
        <v>10254.840081818171</v>
      </c>
      <c r="AA77" s="19" t="s">
        <v>56</v>
      </c>
      <c r="AB77" s="27"/>
      <c r="AC77" s="31"/>
      <c r="AD77" s="29">
        <f>+AD75*3.33333333333333</f>
        <v>7854.9932166666604</v>
      </c>
      <c r="AE77" s="30"/>
      <c r="AF77" s="19" t="s">
        <v>56</v>
      </c>
      <c r="AG77" s="27"/>
      <c r="AH77" s="31"/>
      <c r="AI77" s="29">
        <f>+AI75*3.33333333333333</f>
        <v>16373.322216666655</v>
      </c>
      <c r="AJ77" s="30"/>
      <c r="AK77" s="30"/>
      <c r="AL77" s="30"/>
      <c r="AM77" s="30"/>
      <c r="AN77" s="30"/>
      <c r="AO77" s="30"/>
      <c r="AP77" s="30"/>
      <c r="AQ77" s="30"/>
    </row>
    <row r="78" spans="2:43" ht="15.75" customHeight="1" x14ac:dyDescent="0.2">
      <c r="B78" s="19" t="s">
        <v>57</v>
      </c>
      <c r="C78" s="27"/>
      <c r="D78" s="27"/>
      <c r="E78" s="29">
        <v>9000</v>
      </c>
      <c r="G78" s="19" t="s">
        <v>57</v>
      </c>
      <c r="H78" s="27"/>
      <c r="I78" s="27"/>
      <c r="J78" s="29">
        <v>9000</v>
      </c>
      <c r="L78" s="19" t="s">
        <v>57</v>
      </c>
      <c r="M78" s="27"/>
      <c r="N78" s="27"/>
      <c r="O78" s="29">
        <v>12000</v>
      </c>
      <c r="Q78" s="19" t="s">
        <v>57</v>
      </c>
      <c r="R78" s="27"/>
      <c r="S78" s="27"/>
      <c r="T78" s="29">
        <v>16000</v>
      </c>
      <c r="V78" s="19" t="s">
        <v>57</v>
      </c>
      <c r="W78" s="27"/>
      <c r="X78" s="27"/>
      <c r="Y78" s="29">
        <v>14000</v>
      </c>
      <c r="AA78" s="19" t="s">
        <v>57</v>
      </c>
      <c r="AB78" s="27"/>
      <c r="AC78" s="27"/>
      <c r="AD78" s="29">
        <v>15500</v>
      </c>
      <c r="AE78" s="30"/>
      <c r="AF78" s="19" t="s">
        <v>57</v>
      </c>
      <c r="AG78" s="27"/>
      <c r="AH78" s="27"/>
      <c r="AI78" s="29">
        <v>20000</v>
      </c>
      <c r="AJ78" s="30"/>
      <c r="AK78" s="30"/>
      <c r="AL78" s="30"/>
      <c r="AM78" s="30"/>
      <c r="AN78" s="30"/>
      <c r="AO78" s="30"/>
      <c r="AP78" s="30"/>
      <c r="AQ78" s="30"/>
    </row>
    <row r="79" spans="2:43" ht="15.75" customHeight="1" x14ac:dyDescent="0.2">
      <c r="B79" s="19"/>
      <c r="C79" s="27"/>
      <c r="D79" s="28"/>
      <c r="E79" s="24">
        <f>+E78-E77</f>
        <v>2440.2166666666735</v>
      </c>
      <c r="G79" s="19"/>
      <c r="H79" s="27"/>
      <c r="I79" s="28"/>
      <c r="J79" s="24">
        <f>+J78-J77</f>
        <v>3220.3000000000065</v>
      </c>
      <c r="L79" s="19"/>
      <c r="M79" s="27"/>
      <c r="N79" s="28"/>
      <c r="O79" s="24">
        <f>+O78-O77</f>
        <v>4188.9024053333424</v>
      </c>
      <c r="Q79" s="19"/>
      <c r="R79" s="27"/>
      <c r="S79" s="28"/>
      <c r="T79" s="24">
        <f>+T78-T77</f>
        <v>2881.650666666681</v>
      </c>
      <c r="V79" s="19"/>
      <c r="W79" s="27"/>
      <c r="X79" s="28"/>
      <c r="Y79" s="24">
        <f>+Y78-Y77</f>
        <v>3745.1599181818292</v>
      </c>
      <c r="AA79" s="19"/>
      <c r="AB79" s="27"/>
      <c r="AC79" s="28"/>
      <c r="AD79" s="24">
        <f>+AD78-AD77</f>
        <v>7645.0067833333396</v>
      </c>
      <c r="AE79" s="25"/>
      <c r="AF79" s="19"/>
      <c r="AG79" s="27"/>
      <c r="AH79" s="28"/>
      <c r="AI79" s="24">
        <f>+AI78-AI77</f>
        <v>3626.6777833333454</v>
      </c>
      <c r="AJ79" s="25"/>
      <c r="AK79" s="25"/>
      <c r="AL79" s="25"/>
      <c r="AM79" s="25"/>
      <c r="AN79" s="25"/>
      <c r="AO79" s="25"/>
      <c r="AP79" s="25"/>
      <c r="AQ79" s="25"/>
    </row>
    <row r="80" spans="2:43" ht="15.75" customHeight="1" x14ac:dyDescent="0.2">
      <c r="B80" s="32" t="s">
        <v>58</v>
      </c>
      <c r="C80" s="33"/>
      <c r="D80" s="33"/>
      <c r="E80" s="34">
        <f>E75/E78</f>
        <v>0.21865944444444443</v>
      </c>
      <c r="G80" s="32" t="s">
        <v>58</v>
      </c>
      <c r="H80" s="33"/>
      <c r="I80" s="33"/>
      <c r="J80" s="34">
        <f>J75/J78</f>
        <v>0.19265666666666664</v>
      </c>
      <c r="L80" s="32" t="s">
        <v>58</v>
      </c>
      <c r="M80" s="33"/>
      <c r="N80" s="33"/>
      <c r="O80" s="34">
        <f>O75/O78</f>
        <v>0.19527743986666662</v>
      </c>
      <c r="Q80" s="32" t="s">
        <v>58</v>
      </c>
      <c r="R80" s="33"/>
      <c r="S80" s="33"/>
      <c r="T80" s="34">
        <f>T75/T78</f>
        <v>0.24596904999999999</v>
      </c>
      <c r="V80" s="32" t="s">
        <v>58</v>
      </c>
      <c r="W80" s="33"/>
      <c r="X80" s="33"/>
      <c r="Y80" s="34">
        <f>Y75/Y78</f>
        <v>0.2197465731818182</v>
      </c>
      <c r="AA80" s="32" t="s">
        <v>58</v>
      </c>
      <c r="AB80" s="33"/>
      <c r="AC80" s="33"/>
      <c r="AD80" s="34">
        <f>AD75/AD78</f>
        <v>0.15203212677419359</v>
      </c>
      <c r="AE80" s="35"/>
      <c r="AF80" s="32" t="s">
        <v>58</v>
      </c>
      <c r="AG80" s="33"/>
      <c r="AH80" s="33"/>
      <c r="AI80" s="34">
        <f>AI75/AI78</f>
        <v>0.24559983325000007</v>
      </c>
      <c r="AJ80" s="35"/>
      <c r="AK80" s="35"/>
      <c r="AL80" s="35"/>
      <c r="AM80" s="35"/>
      <c r="AN80" s="35"/>
      <c r="AO80" s="35"/>
      <c r="AP80" s="35"/>
      <c r="AQ80" s="35"/>
    </row>
    <row r="81" spans="2:43" ht="15.75" customHeight="1" x14ac:dyDescent="0.15">
      <c r="AE81" s="3"/>
      <c r="AF81" s="3"/>
      <c r="AG81" s="3"/>
      <c r="AH81" s="3"/>
      <c r="AI81" s="3"/>
      <c r="AJ81" s="3"/>
      <c r="AK81" s="3"/>
      <c r="AL81" s="3"/>
      <c r="AM81" s="3"/>
      <c r="AN81" s="3"/>
      <c r="AO81" s="3"/>
      <c r="AP81" s="3"/>
      <c r="AQ81" s="3"/>
    </row>
    <row r="82" spans="2:43" ht="15.75" customHeight="1" x14ac:dyDescent="0.15">
      <c r="AE82" s="3"/>
      <c r="AF82" s="3"/>
      <c r="AG82" s="3"/>
      <c r="AH82" s="3"/>
      <c r="AI82" s="3"/>
      <c r="AJ82" s="3"/>
      <c r="AK82" s="3"/>
      <c r="AL82" s="3"/>
      <c r="AM82" s="3"/>
      <c r="AN82" s="3"/>
      <c r="AO82" s="3"/>
      <c r="AP82" s="3"/>
      <c r="AQ82" s="3"/>
    </row>
    <row r="83" spans="2:43" ht="15.75" customHeight="1" x14ac:dyDescent="0.15">
      <c r="B83" s="215" t="s">
        <v>105</v>
      </c>
      <c r="C83" s="213"/>
      <c r="D83" s="213"/>
      <c r="E83" s="214"/>
      <c r="G83" s="215" t="s">
        <v>106</v>
      </c>
      <c r="H83" s="213"/>
      <c r="I83" s="213"/>
      <c r="J83" s="214"/>
      <c r="L83" s="215" t="s">
        <v>107</v>
      </c>
      <c r="M83" s="213"/>
      <c r="N83" s="213"/>
      <c r="O83" s="214"/>
      <c r="Q83" s="215" t="s">
        <v>108</v>
      </c>
      <c r="R83" s="213"/>
      <c r="S83" s="213"/>
      <c r="T83" s="214"/>
      <c r="V83" s="215" t="s">
        <v>109</v>
      </c>
      <c r="W83" s="213"/>
      <c r="X83" s="213"/>
      <c r="Y83" s="214"/>
      <c r="AA83" s="215" t="s">
        <v>110</v>
      </c>
      <c r="AB83" s="213"/>
      <c r="AC83" s="213"/>
      <c r="AD83" s="214"/>
      <c r="AE83" s="4"/>
      <c r="AF83" s="212" t="s">
        <v>111</v>
      </c>
      <c r="AG83" s="213"/>
      <c r="AH83" s="213"/>
      <c r="AI83" s="214"/>
      <c r="AJ83" s="4"/>
      <c r="AK83" s="4"/>
      <c r="AL83" s="4"/>
      <c r="AM83" s="4"/>
      <c r="AN83" s="4"/>
      <c r="AO83" s="4"/>
      <c r="AP83" s="4"/>
      <c r="AQ83" s="4"/>
    </row>
    <row r="84" spans="2:43" ht="15.75" customHeight="1" x14ac:dyDescent="0.2">
      <c r="B84" s="5"/>
      <c r="C84" s="6" t="s">
        <v>8</v>
      </c>
      <c r="D84" s="7" t="s">
        <v>9</v>
      </c>
      <c r="E84" s="8" t="s">
        <v>10</v>
      </c>
      <c r="G84" s="5"/>
      <c r="H84" s="6" t="s">
        <v>8</v>
      </c>
      <c r="I84" s="7" t="s">
        <v>9</v>
      </c>
      <c r="J84" s="8" t="s">
        <v>10</v>
      </c>
      <c r="L84" s="5"/>
      <c r="M84" s="6" t="s">
        <v>8</v>
      </c>
      <c r="N84" s="7" t="s">
        <v>9</v>
      </c>
      <c r="O84" s="8" t="s">
        <v>10</v>
      </c>
      <c r="Q84" s="5"/>
      <c r="R84" s="6" t="s">
        <v>8</v>
      </c>
      <c r="S84" s="7" t="s">
        <v>9</v>
      </c>
      <c r="T84" s="8" t="s">
        <v>10</v>
      </c>
      <c r="V84" s="5"/>
      <c r="W84" s="6" t="s">
        <v>8</v>
      </c>
      <c r="X84" s="7" t="s">
        <v>9</v>
      </c>
      <c r="Y84" s="8" t="s">
        <v>10</v>
      </c>
      <c r="AA84" s="5"/>
      <c r="AB84" s="6" t="s">
        <v>8</v>
      </c>
      <c r="AC84" s="7" t="s">
        <v>9</v>
      </c>
      <c r="AD84" s="8" t="s">
        <v>10</v>
      </c>
      <c r="AE84" s="9"/>
      <c r="AF84" s="5"/>
      <c r="AG84" s="6" t="s">
        <v>8</v>
      </c>
      <c r="AH84" s="7" t="s">
        <v>9</v>
      </c>
      <c r="AI84" s="8" t="s">
        <v>10</v>
      </c>
      <c r="AJ84" s="9"/>
      <c r="AK84" s="9"/>
      <c r="AL84" s="9"/>
      <c r="AM84" s="9"/>
      <c r="AN84" s="9"/>
      <c r="AO84" s="9"/>
      <c r="AP84" s="9"/>
      <c r="AQ84" s="9"/>
    </row>
    <row r="85" spans="2:43" ht="15.75" customHeight="1" x14ac:dyDescent="0.2">
      <c r="B85" s="13" t="s">
        <v>23</v>
      </c>
      <c r="C85" s="10">
        <v>0.1</v>
      </c>
      <c r="D85" s="11">
        <f>+VLOOKUP(B85,'PRECIO PROVEEDORES'!$A$2:$B$716,2,0)</f>
        <v>3360</v>
      </c>
      <c r="E85" s="12">
        <f t="shared" ref="E85:E92" si="20">+C85*D85</f>
        <v>336</v>
      </c>
      <c r="G85" s="7" t="s">
        <v>112</v>
      </c>
      <c r="H85" s="10">
        <v>1</v>
      </c>
      <c r="I85" s="11">
        <f>+VLOOKUP(G85,'PRECIO PROVEEDORES'!$A$2:$B$716,2,0)</f>
        <v>1100</v>
      </c>
      <c r="J85" s="12">
        <f t="shared" ref="J85:J89" si="21">+H85*I85</f>
        <v>1100</v>
      </c>
      <c r="L85" s="13" t="s">
        <v>113</v>
      </c>
      <c r="M85" s="10">
        <v>0.15</v>
      </c>
      <c r="N85" s="11">
        <f>+VLOOKUP(L85,'PRECIO PROVEEDORES'!$A$2:$B$716,2,0)</f>
        <v>15760</v>
      </c>
      <c r="O85" s="12">
        <f t="shared" ref="O85:O89" si="22">+M85*N85</f>
        <v>2364</v>
      </c>
      <c r="Q85" s="7" t="s">
        <v>93</v>
      </c>
      <c r="R85" s="10">
        <v>1</v>
      </c>
      <c r="S85" s="11">
        <f>+VLOOKUP(Q85,'PRECIO PROVEEDORES'!$A$2:$B$716,2,0)</f>
        <v>1307</v>
      </c>
      <c r="T85" s="12">
        <f t="shared" ref="T85:T87" si="23">+R85*S85</f>
        <v>1307</v>
      </c>
      <c r="V85" s="7" t="s">
        <v>93</v>
      </c>
      <c r="W85" s="10">
        <v>1</v>
      </c>
      <c r="X85" s="11">
        <f>+VLOOKUP(V85,'PRECIO PROVEEDORES'!$A$2:$B$716,2,0)</f>
        <v>1307</v>
      </c>
      <c r="Y85" s="12">
        <f t="shared" ref="Y85:Y87" si="24">+W85*X85</f>
        <v>1307</v>
      </c>
      <c r="AA85" s="13" t="s">
        <v>66</v>
      </c>
      <c r="AB85" s="10">
        <v>1</v>
      </c>
      <c r="AC85" s="11">
        <f>+VLOOKUP(AA85,'PRECIO PROVEEDORES'!$A$2:$B$716,2,0)</f>
        <v>1252.8</v>
      </c>
      <c r="AD85" s="12">
        <f t="shared" ref="AD85:AD91" si="25">+AB85*AC85</f>
        <v>1252.8</v>
      </c>
      <c r="AE85" s="15"/>
      <c r="AF85" s="13" t="s">
        <v>16</v>
      </c>
      <c r="AG85" s="10">
        <v>0.3</v>
      </c>
      <c r="AH85" s="11">
        <f>+VLOOKUP(AF85,'PRECIO PROVEEDORES'!$A$2:$B$716,2,0)</f>
        <v>8954.3189333333339</v>
      </c>
      <c r="AI85" s="12">
        <f>+AG85*AH85</f>
        <v>2686.2956800000002</v>
      </c>
      <c r="AJ85" s="15"/>
      <c r="AK85" s="15"/>
      <c r="AL85" s="15"/>
      <c r="AM85" s="15"/>
      <c r="AN85" s="15"/>
      <c r="AO85" s="15"/>
      <c r="AP85" s="15"/>
      <c r="AQ85" s="15"/>
    </row>
    <row r="86" spans="2:43" ht="15.75" customHeight="1" x14ac:dyDescent="0.2">
      <c r="B86" s="13" t="s">
        <v>44</v>
      </c>
      <c r="C86" s="10">
        <v>0.05</v>
      </c>
      <c r="D86" s="11">
        <f>+VLOOKUP(B86,'PRECIO PROVEEDORES'!$A$2:$B$716,2,0)</f>
        <v>10450</v>
      </c>
      <c r="E86" s="12">
        <f t="shared" si="20"/>
        <v>522.5</v>
      </c>
      <c r="G86" s="7" t="s">
        <v>12</v>
      </c>
      <c r="H86" s="10">
        <v>1</v>
      </c>
      <c r="I86" s="11">
        <f>+VLOOKUP(G86,'PRECIO PROVEEDORES'!$A$2:$B$716,2,0)</f>
        <v>243.1</v>
      </c>
      <c r="J86" s="12">
        <f t="shared" si="21"/>
        <v>243.1</v>
      </c>
      <c r="L86" s="13" t="s">
        <v>16</v>
      </c>
      <c r="M86" s="10">
        <v>0.05</v>
      </c>
      <c r="N86" s="11">
        <f>+VLOOKUP(L86,'PRECIO PROVEEDORES'!$A$2:$B$716,2,0)</f>
        <v>8954.3189333333339</v>
      </c>
      <c r="O86" s="12">
        <f t="shared" si="22"/>
        <v>447.7159466666667</v>
      </c>
      <c r="Q86" s="7" t="s">
        <v>21</v>
      </c>
      <c r="R86" s="10">
        <v>0.08</v>
      </c>
      <c r="S86" s="11">
        <f>+VLOOKUP(Q86,'PRECIO PROVEEDORES'!$A$2:$B$716,2,0)</f>
        <v>11881</v>
      </c>
      <c r="T86" s="12">
        <f t="shared" si="23"/>
        <v>950.48</v>
      </c>
      <c r="V86" s="7" t="s">
        <v>28</v>
      </c>
      <c r="W86" s="10">
        <v>0.08</v>
      </c>
      <c r="X86" s="11">
        <f>+VLOOKUP(V86,'PRECIO PROVEEDORES'!$A$2:$B$716,2,0)</f>
        <v>10697</v>
      </c>
      <c r="Y86" s="12">
        <f t="shared" si="24"/>
        <v>855.76</v>
      </c>
      <c r="AA86" s="38" t="s">
        <v>114</v>
      </c>
      <c r="AB86" s="10">
        <v>0.02</v>
      </c>
      <c r="AC86" s="11">
        <f>+VLOOKUP(AA86,'PRECIO PROVEEDORES'!$A$2:$B$716,2,0)</f>
        <v>28695</v>
      </c>
      <c r="AD86" s="12">
        <f t="shared" si="25"/>
        <v>573.9</v>
      </c>
      <c r="AE86" s="37"/>
      <c r="AF86" s="13"/>
      <c r="AG86" s="10"/>
      <c r="AH86" s="11"/>
      <c r="AI86" s="12"/>
      <c r="AJ86" s="15"/>
      <c r="AK86" s="15"/>
      <c r="AL86" s="15"/>
      <c r="AM86" s="15"/>
      <c r="AN86" s="15"/>
      <c r="AO86" s="15"/>
      <c r="AP86" s="15"/>
      <c r="AQ86" s="15"/>
    </row>
    <row r="87" spans="2:43" ht="15.75" customHeight="1" x14ac:dyDescent="0.2">
      <c r="B87" s="13" t="s">
        <v>30</v>
      </c>
      <c r="C87" s="10">
        <v>0.05</v>
      </c>
      <c r="D87" s="11">
        <f>+VLOOKUP(B87,'PRECIO PROVEEDORES'!$A$2:$B$716,2,0)</f>
        <v>26000</v>
      </c>
      <c r="E87" s="12">
        <f t="shared" si="20"/>
        <v>1300</v>
      </c>
      <c r="G87" s="7" t="s">
        <v>66</v>
      </c>
      <c r="H87" s="10">
        <v>1</v>
      </c>
      <c r="I87" s="11">
        <f>+VLOOKUP(G87,'PRECIO PROVEEDORES'!$A$2:$B$716,2,0)</f>
        <v>1252.8</v>
      </c>
      <c r="J87" s="12">
        <f t="shared" si="21"/>
        <v>1252.8</v>
      </c>
      <c r="L87" s="13" t="s">
        <v>23</v>
      </c>
      <c r="M87" s="10">
        <v>0.05</v>
      </c>
      <c r="N87" s="11">
        <f>+VLOOKUP(L87,'PRECIO PROVEEDORES'!$A$2:$B$716,2,0)</f>
        <v>3360</v>
      </c>
      <c r="O87" s="12">
        <f t="shared" si="22"/>
        <v>168</v>
      </c>
      <c r="Q87" s="7" t="s">
        <v>28</v>
      </c>
      <c r="R87" s="10">
        <v>0.08</v>
      </c>
      <c r="S87" s="11">
        <f>+VLOOKUP(Q87,'PRECIO PROVEEDORES'!$A$2:$B$716,2,0)</f>
        <v>10697</v>
      </c>
      <c r="T87" s="12">
        <f t="shared" si="23"/>
        <v>855.76</v>
      </c>
      <c r="V87" s="7" t="s">
        <v>96</v>
      </c>
      <c r="W87" s="10">
        <v>0.06</v>
      </c>
      <c r="X87" s="11">
        <f>+VLOOKUP(V87,'PRECIO PROVEEDORES'!$A$2:$B$716,2,0)</f>
        <v>1800</v>
      </c>
      <c r="Y87" s="12">
        <f t="shared" si="24"/>
        <v>108</v>
      </c>
      <c r="AA87" s="13" t="s">
        <v>115</v>
      </c>
      <c r="AB87" s="10">
        <v>0.06</v>
      </c>
      <c r="AC87" s="11">
        <f>+VLOOKUP(AA87,'PRECIO PROVEEDORES'!$A$2:$B$716,2,0)</f>
        <v>4299.01</v>
      </c>
      <c r="AD87" s="12">
        <f t="shared" si="25"/>
        <v>257.94060000000002</v>
      </c>
      <c r="AE87" s="37"/>
      <c r="AF87" s="13"/>
      <c r="AG87" s="10"/>
      <c r="AH87" s="11"/>
      <c r="AI87" s="12"/>
      <c r="AJ87" s="15"/>
      <c r="AK87" s="15"/>
      <c r="AL87" s="15"/>
      <c r="AM87" s="15"/>
      <c r="AN87" s="15"/>
      <c r="AO87" s="15"/>
      <c r="AP87" s="15"/>
      <c r="AQ87" s="15"/>
    </row>
    <row r="88" spans="2:43" ht="15.75" customHeight="1" x14ac:dyDescent="0.2">
      <c r="B88" s="13" t="s">
        <v>14</v>
      </c>
      <c r="C88" s="10">
        <v>0.02</v>
      </c>
      <c r="D88" s="11">
        <f>+VLOOKUP(B88,'PRECIO PROVEEDORES'!$A$2:$B$716,2,0)</f>
        <v>2332</v>
      </c>
      <c r="E88" s="12">
        <f t="shared" si="20"/>
        <v>46.64</v>
      </c>
      <c r="G88" s="13" t="s">
        <v>116</v>
      </c>
      <c r="H88" s="10">
        <v>0.04</v>
      </c>
      <c r="I88" s="11">
        <f>+VLOOKUP(G88,'PRECIO PROVEEDORES'!$A$2:$B$716,2,0)</f>
        <v>14000</v>
      </c>
      <c r="J88" s="12">
        <f t="shared" si="21"/>
        <v>560</v>
      </c>
      <c r="L88" s="13" t="s">
        <v>30</v>
      </c>
      <c r="M88" s="10">
        <v>0.04</v>
      </c>
      <c r="N88" s="11">
        <f>+VLOOKUP(L88,'PRECIO PROVEEDORES'!$A$2:$B$716,2,0)</f>
        <v>26000</v>
      </c>
      <c r="O88" s="12">
        <f t="shared" si="22"/>
        <v>1040</v>
      </c>
      <c r="Q88" s="5"/>
      <c r="R88" s="7"/>
      <c r="S88" s="11"/>
      <c r="T88" s="12"/>
      <c r="V88" s="7"/>
      <c r="W88" s="7"/>
      <c r="X88" s="11"/>
      <c r="Y88" s="12"/>
      <c r="AA88" s="38" t="s">
        <v>117</v>
      </c>
      <c r="AB88" s="10">
        <v>0.04</v>
      </c>
      <c r="AC88" s="11">
        <f>+VLOOKUP(AA88,'PRECIO PROVEEDORES'!$A$2:$B$716,2,0)</f>
        <v>26900</v>
      </c>
      <c r="AD88" s="12">
        <f t="shared" si="25"/>
        <v>1076</v>
      </c>
      <c r="AE88" s="37"/>
      <c r="AF88" s="13"/>
      <c r="AG88" s="10"/>
      <c r="AH88" s="11"/>
      <c r="AI88" s="12"/>
      <c r="AJ88" s="15"/>
      <c r="AK88" s="15"/>
      <c r="AL88" s="15"/>
      <c r="AM88" s="15"/>
      <c r="AN88" s="15"/>
      <c r="AO88" s="15"/>
      <c r="AP88" s="15"/>
      <c r="AQ88" s="15"/>
    </row>
    <row r="89" spans="2:43" ht="15.75" customHeight="1" x14ac:dyDescent="0.2">
      <c r="B89" s="13" t="s">
        <v>34</v>
      </c>
      <c r="C89" s="10">
        <v>1.4999999999999999E-2</v>
      </c>
      <c r="D89" s="11">
        <f>+VLOOKUP(B89,'PRECIO PROVEEDORES'!$A$2:$B$716,2,0)</f>
        <v>5917</v>
      </c>
      <c r="E89" s="12">
        <f t="shared" si="20"/>
        <v>88.754999999999995</v>
      </c>
      <c r="G89" s="13" t="s">
        <v>26</v>
      </c>
      <c r="H89" s="10">
        <v>0.04</v>
      </c>
      <c r="I89" s="11">
        <f>+VLOOKUP(G89,'PRECIO PROVEEDORES'!$A$2:$B$716,2,0)</f>
        <v>6000</v>
      </c>
      <c r="J89" s="12">
        <f t="shared" si="21"/>
        <v>240</v>
      </c>
      <c r="L89" s="13" t="s">
        <v>34</v>
      </c>
      <c r="M89" s="10">
        <v>0.01</v>
      </c>
      <c r="N89" s="11">
        <f>+VLOOKUP(L89,'PRECIO PROVEEDORES'!$A$2:$B$716,2,0)</f>
        <v>5917</v>
      </c>
      <c r="O89" s="12">
        <f t="shared" si="22"/>
        <v>59.17</v>
      </c>
      <c r="Q89" s="5"/>
      <c r="R89" s="7"/>
      <c r="S89" s="11"/>
      <c r="T89" s="12"/>
      <c r="V89" s="5"/>
      <c r="W89" s="7"/>
      <c r="X89" s="11"/>
      <c r="Y89" s="12"/>
      <c r="AA89" s="7" t="s">
        <v>102</v>
      </c>
      <c r="AB89" s="10">
        <v>0.05</v>
      </c>
      <c r="AC89" s="11">
        <f>+VLOOKUP(AA89,'PRECIO PROVEEDORES'!$A$2:$B$716,2,0)</f>
        <v>6130.5563999999995</v>
      </c>
      <c r="AD89" s="12">
        <f t="shared" si="25"/>
        <v>306.52781999999996</v>
      </c>
      <c r="AE89" s="37"/>
      <c r="AF89" s="13"/>
      <c r="AG89" s="10"/>
      <c r="AH89" s="11"/>
      <c r="AI89" s="12"/>
      <c r="AJ89" s="15"/>
      <c r="AK89" s="15"/>
      <c r="AL89" s="15"/>
      <c r="AM89" s="15"/>
      <c r="AN89" s="15"/>
      <c r="AO89" s="15"/>
      <c r="AP89" s="15"/>
      <c r="AQ89" s="15"/>
    </row>
    <row r="90" spans="2:43" ht="15.75" customHeight="1" x14ac:dyDescent="0.2">
      <c r="B90" s="13" t="s">
        <v>99</v>
      </c>
      <c r="C90" s="10">
        <v>0.03</v>
      </c>
      <c r="D90" s="11">
        <f>+VLOOKUP(B90,'PRECIO PROVEEDORES'!$A$2:$B$716,2,0)</f>
        <v>19455.208333333332</v>
      </c>
      <c r="E90" s="12">
        <f t="shared" si="20"/>
        <v>583.65624999999989</v>
      </c>
      <c r="G90" s="5"/>
      <c r="H90" s="7"/>
      <c r="I90" s="11"/>
      <c r="J90" s="12"/>
      <c r="L90" s="13"/>
      <c r="M90" s="10"/>
      <c r="N90" s="11"/>
      <c r="O90" s="12"/>
      <c r="Q90" s="5"/>
      <c r="R90" s="7"/>
      <c r="S90" s="11"/>
      <c r="T90" s="12"/>
      <c r="V90" s="5"/>
      <c r="W90" s="7"/>
      <c r="X90" s="11"/>
      <c r="Y90" s="12"/>
      <c r="AA90" s="39" t="s">
        <v>76</v>
      </c>
      <c r="AB90" s="10">
        <v>1.4999999999999999E-2</v>
      </c>
      <c r="AC90" s="11">
        <f>+VLOOKUP(AA90,'PRECIO PROVEEDORES'!$A$2:$B$716,2,0)</f>
        <v>16260</v>
      </c>
      <c r="AD90" s="12">
        <f t="shared" si="25"/>
        <v>243.89999999999998</v>
      </c>
      <c r="AE90" s="37"/>
      <c r="AF90" s="13"/>
      <c r="AG90" s="10"/>
      <c r="AH90" s="11"/>
      <c r="AI90" s="12"/>
      <c r="AJ90" s="15"/>
      <c r="AK90" s="15"/>
      <c r="AL90" s="15"/>
      <c r="AM90" s="15"/>
      <c r="AN90" s="15"/>
      <c r="AO90" s="15"/>
      <c r="AP90" s="15"/>
      <c r="AQ90" s="15"/>
    </row>
    <row r="91" spans="2:43" ht="15.75" customHeight="1" x14ac:dyDescent="0.2">
      <c r="B91" s="13" t="s">
        <v>118</v>
      </c>
      <c r="C91" s="10">
        <v>0.03</v>
      </c>
      <c r="D91" s="11">
        <f>+VLOOKUP(B91,'PRECIO PROVEEDORES'!$A$2:$B$716,2,0)</f>
        <v>5595</v>
      </c>
      <c r="E91" s="12">
        <f t="shared" si="20"/>
        <v>167.85</v>
      </c>
      <c r="G91" s="5"/>
      <c r="H91" s="7"/>
      <c r="I91" s="11"/>
      <c r="J91" s="12"/>
      <c r="L91" s="13"/>
      <c r="M91" s="10"/>
      <c r="N91" s="11"/>
      <c r="O91" s="12"/>
      <c r="Q91" s="5"/>
      <c r="R91" s="7"/>
      <c r="S91" s="11"/>
      <c r="T91" s="12"/>
      <c r="V91" s="5"/>
      <c r="W91" s="7"/>
      <c r="X91" s="11"/>
      <c r="Y91" s="12"/>
      <c r="AA91" s="7" t="s">
        <v>119</v>
      </c>
      <c r="AB91" s="10">
        <v>0.1</v>
      </c>
      <c r="AC91" s="11">
        <f>+VLOOKUP(AA91,'PRECIO PROVEEDORES'!$A$2:$B$716,2,0)</f>
        <v>4160</v>
      </c>
      <c r="AD91" s="12">
        <f t="shared" si="25"/>
        <v>416</v>
      </c>
      <c r="AE91" s="37"/>
      <c r="AF91" s="13"/>
      <c r="AG91" s="10"/>
      <c r="AH91" s="11"/>
      <c r="AI91" s="12"/>
      <c r="AJ91" s="15"/>
      <c r="AK91" s="15"/>
      <c r="AL91" s="15"/>
      <c r="AM91" s="15"/>
      <c r="AN91" s="15"/>
      <c r="AO91" s="15"/>
      <c r="AP91" s="15"/>
      <c r="AQ91" s="15"/>
    </row>
    <row r="92" spans="2:43" ht="15.75" customHeight="1" x14ac:dyDescent="0.2">
      <c r="B92" s="13" t="s">
        <v>120</v>
      </c>
      <c r="C92" s="10">
        <v>0.05</v>
      </c>
      <c r="D92" s="11">
        <f>+VLOOKUP(B92,'PRECIO PROVEEDORES'!$A$2:$B$716,2,0)</f>
        <v>2185</v>
      </c>
      <c r="E92" s="12">
        <f t="shared" si="20"/>
        <v>109.25</v>
      </c>
      <c r="G92" s="5"/>
      <c r="H92" s="7"/>
      <c r="I92" s="11"/>
      <c r="J92" s="12"/>
      <c r="L92" s="5"/>
      <c r="M92" s="7"/>
      <c r="N92" s="11"/>
      <c r="O92" s="12"/>
      <c r="Q92" s="5"/>
      <c r="R92" s="7"/>
      <c r="S92" s="11"/>
      <c r="T92" s="12"/>
      <c r="V92" s="5"/>
      <c r="W92" s="7"/>
      <c r="X92" s="11"/>
      <c r="Y92" s="12"/>
      <c r="AA92" s="5"/>
      <c r="AB92" s="7"/>
      <c r="AC92" s="11"/>
      <c r="AD92" s="12"/>
      <c r="AE92" s="37"/>
      <c r="AF92" s="7"/>
      <c r="AG92" s="7"/>
      <c r="AH92" s="11"/>
      <c r="AI92" s="12"/>
      <c r="AJ92" s="15"/>
      <c r="AK92" s="15"/>
      <c r="AL92" s="15"/>
      <c r="AM92" s="15"/>
      <c r="AN92" s="15"/>
      <c r="AO92" s="15"/>
      <c r="AP92" s="15"/>
      <c r="AQ92" s="15"/>
    </row>
    <row r="93" spans="2:43" ht="15.75" customHeight="1" x14ac:dyDescent="0.2">
      <c r="B93" s="13"/>
      <c r="C93" s="10"/>
      <c r="D93" s="11"/>
      <c r="E93" s="12"/>
      <c r="G93" s="19"/>
      <c r="H93" s="7"/>
      <c r="I93" s="11"/>
      <c r="J93" s="12"/>
      <c r="L93" s="19"/>
      <c r="M93" s="7"/>
      <c r="N93" s="11"/>
      <c r="O93" s="12"/>
      <c r="Q93" s="19"/>
      <c r="R93" s="7"/>
      <c r="S93" s="11"/>
      <c r="T93" s="12"/>
      <c r="V93" s="19"/>
      <c r="W93" s="7"/>
      <c r="X93" s="11"/>
      <c r="Y93" s="12"/>
      <c r="AA93" s="19"/>
      <c r="AB93" s="7"/>
      <c r="AC93" s="11"/>
      <c r="AD93" s="12"/>
      <c r="AE93" s="37"/>
      <c r="AF93" s="19"/>
      <c r="AG93" s="7"/>
      <c r="AH93" s="11"/>
      <c r="AI93" s="12"/>
      <c r="AJ93" s="15"/>
      <c r="AK93" s="15"/>
      <c r="AL93" s="15"/>
      <c r="AM93" s="15"/>
      <c r="AN93" s="15"/>
      <c r="AO93" s="15"/>
      <c r="AP93" s="15"/>
      <c r="AQ93" s="15"/>
    </row>
    <row r="94" spans="2:43" ht="15.75" customHeight="1" x14ac:dyDescent="0.2">
      <c r="B94" s="19"/>
      <c r="C94" s="7"/>
      <c r="D94" s="11"/>
      <c r="E94" s="12"/>
      <c r="G94" s="19"/>
      <c r="H94" s="7"/>
      <c r="I94" s="11"/>
      <c r="J94" s="12"/>
      <c r="L94" s="19"/>
      <c r="M94" s="7"/>
      <c r="N94" s="11"/>
      <c r="O94" s="12"/>
      <c r="Q94" s="19"/>
      <c r="R94" s="7"/>
      <c r="S94" s="11"/>
      <c r="T94" s="12"/>
      <c r="V94" s="19"/>
      <c r="W94" s="7"/>
      <c r="X94" s="11"/>
      <c r="Y94" s="12"/>
      <c r="AA94" s="19"/>
      <c r="AB94" s="7"/>
      <c r="AC94" s="11"/>
      <c r="AD94" s="12"/>
      <c r="AE94" s="37"/>
      <c r="AF94" s="19"/>
      <c r="AG94" s="7"/>
      <c r="AH94" s="11"/>
      <c r="AI94" s="12"/>
      <c r="AJ94" s="15"/>
      <c r="AK94" s="15"/>
      <c r="AL94" s="15"/>
      <c r="AM94" s="15"/>
      <c r="AN94" s="15"/>
      <c r="AO94" s="15"/>
      <c r="AP94" s="15"/>
      <c r="AQ94" s="15"/>
    </row>
    <row r="95" spans="2:43" ht="15.75" customHeight="1" x14ac:dyDescent="0.2">
      <c r="B95" s="19"/>
      <c r="C95" s="7"/>
      <c r="D95" s="11"/>
      <c r="E95" s="12"/>
      <c r="G95" s="19"/>
      <c r="H95" s="7"/>
      <c r="I95" s="11"/>
      <c r="J95" s="12"/>
      <c r="L95" s="19"/>
      <c r="M95" s="7"/>
      <c r="N95" s="11"/>
      <c r="O95" s="12"/>
      <c r="Q95" s="19"/>
      <c r="R95" s="7"/>
      <c r="S95" s="11"/>
      <c r="T95" s="12"/>
      <c r="V95" s="19"/>
      <c r="W95" s="7"/>
      <c r="X95" s="11"/>
      <c r="Y95" s="12"/>
      <c r="AA95" s="19"/>
      <c r="AB95" s="7"/>
      <c r="AC95" s="11"/>
      <c r="AD95" s="12"/>
      <c r="AE95" s="37"/>
      <c r="AF95" s="19"/>
      <c r="AG95" s="7"/>
      <c r="AH95" s="11"/>
      <c r="AI95" s="12"/>
      <c r="AJ95" s="15"/>
      <c r="AK95" s="15"/>
      <c r="AL95" s="15"/>
      <c r="AM95" s="15"/>
      <c r="AN95" s="15"/>
      <c r="AO95" s="15"/>
      <c r="AP95" s="15"/>
      <c r="AQ95" s="15"/>
    </row>
    <row r="96" spans="2:43" ht="15.75" customHeight="1" x14ac:dyDescent="0.2">
      <c r="B96" s="19"/>
      <c r="C96" s="7"/>
      <c r="D96" s="11"/>
      <c r="E96" s="12"/>
      <c r="G96" s="19"/>
      <c r="H96" s="7"/>
      <c r="I96" s="11"/>
      <c r="J96" s="12"/>
      <c r="L96" s="19"/>
      <c r="M96" s="7"/>
      <c r="N96" s="11"/>
      <c r="O96" s="12"/>
      <c r="Q96" s="19"/>
      <c r="R96" s="7"/>
      <c r="S96" s="11"/>
      <c r="T96" s="12"/>
      <c r="V96" s="19"/>
      <c r="W96" s="7"/>
      <c r="X96" s="11"/>
      <c r="Y96" s="12"/>
      <c r="AA96" s="19"/>
      <c r="AB96" s="7"/>
      <c r="AC96" s="11"/>
      <c r="AD96" s="12"/>
      <c r="AE96" s="37"/>
      <c r="AF96" s="19"/>
      <c r="AG96" s="7"/>
      <c r="AH96" s="11"/>
      <c r="AI96" s="12"/>
      <c r="AJ96" s="15"/>
      <c r="AK96" s="15"/>
      <c r="AL96" s="15"/>
      <c r="AM96" s="15"/>
      <c r="AN96" s="15"/>
      <c r="AO96" s="15"/>
      <c r="AP96" s="15"/>
      <c r="AQ96" s="15"/>
    </row>
    <row r="97" spans="2:43" ht="15.75" customHeight="1" x14ac:dyDescent="0.2">
      <c r="B97" s="5"/>
      <c r="C97" s="7"/>
      <c r="D97" s="11"/>
      <c r="E97" s="12"/>
      <c r="G97" s="5"/>
      <c r="H97" s="7"/>
      <c r="I97" s="11"/>
      <c r="J97" s="12"/>
      <c r="L97" s="5"/>
      <c r="M97" s="7"/>
      <c r="N97" s="11"/>
      <c r="O97" s="12"/>
      <c r="Q97" s="5"/>
      <c r="R97" s="7"/>
      <c r="S97" s="11"/>
      <c r="T97" s="12"/>
      <c r="V97" s="5"/>
      <c r="W97" s="7"/>
      <c r="X97" s="11"/>
      <c r="Y97" s="12"/>
      <c r="AA97" s="5"/>
      <c r="AB97" s="7"/>
      <c r="AC97" s="11"/>
      <c r="AD97" s="12"/>
      <c r="AE97" s="37"/>
      <c r="AF97" s="5"/>
      <c r="AG97" s="7"/>
      <c r="AH97" s="11"/>
      <c r="AI97" s="12"/>
      <c r="AJ97" s="15"/>
      <c r="AK97" s="15"/>
      <c r="AL97" s="15"/>
      <c r="AM97" s="15"/>
      <c r="AN97" s="15"/>
      <c r="AO97" s="15"/>
      <c r="AP97" s="15"/>
      <c r="AQ97" s="15"/>
    </row>
    <row r="98" spans="2:43" ht="15.75" customHeight="1" x14ac:dyDescent="0.2">
      <c r="B98" s="5"/>
      <c r="C98" s="7"/>
      <c r="D98" s="11"/>
      <c r="E98" s="12"/>
      <c r="G98" s="5"/>
      <c r="H98" s="7"/>
      <c r="I98" s="11"/>
      <c r="J98" s="12"/>
      <c r="L98" s="5"/>
      <c r="M98" s="7"/>
      <c r="N98" s="11"/>
      <c r="O98" s="12"/>
      <c r="Q98" s="5"/>
      <c r="R98" s="7"/>
      <c r="S98" s="11"/>
      <c r="T98" s="12"/>
      <c r="V98" s="5"/>
      <c r="W98" s="7"/>
      <c r="X98" s="11"/>
      <c r="Y98" s="12"/>
      <c r="AA98" s="5"/>
      <c r="AB98" s="7"/>
      <c r="AC98" s="11"/>
      <c r="AD98" s="12"/>
      <c r="AE98" s="15"/>
      <c r="AF98" s="5"/>
      <c r="AG98" s="7"/>
      <c r="AH98" s="11"/>
      <c r="AI98" s="12"/>
      <c r="AJ98" s="15"/>
      <c r="AK98" s="15"/>
      <c r="AL98" s="15"/>
      <c r="AM98" s="15"/>
      <c r="AN98" s="15"/>
      <c r="AO98" s="15"/>
      <c r="AP98" s="15"/>
      <c r="AQ98" s="15"/>
    </row>
    <row r="99" spans="2:43" ht="15.75" customHeight="1" x14ac:dyDescent="0.2">
      <c r="B99" s="5"/>
      <c r="C99" s="7"/>
      <c r="D99" s="11"/>
      <c r="E99" s="12"/>
      <c r="G99" s="5"/>
      <c r="H99" s="7"/>
      <c r="I99" s="11"/>
      <c r="J99" s="12"/>
      <c r="L99" s="5"/>
      <c r="M99" s="7"/>
      <c r="N99" s="11"/>
      <c r="O99" s="12"/>
      <c r="Q99" s="5"/>
      <c r="R99" s="7"/>
      <c r="S99" s="11"/>
      <c r="T99" s="12"/>
      <c r="V99" s="5"/>
      <c r="W99" s="7"/>
      <c r="X99" s="11"/>
      <c r="Y99" s="12"/>
      <c r="AA99" s="5"/>
      <c r="AB99" s="7"/>
      <c r="AC99" s="11"/>
      <c r="AD99" s="12"/>
      <c r="AE99" s="15"/>
      <c r="AF99" s="5"/>
      <c r="AG99" s="7"/>
      <c r="AH99" s="11"/>
      <c r="AI99" s="12"/>
      <c r="AJ99" s="15"/>
      <c r="AK99" s="15"/>
      <c r="AL99" s="15"/>
      <c r="AM99" s="15"/>
      <c r="AN99" s="15"/>
      <c r="AO99" s="15"/>
      <c r="AP99" s="15"/>
      <c r="AQ99" s="15"/>
    </row>
    <row r="100" spans="2:43" ht="15.75" customHeight="1" x14ac:dyDescent="0.2">
      <c r="B100" s="21" t="s">
        <v>52</v>
      </c>
      <c r="C100" s="22"/>
      <c r="D100" s="23"/>
      <c r="E100" s="24">
        <f>SUM(E85:E99)</f>
        <v>3154.6512499999999</v>
      </c>
      <c r="G100" s="21" t="s">
        <v>52</v>
      </c>
      <c r="H100" s="22"/>
      <c r="I100" s="23"/>
      <c r="J100" s="24">
        <f>SUM(J85:J99)</f>
        <v>3395.8999999999996</v>
      </c>
      <c r="L100" s="21" t="s">
        <v>52</v>
      </c>
      <c r="M100" s="22"/>
      <c r="N100" s="23"/>
      <c r="O100" s="24">
        <f>SUM(O85:O99)</f>
        <v>4078.8859466666668</v>
      </c>
      <c r="Q100" s="21" t="s">
        <v>52</v>
      </c>
      <c r="R100" s="22"/>
      <c r="S100" s="23"/>
      <c r="T100" s="24">
        <f>SUM(T85:T99)</f>
        <v>3113.24</v>
      </c>
      <c r="V100" s="21" t="s">
        <v>52</v>
      </c>
      <c r="W100" s="22"/>
      <c r="X100" s="23"/>
      <c r="Y100" s="24">
        <f>SUM(Y85:Y99)</f>
        <v>2270.7600000000002</v>
      </c>
      <c r="AA100" s="21" t="s">
        <v>52</v>
      </c>
      <c r="AB100" s="22"/>
      <c r="AC100" s="23"/>
      <c r="AD100" s="24">
        <f>SUM(AD85:AD99)</f>
        <v>4127.0684199999996</v>
      </c>
      <c r="AE100" s="25"/>
      <c r="AF100" s="21" t="s">
        <v>52</v>
      </c>
      <c r="AG100" s="22"/>
      <c r="AH100" s="23"/>
      <c r="AI100" s="24">
        <f>SUM(AI85:AI99)</f>
        <v>2686.2956800000002</v>
      </c>
      <c r="AJ100" s="25"/>
      <c r="AK100" s="25"/>
      <c r="AL100" s="25"/>
      <c r="AM100" s="25"/>
      <c r="AN100" s="25"/>
      <c r="AO100" s="25"/>
      <c r="AP100" s="25"/>
      <c r="AQ100" s="25"/>
    </row>
    <row r="101" spans="2:43" ht="15.75" customHeight="1" x14ac:dyDescent="0.2">
      <c r="B101" s="19" t="s">
        <v>53</v>
      </c>
      <c r="C101" s="27"/>
      <c r="D101" s="28"/>
      <c r="E101" s="29">
        <f>SUM(E100)</f>
        <v>3154.6512499999999</v>
      </c>
      <c r="G101" s="19" t="s">
        <v>53</v>
      </c>
      <c r="H101" s="27"/>
      <c r="I101" s="28"/>
      <c r="J101" s="29">
        <f>SUM(J100)</f>
        <v>3395.8999999999996</v>
      </c>
      <c r="L101" s="19" t="s">
        <v>53</v>
      </c>
      <c r="M101" s="27"/>
      <c r="N101" s="28"/>
      <c r="O101" s="29">
        <f>SUM(O100)</f>
        <v>4078.8859466666668</v>
      </c>
      <c r="Q101" s="19" t="s">
        <v>53</v>
      </c>
      <c r="R101" s="27"/>
      <c r="S101" s="28"/>
      <c r="T101" s="29">
        <f>SUM(T100)</f>
        <v>3113.24</v>
      </c>
      <c r="V101" s="19" t="s">
        <v>53</v>
      </c>
      <c r="W101" s="27"/>
      <c r="X101" s="28"/>
      <c r="Y101" s="29">
        <f>SUM(Y100)</f>
        <v>2270.7600000000002</v>
      </c>
      <c r="AA101" s="19" t="s">
        <v>53</v>
      </c>
      <c r="AB101" s="27"/>
      <c r="AC101" s="28"/>
      <c r="AD101" s="29">
        <f>SUM(AD100)</f>
        <v>4127.0684199999996</v>
      </c>
      <c r="AE101" s="30"/>
      <c r="AF101" s="19" t="s">
        <v>53</v>
      </c>
      <c r="AG101" s="27"/>
      <c r="AH101" s="28"/>
      <c r="AI101" s="29">
        <f>SUM(AI100)</f>
        <v>2686.2956800000002</v>
      </c>
      <c r="AJ101" s="30"/>
      <c r="AK101" s="30"/>
      <c r="AL101" s="30"/>
      <c r="AM101" s="30"/>
      <c r="AN101" s="30"/>
      <c r="AO101" s="30"/>
      <c r="AP101" s="30"/>
      <c r="AQ101" s="30"/>
    </row>
    <row r="102" spans="2:43" ht="15.75" customHeight="1" x14ac:dyDescent="0.2">
      <c r="B102" s="19" t="s">
        <v>54</v>
      </c>
      <c r="C102" s="27"/>
      <c r="D102" s="28"/>
      <c r="E102" s="29">
        <f>+E101</f>
        <v>3154.6512499999999</v>
      </c>
      <c r="G102" s="19" t="s">
        <v>54</v>
      </c>
      <c r="H102" s="27"/>
      <c r="I102" s="28"/>
      <c r="J102" s="29">
        <f>+J101</f>
        <v>3395.8999999999996</v>
      </c>
      <c r="L102" s="19" t="s">
        <v>54</v>
      </c>
      <c r="M102" s="27"/>
      <c r="N102" s="28"/>
      <c r="O102" s="29">
        <f>+O101</f>
        <v>4078.8859466666668</v>
      </c>
      <c r="Q102" s="19" t="s">
        <v>54</v>
      </c>
      <c r="R102" s="27"/>
      <c r="S102" s="28"/>
      <c r="T102" s="29">
        <f>+T101</f>
        <v>3113.24</v>
      </c>
      <c r="V102" s="19" t="s">
        <v>54</v>
      </c>
      <c r="W102" s="27"/>
      <c r="X102" s="28"/>
      <c r="Y102" s="29">
        <f>+Y101</f>
        <v>2270.7600000000002</v>
      </c>
      <c r="AA102" s="19" t="s">
        <v>54</v>
      </c>
      <c r="AB102" s="27"/>
      <c r="AC102" s="28"/>
      <c r="AD102" s="29">
        <f>+AD101</f>
        <v>4127.0684199999996</v>
      </c>
      <c r="AE102" s="30"/>
      <c r="AF102" s="19" t="s">
        <v>54</v>
      </c>
      <c r="AG102" s="27"/>
      <c r="AH102" s="28"/>
      <c r="AI102" s="29">
        <f>+AI101</f>
        <v>2686.2956800000002</v>
      </c>
      <c r="AJ102" s="30"/>
      <c r="AK102" s="30"/>
      <c r="AL102" s="30"/>
      <c r="AM102" s="30"/>
      <c r="AN102" s="30"/>
      <c r="AO102" s="30"/>
      <c r="AP102" s="30"/>
      <c r="AQ102" s="30"/>
    </row>
    <row r="103" spans="2:43" ht="15.75" customHeight="1" x14ac:dyDescent="0.2">
      <c r="B103" s="19" t="s">
        <v>55</v>
      </c>
      <c r="C103" s="27"/>
      <c r="D103" s="31">
        <v>0.3</v>
      </c>
      <c r="E103" s="29"/>
      <c r="G103" s="19" t="s">
        <v>55</v>
      </c>
      <c r="H103" s="27"/>
      <c r="I103" s="31">
        <v>0.3</v>
      </c>
      <c r="J103" s="29"/>
      <c r="L103" s="19" t="s">
        <v>55</v>
      </c>
      <c r="M103" s="27"/>
      <c r="N103" s="31">
        <v>0.3</v>
      </c>
      <c r="O103" s="29"/>
      <c r="Q103" s="19" t="s">
        <v>55</v>
      </c>
      <c r="R103" s="27"/>
      <c r="S103" s="31">
        <v>0.3</v>
      </c>
      <c r="T103" s="29"/>
      <c r="V103" s="19" t="s">
        <v>55</v>
      </c>
      <c r="W103" s="27"/>
      <c r="X103" s="31">
        <v>0.3</v>
      </c>
      <c r="Y103" s="29"/>
      <c r="AA103" s="19" t="s">
        <v>55</v>
      </c>
      <c r="AB103" s="27"/>
      <c r="AC103" s="31">
        <v>0.3</v>
      </c>
      <c r="AD103" s="29"/>
      <c r="AE103" s="30"/>
      <c r="AF103" s="19" t="s">
        <v>55</v>
      </c>
      <c r="AG103" s="27"/>
      <c r="AH103" s="31">
        <v>0.3</v>
      </c>
      <c r="AI103" s="29"/>
      <c r="AJ103" s="30"/>
      <c r="AK103" s="30"/>
      <c r="AL103" s="30"/>
      <c r="AM103" s="30"/>
      <c r="AN103" s="30"/>
      <c r="AO103" s="30"/>
      <c r="AP103" s="30"/>
      <c r="AQ103" s="30"/>
    </row>
    <row r="104" spans="2:43" ht="15.75" customHeight="1" x14ac:dyDescent="0.2">
      <c r="B104" s="19" t="s">
        <v>56</v>
      </c>
      <c r="C104" s="27"/>
      <c r="D104" s="31"/>
      <c r="E104" s="29">
        <f>+E102*3.33333333333333</f>
        <v>10515.504166666655</v>
      </c>
      <c r="G104" s="19" t="s">
        <v>56</v>
      </c>
      <c r="H104" s="27"/>
      <c r="I104" s="31"/>
      <c r="J104" s="29">
        <f>+J102*3.33333333333333</f>
        <v>11319.666666666653</v>
      </c>
      <c r="L104" s="19" t="s">
        <v>56</v>
      </c>
      <c r="M104" s="27"/>
      <c r="N104" s="31"/>
      <c r="O104" s="29">
        <f>+O102*3.33333333333333</f>
        <v>13596.286488888876</v>
      </c>
      <c r="Q104" s="19" t="s">
        <v>56</v>
      </c>
      <c r="R104" s="27"/>
      <c r="S104" s="31"/>
      <c r="T104" s="29">
        <f>+T102*3.33333333333333</f>
        <v>10377.466666666656</v>
      </c>
      <c r="V104" s="19" t="s">
        <v>56</v>
      </c>
      <c r="W104" s="27"/>
      <c r="X104" s="31"/>
      <c r="Y104" s="29">
        <f>+Y102*3.33333333333333</f>
        <v>7569.1999999999925</v>
      </c>
      <c r="AA104" s="19" t="s">
        <v>56</v>
      </c>
      <c r="AB104" s="27"/>
      <c r="AC104" s="31"/>
      <c r="AD104" s="29">
        <f>+AD102*3.33333333333333</f>
        <v>13756.894733333318</v>
      </c>
      <c r="AE104" s="30"/>
      <c r="AF104" s="19" t="s">
        <v>56</v>
      </c>
      <c r="AG104" s="27"/>
      <c r="AH104" s="31"/>
      <c r="AI104" s="29">
        <f>+AI102*3.33333333333333</f>
        <v>8954.3189333333248</v>
      </c>
      <c r="AJ104" s="30"/>
      <c r="AK104" s="30"/>
      <c r="AL104" s="30"/>
      <c r="AM104" s="30"/>
      <c r="AN104" s="30"/>
      <c r="AO104" s="30"/>
      <c r="AP104" s="30"/>
      <c r="AQ104" s="30"/>
    </row>
    <row r="105" spans="2:43" ht="15.75" customHeight="1" x14ac:dyDescent="0.2">
      <c r="B105" s="19" t="s">
        <v>57</v>
      </c>
      <c r="C105" s="27"/>
      <c r="D105" s="27"/>
      <c r="E105" s="29">
        <v>13000</v>
      </c>
      <c r="G105" s="19" t="s">
        <v>57</v>
      </c>
      <c r="H105" s="27"/>
      <c r="I105" s="27"/>
      <c r="J105" s="29">
        <v>12500</v>
      </c>
      <c r="L105" s="19" t="s">
        <v>57</v>
      </c>
      <c r="M105" s="27"/>
      <c r="N105" s="27"/>
      <c r="O105" s="29">
        <v>17500</v>
      </c>
      <c r="Q105" s="19" t="s">
        <v>57</v>
      </c>
      <c r="R105" s="27"/>
      <c r="S105" s="27"/>
      <c r="T105" s="29">
        <v>13000</v>
      </c>
      <c r="V105" s="19" t="s">
        <v>57</v>
      </c>
      <c r="W105" s="27"/>
      <c r="X105" s="27"/>
      <c r="Y105" s="29">
        <v>13000</v>
      </c>
      <c r="AA105" s="19" t="s">
        <v>57</v>
      </c>
      <c r="AB105" s="27"/>
      <c r="AC105" s="27"/>
      <c r="AD105" s="29">
        <v>16500</v>
      </c>
      <c r="AE105" s="30"/>
      <c r="AF105" s="19" t="s">
        <v>57</v>
      </c>
      <c r="AG105" s="27"/>
      <c r="AH105" s="27"/>
      <c r="AI105" s="29">
        <v>10000</v>
      </c>
      <c r="AJ105" s="30"/>
      <c r="AK105" s="30"/>
      <c r="AL105" s="30"/>
      <c r="AM105" s="30"/>
      <c r="AN105" s="30"/>
      <c r="AO105" s="30"/>
      <c r="AP105" s="30"/>
      <c r="AQ105" s="30"/>
    </row>
    <row r="106" spans="2:43" ht="15.75" customHeight="1" x14ac:dyDescent="0.2">
      <c r="B106" s="19"/>
      <c r="C106" s="27"/>
      <c r="D106" s="28"/>
      <c r="E106" s="24">
        <f>+E105-E104</f>
        <v>2484.4958333333452</v>
      </c>
      <c r="G106" s="19"/>
      <c r="H106" s="27"/>
      <c r="I106" s="28"/>
      <c r="J106" s="24">
        <f>+J105-J104</f>
        <v>1180.3333333333467</v>
      </c>
      <c r="L106" s="19"/>
      <c r="M106" s="27"/>
      <c r="N106" s="28"/>
      <c r="O106" s="24">
        <f>+O105-O104</f>
        <v>3903.7135111111238</v>
      </c>
      <c r="Q106" s="19"/>
      <c r="R106" s="27"/>
      <c r="S106" s="28"/>
      <c r="T106" s="24">
        <f>+T105-T104</f>
        <v>2622.5333333333438</v>
      </c>
      <c r="V106" s="19"/>
      <c r="W106" s="27"/>
      <c r="X106" s="28"/>
      <c r="Y106" s="24">
        <f>+Y105-Y104</f>
        <v>5430.8000000000075</v>
      </c>
      <c r="AA106" s="19"/>
      <c r="AB106" s="27"/>
      <c r="AC106" s="28"/>
      <c r="AD106" s="24">
        <f>+AD105-AD104</f>
        <v>2743.1052666666819</v>
      </c>
      <c r="AE106" s="25"/>
      <c r="AF106" s="19"/>
      <c r="AG106" s="27"/>
      <c r="AH106" s="28"/>
      <c r="AI106" s="24">
        <f>+AI105-AI104</f>
        <v>1045.6810666666752</v>
      </c>
      <c r="AJ106" s="25"/>
      <c r="AK106" s="25"/>
      <c r="AL106" s="25"/>
      <c r="AM106" s="25"/>
      <c r="AN106" s="25"/>
      <c r="AO106" s="25"/>
      <c r="AP106" s="25"/>
      <c r="AQ106" s="25"/>
    </row>
    <row r="107" spans="2:43" ht="15.75" customHeight="1" x14ac:dyDescent="0.2">
      <c r="B107" s="32" t="s">
        <v>58</v>
      </c>
      <c r="C107" s="33"/>
      <c r="D107" s="33"/>
      <c r="E107" s="34">
        <f>E102/E105</f>
        <v>0.24266548076923075</v>
      </c>
      <c r="G107" s="32" t="s">
        <v>58</v>
      </c>
      <c r="H107" s="33"/>
      <c r="I107" s="33"/>
      <c r="J107" s="34">
        <f>J102/J105</f>
        <v>0.27167199999999997</v>
      </c>
      <c r="L107" s="32" t="s">
        <v>58</v>
      </c>
      <c r="M107" s="33"/>
      <c r="N107" s="33"/>
      <c r="O107" s="34">
        <f>O102/O105</f>
        <v>0.23307919695238097</v>
      </c>
      <c r="Q107" s="32" t="s">
        <v>58</v>
      </c>
      <c r="R107" s="33"/>
      <c r="S107" s="33"/>
      <c r="T107" s="34">
        <f>T102/T105</f>
        <v>0.23947999999999997</v>
      </c>
      <c r="V107" s="32" t="s">
        <v>58</v>
      </c>
      <c r="W107" s="33"/>
      <c r="X107" s="33"/>
      <c r="Y107" s="34">
        <f>Y102/Y105</f>
        <v>0.17467384615384618</v>
      </c>
      <c r="AA107" s="32" t="s">
        <v>58</v>
      </c>
      <c r="AB107" s="33"/>
      <c r="AC107" s="33"/>
      <c r="AD107" s="34">
        <f>AD102/AD105</f>
        <v>0.25012535878787878</v>
      </c>
      <c r="AE107" s="35"/>
      <c r="AF107" s="32" t="s">
        <v>58</v>
      </c>
      <c r="AG107" s="33"/>
      <c r="AH107" s="33"/>
      <c r="AI107" s="34">
        <f>AI102/AI105</f>
        <v>0.26862956800000004</v>
      </c>
      <c r="AJ107" s="35"/>
      <c r="AK107" s="35"/>
      <c r="AL107" s="35"/>
      <c r="AM107" s="35"/>
      <c r="AN107" s="35"/>
      <c r="AO107" s="35"/>
      <c r="AP107" s="35"/>
      <c r="AQ107" s="35"/>
    </row>
    <row r="108" spans="2:43" ht="15.75" customHeight="1" x14ac:dyDescent="0.15">
      <c r="AE108" s="3"/>
      <c r="AF108" s="3"/>
      <c r="AG108" s="3"/>
      <c r="AH108" s="3"/>
      <c r="AI108" s="3"/>
      <c r="AJ108" s="3"/>
      <c r="AK108" s="3"/>
      <c r="AL108" s="3"/>
      <c r="AM108" s="3"/>
      <c r="AN108" s="3"/>
      <c r="AO108" s="3"/>
      <c r="AP108" s="3"/>
      <c r="AQ108" s="3"/>
    </row>
    <row r="109" spans="2:43" ht="15.75" customHeight="1" x14ac:dyDescent="0.15">
      <c r="AE109" s="3"/>
      <c r="AF109" s="3"/>
      <c r="AG109" s="3"/>
      <c r="AH109" s="3"/>
      <c r="AI109" s="3"/>
      <c r="AJ109" s="3"/>
      <c r="AK109" s="3"/>
      <c r="AL109" s="3"/>
      <c r="AM109" s="3"/>
      <c r="AN109" s="3"/>
      <c r="AO109" s="3"/>
      <c r="AP109" s="3"/>
      <c r="AQ109" s="3"/>
    </row>
    <row r="110" spans="2:43" ht="15.75" customHeight="1" x14ac:dyDescent="0.15">
      <c r="B110" s="212" t="s">
        <v>121</v>
      </c>
      <c r="C110" s="213"/>
      <c r="D110" s="213"/>
      <c r="E110" s="214"/>
      <c r="G110" s="212" t="s">
        <v>122</v>
      </c>
      <c r="H110" s="213"/>
      <c r="I110" s="213"/>
      <c r="J110" s="214"/>
      <c r="L110" s="212" t="s">
        <v>123</v>
      </c>
      <c r="M110" s="213"/>
      <c r="N110" s="213"/>
      <c r="O110" s="214"/>
      <c r="Q110" s="212" t="s">
        <v>124</v>
      </c>
      <c r="R110" s="213"/>
      <c r="S110" s="213"/>
      <c r="T110" s="214"/>
      <c r="V110" s="212" t="s">
        <v>125</v>
      </c>
      <c r="W110" s="213"/>
      <c r="X110" s="213"/>
      <c r="Y110" s="214"/>
      <c r="AA110" s="212" t="s">
        <v>126</v>
      </c>
      <c r="AB110" s="213"/>
      <c r="AC110" s="213"/>
      <c r="AD110" s="214"/>
      <c r="AF110" s="212" t="s">
        <v>127</v>
      </c>
      <c r="AG110" s="213"/>
      <c r="AH110" s="213"/>
      <c r="AI110" s="214"/>
      <c r="AJ110" s="3"/>
      <c r="AK110" s="3"/>
      <c r="AL110" s="3"/>
      <c r="AM110" s="3"/>
      <c r="AN110" s="3"/>
      <c r="AO110" s="3"/>
      <c r="AP110" s="3"/>
      <c r="AQ110" s="3"/>
    </row>
    <row r="111" spans="2:43" ht="15.75" customHeight="1" x14ac:dyDescent="0.2">
      <c r="B111" s="5"/>
      <c r="C111" s="6" t="s">
        <v>8</v>
      </c>
      <c r="D111" s="7" t="s">
        <v>9</v>
      </c>
      <c r="E111" s="8" t="s">
        <v>10</v>
      </c>
      <c r="F111" s="2"/>
      <c r="G111" s="5"/>
      <c r="H111" s="6" t="s">
        <v>8</v>
      </c>
      <c r="I111" s="7" t="s">
        <v>9</v>
      </c>
      <c r="J111" s="8" t="s">
        <v>10</v>
      </c>
      <c r="L111" s="5"/>
      <c r="M111" s="6" t="s">
        <v>8</v>
      </c>
      <c r="N111" s="7" t="s">
        <v>9</v>
      </c>
      <c r="O111" s="8" t="s">
        <v>10</v>
      </c>
      <c r="Q111" s="5"/>
      <c r="R111" s="6" t="s">
        <v>8</v>
      </c>
      <c r="S111" s="7" t="s">
        <v>9</v>
      </c>
      <c r="T111" s="8" t="s">
        <v>10</v>
      </c>
      <c r="V111" s="5"/>
      <c r="W111" s="6" t="s">
        <v>8</v>
      </c>
      <c r="X111" s="7" t="s">
        <v>9</v>
      </c>
      <c r="Y111" s="8" t="s">
        <v>10</v>
      </c>
      <c r="AA111" s="5"/>
      <c r="AB111" s="6" t="s">
        <v>8</v>
      </c>
      <c r="AC111" s="7" t="s">
        <v>9</v>
      </c>
      <c r="AD111" s="8" t="s">
        <v>10</v>
      </c>
      <c r="AF111" s="5"/>
      <c r="AG111" s="6" t="s">
        <v>8</v>
      </c>
      <c r="AH111" s="7" t="s">
        <v>9</v>
      </c>
      <c r="AI111" s="8" t="s">
        <v>10</v>
      </c>
      <c r="AJ111" s="3"/>
      <c r="AK111" s="3"/>
      <c r="AL111" s="3"/>
      <c r="AM111" s="3"/>
      <c r="AN111" s="3"/>
      <c r="AO111" s="3"/>
      <c r="AP111" s="3"/>
      <c r="AQ111" s="3"/>
    </row>
    <row r="112" spans="2:43" ht="15.75" customHeight="1" x14ac:dyDescent="0.2">
      <c r="B112" s="20" t="s">
        <v>128</v>
      </c>
      <c r="C112" s="10">
        <v>1</v>
      </c>
      <c r="D112" s="11">
        <f>+VLOOKUP(B112,'PRECIO PROVEEDORES'!$A$2:$B$716,2,0)</f>
        <v>3700.5962255095542</v>
      </c>
      <c r="E112" s="12">
        <f t="shared" ref="E112:E115" si="26">+C112*D112</f>
        <v>3700.5962255095542</v>
      </c>
      <c r="G112" s="7" t="s">
        <v>67</v>
      </c>
      <c r="H112" s="10">
        <v>0.18</v>
      </c>
      <c r="I112" s="11">
        <f>+VLOOKUP(G112,'PRECIO PROVEEDORES'!$A$2:$B$716,2,0)</f>
        <v>8843.4185185185197</v>
      </c>
      <c r="J112" s="12">
        <f>+H112*I112</f>
        <v>1591.8153333333335</v>
      </c>
      <c r="L112" s="20" t="s">
        <v>129</v>
      </c>
      <c r="M112" s="10">
        <v>1</v>
      </c>
      <c r="N112" s="11">
        <f>+VLOOKUP(L112,'PRECIO PROVEEDORES'!$A$2:$B$716,2,0)</f>
        <v>447.7276</v>
      </c>
      <c r="O112" s="12">
        <f t="shared" ref="O112:O114" si="27">+M112*N112</f>
        <v>447.7276</v>
      </c>
      <c r="Q112" s="20" t="s">
        <v>129</v>
      </c>
      <c r="R112" s="10">
        <v>1</v>
      </c>
      <c r="S112" s="11">
        <f>+VLOOKUP(Q112,'PRECIO PROVEEDORES'!$A$2:$B$716,2,0)</f>
        <v>447.7276</v>
      </c>
      <c r="T112" s="12">
        <f t="shared" ref="T112:T115" si="28">+R112*S112</f>
        <v>447.7276</v>
      </c>
      <c r="V112" s="7" t="s">
        <v>130</v>
      </c>
      <c r="W112" s="10">
        <v>0.14000000000000001</v>
      </c>
      <c r="X112" s="11">
        <f>+VLOOKUP(V112,'PRECIO PROVEEDORES'!$A$2:$B$716,2,0)</f>
        <v>15378.580952380953</v>
      </c>
      <c r="Y112" s="12">
        <f t="shared" ref="Y112:Y117" si="29">+W112*X112</f>
        <v>2153.0013333333336</v>
      </c>
      <c r="AA112" s="13" t="s">
        <v>20</v>
      </c>
      <c r="AB112" s="10">
        <v>0.15</v>
      </c>
      <c r="AC112" s="11">
        <f>+VLOOKUP(AA112,'PRECIO PROVEEDORES'!$A$2:$B$716,2,0)</f>
        <v>7700</v>
      </c>
      <c r="AD112" s="12">
        <f t="shared" ref="AD112:AD120" si="30">+AB112*AC112</f>
        <v>1155</v>
      </c>
      <c r="AF112" s="7" t="s">
        <v>112</v>
      </c>
      <c r="AG112" s="10">
        <v>2</v>
      </c>
      <c r="AH112" s="11">
        <f>+VLOOKUP(AF112,'PRECIO PROVEEDORES'!$A$2:$B$716,2,0)</f>
        <v>1100</v>
      </c>
      <c r="AI112" s="12">
        <f t="shared" ref="AI112:AI116" si="31">+AG112*AH112</f>
        <v>2200</v>
      </c>
      <c r="AJ112" s="3"/>
      <c r="AK112" s="3"/>
      <c r="AL112" s="3"/>
      <c r="AM112" s="3"/>
      <c r="AN112" s="3"/>
      <c r="AO112" s="3"/>
      <c r="AP112" s="3"/>
      <c r="AQ112" s="3"/>
    </row>
    <row r="113" spans="2:43" ht="15.75" customHeight="1" x14ac:dyDescent="0.2">
      <c r="B113" s="13" t="s">
        <v>131</v>
      </c>
      <c r="C113" s="10">
        <v>1</v>
      </c>
      <c r="D113" s="11">
        <f>+VLOOKUP(B113,'PRECIO PROVEEDORES'!$A$2:$B$716,2,0)</f>
        <v>664.93000000000006</v>
      </c>
      <c r="E113" s="12">
        <f t="shared" si="26"/>
        <v>664.93000000000006</v>
      </c>
      <c r="G113" s="13"/>
      <c r="H113" s="10"/>
      <c r="I113" s="11"/>
      <c r="J113" s="12"/>
      <c r="L113" s="7" t="s">
        <v>28</v>
      </c>
      <c r="M113" s="10">
        <v>7.0000000000000007E-2</v>
      </c>
      <c r="N113" s="11">
        <f>+VLOOKUP(L113,'PRECIO PROVEEDORES'!$A$2:$B$716,2,0)</f>
        <v>10697</v>
      </c>
      <c r="O113" s="12">
        <f t="shared" si="27"/>
        <v>748.79000000000008</v>
      </c>
      <c r="Q113" s="7" t="s">
        <v>28</v>
      </c>
      <c r="R113" s="10">
        <v>7.0000000000000007E-2</v>
      </c>
      <c r="S113" s="11">
        <f>+VLOOKUP(Q113,'PRECIO PROVEEDORES'!$A$2:$B$716,2,0)</f>
        <v>10697</v>
      </c>
      <c r="T113" s="12">
        <f t="shared" si="28"/>
        <v>748.79000000000008</v>
      </c>
      <c r="V113" s="38" t="s">
        <v>132</v>
      </c>
      <c r="W113" s="10">
        <v>0.1</v>
      </c>
      <c r="X113" s="11">
        <f>+VLOOKUP(V113,'PRECIO PROVEEDORES'!$A$2:$B$716,2,0)</f>
        <v>17376</v>
      </c>
      <c r="Y113" s="12">
        <f t="shared" si="29"/>
        <v>1737.6000000000001</v>
      </c>
      <c r="AA113" s="7" t="s">
        <v>133</v>
      </c>
      <c r="AB113" s="10">
        <v>0.05</v>
      </c>
      <c r="AC113" s="11">
        <f>+VLOOKUP(AA113,'PRECIO PROVEEDORES'!$A$2:$B$716,2,0)</f>
        <v>2025</v>
      </c>
      <c r="AD113" s="12">
        <f t="shared" si="30"/>
        <v>101.25</v>
      </c>
      <c r="AF113" s="20" t="s">
        <v>134</v>
      </c>
      <c r="AG113" s="10">
        <v>0.31</v>
      </c>
      <c r="AH113" s="11">
        <f>+VLOOKUP(AF113,'PRECIO PROVEEDORES'!$A$2:$B$716,2,0)</f>
        <v>11952.354838709678</v>
      </c>
      <c r="AI113" s="12">
        <f t="shared" si="31"/>
        <v>3705.23</v>
      </c>
      <c r="AJ113" s="3"/>
      <c r="AK113" s="3"/>
      <c r="AL113" s="3"/>
      <c r="AM113" s="3"/>
      <c r="AN113" s="3"/>
      <c r="AO113" s="3"/>
      <c r="AP113" s="3"/>
      <c r="AQ113" s="3"/>
    </row>
    <row r="114" spans="2:43" ht="15.75" customHeight="1" x14ac:dyDescent="0.2">
      <c r="B114" s="13" t="s">
        <v>92</v>
      </c>
      <c r="C114" s="10"/>
      <c r="D114" s="11"/>
      <c r="E114" s="12">
        <f t="shared" si="26"/>
        <v>0</v>
      </c>
      <c r="F114" s="1" t="s">
        <v>135</v>
      </c>
      <c r="G114" s="13"/>
      <c r="H114" s="10"/>
      <c r="I114" s="11"/>
      <c r="J114" s="12"/>
      <c r="L114" s="7" t="s">
        <v>21</v>
      </c>
      <c r="M114" s="10">
        <v>7.0000000000000007E-2</v>
      </c>
      <c r="N114" s="11">
        <f>+VLOOKUP(L114,'PRECIO PROVEEDORES'!$A$2:$B$716,2,0)</f>
        <v>11881</v>
      </c>
      <c r="O114" s="12">
        <f t="shared" si="27"/>
        <v>831.67000000000007</v>
      </c>
      <c r="Q114" s="7" t="s">
        <v>119</v>
      </c>
      <c r="R114" s="10">
        <v>0.02</v>
      </c>
      <c r="S114" s="11">
        <f>+VLOOKUP(Q114,'PRECIO PROVEEDORES'!$A$2:$B$716,2,0)</f>
        <v>4160</v>
      </c>
      <c r="T114" s="12">
        <f t="shared" si="28"/>
        <v>83.2</v>
      </c>
      <c r="V114" s="20" t="s">
        <v>136</v>
      </c>
      <c r="W114" s="10">
        <v>0.15</v>
      </c>
      <c r="X114" s="11">
        <f>+VLOOKUP(V114,'PRECIO PROVEEDORES'!$A$2:$B$716,2,0)</f>
        <v>2112.0855999999999</v>
      </c>
      <c r="Y114" s="12">
        <f t="shared" si="29"/>
        <v>316.81283999999999</v>
      </c>
      <c r="AA114" s="7" t="s">
        <v>137</v>
      </c>
      <c r="AB114" s="10">
        <v>0.05</v>
      </c>
      <c r="AC114" s="11">
        <f>+VLOOKUP(AA114,'PRECIO PROVEEDORES'!$A$2:$B$716,2,0)</f>
        <v>2700</v>
      </c>
      <c r="AD114" s="12">
        <f t="shared" si="30"/>
        <v>135</v>
      </c>
      <c r="AF114" s="7" t="s">
        <v>29</v>
      </c>
      <c r="AG114" s="10">
        <v>0.03</v>
      </c>
      <c r="AH114" s="11">
        <f>+VLOOKUP(AF114,'PRECIO PROVEEDORES'!$A$2:$B$716,2,0)</f>
        <v>9900</v>
      </c>
      <c r="AI114" s="12">
        <f t="shared" si="31"/>
        <v>297</v>
      </c>
      <c r="AJ114" s="3"/>
      <c r="AK114" s="3"/>
      <c r="AL114" s="3"/>
      <c r="AM114" s="3"/>
      <c r="AN114" s="3"/>
      <c r="AO114" s="3"/>
      <c r="AP114" s="3"/>
      <c r="AQ114" s="3"/>
    </row>
    <row r="115" spans="2:43" ht="15.75" customHeight="1" x14ac:dyDescent="0.2">
      <c r="B115" s="13" t="s">
        <v>138</v>
      </c>
      <c r="C115" s="10">
        <v>1</v>
      </c>
      <c r="D115" s="11">
        <f>+VLOOKUP(B115,'PRECIO PROVEEDORES'!$A$2:$B$716,2,0)</f>
        <v>861.15199999999993</v>
      </c>
      <c r="E115" s="12">
        <f t="shared" si="26"/>
        <v>861.15199999999993</v>
      </c>
      <c r="G115" s="13"/>
      <c r="H115" s="10"/>
      <c r="I115" s="11"/>
      <c r="J115" s="12"/>
      <c r="L115" s="13"/>
      <c r="M115" s="10"/>
      <c r="N115" s="11"/>
      <c r="O115" s="12"/>
      <c r="Q115" s="13" t="s">
        <v>96</v>
      </c>
      <c r="R115" s="10">
        <v>0.04</v>
      </c>
      <c r="S115" s="11">
        <f>+VLOOKUP(Q115,'PRECIO PROVEEDORES'!$A$2:$B$716,2,0)</f>
        <v>1800</v>
      </c>
      <c r="T115" s="12">
        <f t="shared" si="28"/>
        <v>72</v>
      </c>
      <c r="V115" s="13" t="s">
        <v>139</v>
      </c>
      <c r="W115" s="10">
        <v>1</v>
      </c>
      <c r="X115" s="11">
        <f>+VLOOKUP(V115,'PRECIO PROVEEDORES'!$A$2:$B$716,2,0)</f>
        <v>1574</v>
      </c>
      <c r="Y115" s="12">
        <f t="shared" si="29"/>
        <v>1574</v>
      </c>
      <c r="AA115" s="7" t="s">
        <v>29</v>
      </c>
      <c r="AB115" s="10">
        <v>0.03</v>
      </c>
      <c r="AC115" s="11">
        <f>+VLOOKUP(AA115,'PRECIO PROVEEDORES'!$A$2:$B$716,2,0)</f>
        <v>9900</v>
      </c>
      <c r="AD115" s="12">
        <f t="shared" si="30"/>
        <v>297</v>
      </c>
      <c r="AF115" s="13" t="s">
        <v>48</v>
      </c>
      <c r="AG115" s="10">
        <v>0.15</v>
      </c>
      <c r="AH115" s="11">
        <f>+VLOOKUP(AF115,'PRECIO PROVEEDORES'!$A$2:$B$716,2,0)</f>
        <v>1685.0214999999996</v>
      </c>
      <c r="AI115" s="12">
        <f t="shared" si="31"/>
        <v>252.75322499999993</v>
      </c>
      <c r="AJ115" s="3"/>
      <c r="AK115" s="3"/>
      <c r="AL115" s="3"/>
      <c r="AM115" s="3"/>
      <c r="AN115" s="3"/>
      <c r="AO115" s="3"/>
      <c r="AP115" s="3"/>
      <c r="AQ115" s="3"/>
    </row>
    <row r="116" spans="2:43" ht="15.75" customHeight="1" x14ac:dyDescent="0.2">
      <c r="B116" s="13"/>
      <c r="C116" s="10"/>
      <c r="D116" s="11"/>
      <c r="E116" s="12"/>
      <c r="G116" s="13"/>
      <c r="H116" s="10"/>
      <c r="I116" s="11"/>
      <c r="J116" s="12"/>
      <c r="L116" s="13"/>
      <c r="M116" s="10"/>
      <c r="N116" s="11"/>
      <c r="O116" s="12"/>
      <c r="Q116" s="13"/>
      <c r="R116" s="10"/>
      <c r="S116" s="11"/>
      <c r="T116" s="12"/>
      <c r="V116" s="13" t="s">
        <v>48</v>
      </c>
      <c r="W116" s="10">
        <v>0.15</v>
      </c>
      <c r="X116" s="11">
        <f>+VLOOKUP(V116,'PRECIO PROVEEDORES'!$A$2:$B$716,2,0)</f>
        <v>1685.0214999999996</v>
      </c>
      <c r="Y116" s="12">
        <f t="shared" si="29"/>
        <v>252.75322499999993</v>
      </c>
      <c r="AA116" s="13" t="s">
        <v>11</v>
      </c>
      <c r="AB116" s="10">
        <v>0.08</v>
      </c>
      <c r="AC116" s="11">
        <f>+VLOOKUP(AA116,'PRECIO PROVEEDORES'!$A$2:$B$716,2,0)</f>
        <v>7449.2</v>
      </c>
      <c r="AD116" s="12">
        <f t="shared" si="30"/>
        <v>595.93600000000004</v>
      </c>
      <c r="AF116" s="20" t="s">
        <v>50</v>
      </c>
      <c r="AG116" s="7">
        <v>0.04</v>
      </c>
      <c r="AH116" s="11">
        <f>+VLOOKUP(AF116,'PRECIO PROVEEDORES'!$A$2:$B$716,2,0)</f>
        <v>3891.9110000000001</v>
      </c>
      <c r="AI116" s="12">
        <f t="shared" si="31"/>
        <v>155.67644000000001</v>
      </c>
      <c r="AJ116" s="3"/>
      <c r="AK116" s="3"/>
      <c r="AL116" s="3"/>
      <c r="AM116" s="3"/>
      <c r="AN116" s="3"/>
      <c r="AO116" s="3"/>
      <c r="AP116" s="3"/>
      <c r="AQ116" s="3"/>
    </row>
    <row r="117" spans="2:43" ht="15.75" customHeight="1" x14ac:dyDescent="0.2">
      <c r="B117" s="13"/>
      <c r="C117" s="10"/>
      <c r="D117" s="11"/>
      <c r="E117" s="12"/>
      <c r="G117" s="13"/>
      <c r="H117" s="10"/>
      <c r="I117" s="11"/>
      <c r="J117" s="12"/>
      <c r="L117" s="13"/>
      <c r="M117" s="10"/>
      <c r="N117" s="11"/>
      <c r="O117" s="12"/>
      <c r="Q117" s="13"/>
      <c r="R117" s="10"/>
      <c r="S117" s="11"/>
      <c r="T117" s="12"/>
      <c r="V117" s="20" t="s">
        <v>50</v>
      </c>
      <c r="W117" s="7">
        <v>0.04</v>
      </c>
      <c r="X117" s="11">
        <f>+VLOOKUP(V117,'PRECIO PROVEEDORES'!$A$2:$B$716,2,0)</f>
        <v>3891.9110000000001</v>
      </c>
      <c r="Y117" s="12">
        <f t="shared" si="29"/>
        <v>155.67644000000001</v>
      </c>
      <c r="AA117" s="38" t="s">
        <v>132</v>
      </c>
      <c r="AB117" s="10">
        <v>0.1</v>
      </c>
      <c r="AC117" s="11">
        <f>+VLOOKUP(AA117,'PRECIO PROVEEDORES'!$A$2:$B$716,2,0)</f>
        <v>17376</v>
      </c>
      <c r="AD117" s="12">
        <f t="shared" si="30"/>
        <v>1737.6000000000001</v>
      </c>
      <c r="AF117" s="13"/>
      <c r="AG117" s="10"/>
      <c r="AH117" s="11"/>
      <c r="AI117" s="12"/>
    </row>
    <row r="118" spans="2:43" ht="15.75" customHeight="1" x14ac:dyDescent="0.2">
      <c r="B118" s="13"/>
      <c r="C118" s="10"/>
      <c r="D118" s="11"/>
      <c r="E118" s="12"/>
      <c r="G118" s="13"/>
      <c r="H118" s="10"/>
      <c r="I118" s="11"/>
      <c r="J118" s="12"/>
      <c r="L118" s="13"/>
      <c r="M118" s="10"/>
      <c r="N118" s="11"/>
      <c r="O118" s="12"/>
      <c r="Q118" s="13"/>
      <c r="R118" s="10"/>
      <c r="S118" s="11"/>
      <c r="T118" s="12"/>
      <c r="V118" s="13"/>
      <c r="W118" s="10"/>
      <c r="X118" s="11"/>
      <c r="Y118" s="12"/>
      <c r="AA118" s="13" t="s">
        <v>140</v>
      </c>
      <c r="AB118" s="10">
        <v>1</v>
      </c>
      <c r="AC118" s="11">
        <f>+VLOOKUP(AA118,'PRECIO PROVEEDORES'!$A$2:$B$716,2,0)</f>
        <v>253</v>
      </c>
      <c r="AD118" s="12">
        <f t="shared" si="30"/>
        <v>253</v>
      </c>
      <c r="AF118" s="13"/>
      <c r="AG118" s="10"/>
      <c r="AH118" s="11"/>
      <c r="AI118" s="12"/>
    </row>
    <row r="119" spans="2:43" ht="15.75" customHeight="1" x14ac:dyDescent="0.2">
      <c r="B119" s="7"/>
      <c r="C119" s="7"/>
      <c r="D119" s="11"/>
      <c r="E119" s="12"/>
      <c r="G119" s="7"/>
      <c r="H119" s="7"/>
      <c r="I119" s="11"/>
      <c r="J119" s="12"/>
      <c r="L119" s="7"/>
      <c r="M119" s="7"/>
      <c r="N119" s="11"/>
      <c r="O119" s="12"/>
      <c r="Q119" s="7"/>
      <c r="R119" s="7"/>
      <c r="S119" s="11"/>
      <c r="T119" s="12"/>
      <c r="V119" s="7"/>
      <c r="W119" s="7"/>
      <c r="X119" s="11"/>
      <c r="Y119" s="12"/>
      <c r="AA119" s="7" t="s">
        <v>48</v>
      </c>
      <c r="AB119" s="7">
        <v>0.15</v>
      </c>
      <c r="AC119" s="11">
        <f>+VLOOKUP(AA119,'PRECIO PROVEEDORES'!$A$2:$B$716,2,0)</f>
        <v>1685.0214999999996</v>
      </c>
      <c r="AD119" s="12">
        <f t="shared" si="30"/>
        <v>252.75322499999993</v>
      </c>
      <c r="AF119" s="7"/>
      <c r="AG119" s="7"/>
      <c r="AH119" s="11"/>
      <c r="AI119" s="12"/>
    </row>
    <row r="120" spans="2:43" ht="15.75" customHeight="1" x14ac:dyDescent="0.2">
      <c r="B120" s="19"/>
      <c r="C120" s="7"/>
      <c r="D120" s="11"/>
      <c r="E120" s="12"/>
      <c r="G120" s="19"/>
      <c r="H120" s="7"/>
      <c r="I120" s="11"/>
      <c r="J120" s="12"/>
      <c r="L120" s="19"/>
      <c r="M120" s="7"/>
      <c r="N120" s="11"/>
      <c r="O120" s="12"/>
      <c r="Q120" s="19"/>
      <c r="R120" s="7"/>
      <c r="S120" s="11"/>
      <c r="T120" s="12"/>
      <c r="V120" s="19"/>
      <c r="W120" s="7"/>
      <c r="X120" s="11"/>
      <c r="Y120" s="12"/>
      <c r="AA120" s="20" t="s">
        <v>50</v>
      </c>
      <c r="AB120" s="7">
        <v>0.04</v>
      </c>
      <c r="AC120" s="11">
        <f>+VLOOKUP(AA120,'PRECIO PROVEEDORES'!$A$2:$B$716,2,0)</f>
        <v>3891.9110000000001</v>
      </c>
      <c r="AD120" s="12">
        <f t="shared" si="30"/>
        <v>155.67644000000001</v>
      </c>
      <c r="AF120" s="19"/>
      <c r="AG120" s="7"/>
      <c r="AH120" s="11"/>
      <c r="AI120" s="12"/>
    </row>
    <row r="121" spans="2:43" ht="15.75" customHeight="1" x14ac:dyDescent="0.2">
      <c r="B121" s="19"/>
      <c r="C121" s="7"/>
      <c r="D121" s="11"/>
      <c r="E121" s="12"/>
      <c r="G121" s="19"/>
      <c r="H121" s="7"/>
      <c r="I121" s="11"/>
      <c r="J121" s="12"/>
      <c r="L121" s="19"/>
      <c r="M121" s="7"/>
      <c r="N121" s="11"/>
      <c r="O121" s="12"/>
      <c r="Q121" s="19"/>
      <c r="R121" s="7"/>
      <c r="S121" s="11"/>
      <c r="T121" s="12"/>
      <c r="V121" s="19"/>
      <c r="W121" s="7"/>
      <c r="X121" s="11"/>
      <c r="Y121" s="12"/>
      <c r="AA121" s="19"/>
      <c r="AB121" s="7"/>
      <c r="AC121" s="11"/>
      <c r="AD121" s="12"/>
      <c r="AF121" s="19"/>
      <c r="AG121" s="7"/>
      <c r="AH121" s="11"/>
      <c r="AI121" s="12"/>
    </row>
    <row r="122" spans="2:43" ht="15.75" customHeight="1" x14ac:dyDescent="0.2">
      <c r="B122" s="19"/>
      <c r="C122" s="7"/>
      <c r="D122" s="11"/>
      <c r="E122" s="12"/>
      <c r="G122" s="19"/>
      <c r="H122" s="7"/>
      <c r="I122" s="11"/>
      <c r="J122" s="12"/>
      <c r="L122" s="19"/>
      <c r="M122" s="7"/>
      <c r="N122" s="11"/>
      <c r="O122" s="12"/>
      <c r="Q122" s="19"/>
      <c r="R122" s="7"/>
      <c r="S122" s="11"/>
      <c r="T122" s="12"/>
      <c r="V122" s="19"/>
      <c r="W122" s="7"/>
      <c r="X122" s="11"/>
      <c r="Y122" s="12"/>
      <c r="AA122" s="19"/>
      <c r="AB122" s="7"/>
      <c r="AC122" s="11"/>
      <c r="AD122" s="12"/>
      <c r="AF122" s="19"/>
      <c r="AG122" s="7"/>
      <c r="AH122" s="11"/>
      <c r="AI122" s="12"/>
    </row>
    <row r="123" spans="2:43" ht="15.75" customHeight="1" x14ac:dyDescent="0.2">
      <c r="B123" s="19"/>
      <c r="C123" s="7"/>
      <c r="D123" s="11"/>
      <c r="E123" s="12"/>
      <c r="G123" s="19"/>
      <c r="H123" s="7"/>
      <c r="I123" s="11"/>
      <c r="J123" s="12"/>
      <c r="L123" s="19"/>
      <c r="M123" s="7"/>
      <c r="N123" s="11"/>
      <c r="O123" s="12"/>
      <c r="Q123" s="19"/>
      <c r="R123" s="7"/>
      <c r="S123" s="11"/>
      <c r="T123" s="12"/>
      <c r="V123" s="19"/>
      <c r="W123" s="7"/>
      <c r="X123" s="11"/>
      <c r="Y123" s="12"/>
      <c r="AA123" s="19"/>
      <c r="AB123" s="7"/>
      <c r="AC123" s="11"/>
      <c r="AD123" s="12"/>
      <c r="AF123" s="19"/>
      <c r="AG123" s="7"/>
      <c r="AH123" s="11"/>
      <c r="AI123" s="12"/>
    </row>
    <row r="124" spans="2:43" ht="15.75" customHeight="1" x14ac:dyDescent="0.2">
      <c r="B124" s="5"/>
      <c r="C124" s="7"/>
      <c r="D124" s="11"/>
      <c r="E124" s="12"/>
      <c r="G124" s="5"/>
      <c r="H124" s="7"/>
      <c r="I124" s="11"/>
      <c r="J124" s="12"/>
      <c r="L124" s="5"/>
      <c r="M124" s="7"/>
      <c r="N124" s="11"/>
      <c r="O124" s="12"/>
      <c r="Q124" s="5"/>
      <c r="R124" s="7"/>
      <c r="S124" s="11"/>
      <c r="T124" s="12"/>
      <c r="V124" s="5"/>
      <c r="W124" s="7"/>
      <c r="X124" s="11"/>
      <c r="Y124" s="12"/>
      <c r="AA124" s="5"/>
      <c r="AB124" s="7"/>
      <c r="AC124" s="11"/>
      <c r="AD124" s="12"/>
      <c r="AF124" s="5"/>
      <c r="AG124" s="7"/>
      <c r="AH124" s="11"/>
      <c r="AI124" s="12"/>
    </row>
    <row r="125" spans="2:43" ht="15.75" customHeight="1" x14ac:dyDescent="0.2">
      <c r="B125" s="5"/>
      <c r="C125" s="7"/>
      <c r="D125" s="11"/>
      <c r="E125" s="12"/>
      <c r="G125" s="5"/>
      <c r="H125" s="7"/>
      <c r="I125" s="11"/>
      <c r="J125" s="12"/>
      <c r="L125" s="5"/>
      <c r="M125" s="7"/>
      <c r="N125" s="11"/>
      <c r="O125" s="12"/>
      <c r="Q125" s="5"/>
      <c r="R125" s="7"/>
      <c r="S125" s="11"/>
      <c r="T125" s="12"/>
      <c r="V125" s="5"/>
      <c r="W125" s="7"/>
      <c r="X125" s="11"/>
      <c r="Y125" s="12"/>
      <c r="AA125" s="5"/>
      <c r="AB125" s="7"/>
      <c r="AC125" s="11"/>
      <c r="AD125" s="12"/>
      <c r="AF125" s="5"/>
      <c r="AG125" s="7"/>
      <c r="AH125" s="11"/>
      <c r="AI125" s="12"/>
    </row>
    <row r="126" spans="2:43" ht="15.75" customHeight="1" x14ac:dyDescent="0.2">
      <c r="B126" s="5"/>
      <c r="C126" s="7"/>
      <c r="D126" s="11"/>
      <c r="E126" s="12"/>
      <c r="G126" s="5"/>
      <c r="H126" s="7"/>
      <c r="I126" s="11"/>
      <c r="J126" s="12"/>
      <c r="L126" s="5"/>
      <c r="M126" s="7"/>
      <c r="N126" s="11"/>
      <c r="O126" s="12"/>
      <c r="Q126" s="5"/>
      <c r="R126" s="7"/>
      <c r="S126" s="11"/>
      <c r="T126" s="12"/>
      <c r="V126" s="5"/>
      <c r="W126" s="7"/>
      <c r="X126" s="11"/>
      <c r="Y126" s="12"/>
      <c r="AA126" s="5"/>
      <c r="AB126" s="7"/>
      <c r="AC126" s="11"/>
      <c r="AD126" s="12"/>
      <c r="AF126" s="5"/>
      <c r="AG126" s="7"/>
      <c r="AH126" s="11"/>
      <c r="AI126" s="12"/>
    </row>
    <row r="127" spans="2:43" ht="15.75" customHeight="1" x14ac:dyDescent="0.2">
      <c r="B127" s="21" t="s">
        <v>52</v>
      </c>
      <c r="C127" s="22"/>
      <c r="D127" s="23"/>
      <c r="E127" s="24">
        <f>SUM(E112:E126)</f>
        <v>5226.6782255095541</v>
      </c>
      <c r="G127" s="21" t="s">
        <v>52</v>
      </c>
      <c r="H127" s="22"/>
      <c r="I127" s="23"/>
      <c r="J127" s="24">
        <f>SUM(J112:J126)</f>
        <v>1591.8153333333335</v>
      </c>
      <c r="L127" s="21" t="s">
        <v>52</v>
      </c>
      <c r="M127" s="22"/>
      <c r="N127" s="23"/>
      <c r="O127" s="24">
        <f>SUM(O112:O126)</f>
        <v>2028.1876000000002</v>
      </c>
      <c r="Q127" s="21" t="s">
        <v>52</v>
      </c>
      <c r="R127" s="22"/>
      <c r="S127" s="23"/>
      <c r="T127" s="24">
        <f>SUM(T112:T126)</f>
        <v>1351.7176000000002</v>
      </c>
      <c r="V127" s="21" t="s">
        <v>52</v>
      </c>
      <c r="W127" s="22"/>
      <c r="X127" s="23"/>
      <c r="Y127" s="24">
        <f>SUM(Y112:Y126)</f>
        <v>6189.8438383333332</v>
      </c>
      <c r="AA127" s="21" t="s">
        <v>52</v>
      </c>
      <c r="AB127" s="22"/>
      <c r="AC127" s="23"/>
      <c r="AD127" s="24">
        <f>SUM(AD112:AD126)</f>
        <v>4683.2156650000006</v>
      </c>
      <c r="AF127" s="21" t="s">
        <v>52</v>
      </c>
      <c r="AG127" s="22"/>
      <c r="AH127" s="23"/>
      <c r="AI127" s="24">
        <f>SUM(AI112:AI126)</f>
        <v>6610.6596650000001</v>
      </c>
    </row>
    <row r="128" spans="2:43" ht="15.75" customHeight="1" x14ac:dyDescent="0.2">
      <c r="B128" s="19" t="s">
        <v>53</v>
      </c>
      <c r="C128" s="27"/>
      <c r="D128" s="28"/>
      <c r="E128" s="29">
        <f>SUM(E127)</f>
        <v>5226.6782255095541</v>
      </c>
      <c r="G128" s="19" t="s">
        <v>53</v>
      </c>
      <c r="H128" s="27"/>
      <c r="I128" s="28"/>
      <c r="J128" s="29">
        <f>SUM(J127)</f>
        <v>1591.8153333333335</v>
      </c>
      <c r="L128" s="19" t="s">
        <v>53</v>
      </c>
      <c r="M128" s="27"/>
      <c r="N128" s="28"/>
      <c r="O128" s="29">
        <f>SUM(O127)</f>
        <v>2028.1876000000002</v>
      </c>
      <c r="Q128" s="19" t="s">
        <v>53</v>
      </c>
      <c r="R128" s="27"/>
      <c r="S128" s="28"/>
      <c r="T128" s="29">
        <f>SUM(T127)</f>
        <v>1351.7176000000002</v>
      </c>
      <c r="V128" s="19" t="s">
        <v>53</v>
      </c>
      <c r="W128" s="27"/>
      <c r="X128" s="28"/>
      <c r="Y128" s="29">
        <f>SUM(Y127)</f>
        <v>6189.8438383333332</v>
      </c>
      <c r="AA128" s="19" t="s">
        <v>53</v>
      </c>
      <c r="AB128" s="27"/>
      <c r="AC128" s="28"/>
      <c r="AD128" s="29">
        <f>SUM(AD127)</f>
        <v>4683.2156650000006</v>
      </c>
      <c r="AF128" s="19" t="s">
        <v>53</v>
      </c>
      <c r="AG128" s="27"/>
      <c r="AH128" s="28"/>
      <c r="AI128" s="29">
        <f>SUM(AI127)</f>
        <v>6610.6596650000001</v>
      </c>
    </row>
    <row r="129" spans="2:35" ht="15.75" customHeight="1" x14ac:dyDescent="0.2">
      <c r="B129" s="19" t="s">
        <v>54</v>
      </c>
      <c r="C129" s="27"/>
      <c r="D129" s="28"/>
      <c r="E129" s="29">
        <f>+E128</f>
        <v>5226.6782255095541</v>
      </c>
      <c r="G129" s="19" t="s">
        <v>54</v>
      </c>
      <c r="H129" s="27"/>
      <c r="I129" s="28"/>
      <c r="J129" s="29">
        <f>+J128</f>
        <v>1591.8153333333335</v>
      </c>
      <c r="L129" s="19" t="s">
        <v>54</v>
      </c>
      <c r="M129" s="27"/>
      <c r="N129" s="28"/>
      <c r="O129" s="29">
        <f>+O128</f>
        <v>2028.1876000000002</v>
      </c>
      <c r="Q129" s="19" t="s">
        <v>54</v>
      </c>
      <c r="R129" s="27"/>
      <c r="S129" s="28"/>
      <c r="T129" s="29">
        <f>+T128</f>
        <v>1351.7176000000002</v>
      </c>
      <c r="V129" s="19" t="s">
        <v>54</v>
      </c>
      <c r="W129" s="27"/>
      <c r="X129" s="28"/>
      <c r="Y129" s="29">
        <f>+Y128</f>
        <v>6189.8438383333332</v>
      </c>
      <c r="AA129" s="19" t="s">
        <v>54</v>
      </c>
      <c r="AB129" s="27"/>
      <c r="AC129" s="28"/>
      <c r="AD129" s="29">
        <f>+AD128</f>
        <v>4683.2156650000006</v>
      </c>
      <c r="AF129" s="19" t="s">
        <v>54</v>
      </c>
      <c r="AG129" s="27"/>
      <c r="AH129" s="28"/>
      <c r="AI129" s="29">
        <f>+AI128</f>
        <v>6610.6596650000001</v>
      </c>
    </row>
    <row r="130" spans="2:35" ht="15.75" customHeight="1" x14ac:dyDescent="0.2">
      <c r="B130" s="19" t="s">
        <v>55</v>
      </c>
      <c r="C130" s="27"/>
      <c r="D130" s="31">
        <v>0.3</v>
      </c>
      <c r="E130" s="29"/>
      <c r="G130" s="19" t="s">
        <v>55</v>
      </c>
      <c r="H130" s="27"/>
      <c r="I130" s="31">
        <v>0.3</v>
      </c>
      <c r="J130" s="29"/>
      <c r="L130" s="19" t="s">
        <v>55</v>
      </c>
      <c r="M130" s="27"/>
      <c r="N130" s="31">
        <v>0.3</v>
      </c>
      <c r="O130" s="29"/>
      <c r="Q130" s="19" t="s">
        <v>55</v>
      </c>
      <c r="R130" s="27"/>
      <c r="S130" s="31">
        <v>0.3</v>
      </c>
      <c r="T130" s="29"/>
      <c r="V130" s="19" t="s">
        <v>55</v>
      </c>
      <c r="W130" s="27"/>
      <c r="X130" s="31">
        <v>0.3</v>
      </c>
      <c r="Y130" s="29"/>
      <c r="AA130" s="19" t="s">
        <v>55</v>
      </c>
      <c r="AB130" s="27"/>
      <c r="AC130" s="31">
        <v>0.3</v>
      </c>
      <c r="AD130" s="29"/>
      <c r="AF130" s="19" t="s">
        <v>55</v>
      </c>
      <c r="AG130" s="27"/>
      <c r="AH130" s="31">
        <v>0.3</v>
      </c>
      <c r="AI130" s="29"/>
    </row>
    <row r="131" spans="2:35" ht="15.75" customHeight="1" x14ac:dyDescent="0.2">
      <c r="B131" s="19" t="s">
        <v>56</v>
      </c>
      <c r="C131" s="27"/>
      <c r="D131" s="31"/>
      <c r="E131" s="29">
        <f>+E129*3.33333333333333</f>
        <v>17422.260751698497</v>
      </c>
      <c r="G131" s="19" t="s">
        <v>56</v>
      </c>
      <c r="H131" s="27"/>
      <c r="I131" s="31"/>
      <c r="J131" s="29">
        <f>+J129*3.33333333333333</f>
        <v>5306.0511111111064</v>
      </c>
      <c r="L131" s="19" t="s">
        <v>56</v>
      </c>
      <c r="M131" s="27"/>
      <c r="N131" s="31"/>
      <c r="O131" s="29">
        <f>+O129*3.33333333333333</f>
        <v>6760.625333333327</v>
      </c>
      <c r="Q131" s="19" t="s">
        <v>56</v>
      </c>
      <c r="R131" s="27"/>
      <c r="S131" s="31"/>
      <c r="T131" s="29">
        <f>+T129*3.33333333333333</f>
        <v>4505.7253333333292</v>
      </c>
      <c r="V131" s="19" t="s">
        <v>56</v>
      </c>
      <c r="W131" s="27"/>
      <c r="X131" s="31"/>
      <c r="Y131" s="29">
        <f>+Y129*3.33333333333333</f>
        <v>20632.812794444424</v>
      </c>
      <c r="AA131" s="19" t="s">
        <v>56</v>
      </c>
      <c r="AB131" s="27"/>
      <c r="AC131" s="31"/>
      <c r="AD131" s="29">
        <f>+AD129*3.33333333333333</f>
        <v>15610.71888333332</v>
      </c>
      <c r="AF131" s="19" t="s">
        <v>56</v>
      </c>
      <c r="AG131" s="27"/>
      <c r="AH131" s="31"/>
      <c r="AI131" s="29">
        <f>+AI129*3.33333333333333</f>
        <v>22035.532216666645</v>
      </c>
    </row>
    <row r="132" spans="2:35" ht="15.75" customHeight="1" x14ac:dyDescent="0.2">
      <c r="B132" s="19" t="s">
        <v>57</v>
      </c>
      <c r="C132" s="27"/>
      <c r="D132" s="27"/>
      <c r="E132" s="29">
        <v>21500</v>
      </c>
      <c r="G132" s="19" t="s">
        <v>57</v>
      </c>
      <c r="H132" s="27"/>
      <c r="I132" s="27"/>
      <c r="J132" s="29">
        <f>SUM(J131)</f>
        <v>5306.0511111111064</v>
      </c>
      <c r="L132" s="19" t="s">
        <v>57</v>
      </c>
      <c r="M132" s="27"/>
      <c r="N132" s="27"/>
      <c r="O132" s="29">
        <v>9200</v>
      </c>
      <c r="Q132" s="19" t="s">
        <v>57</v>
      </c>
      <c r="R132" s="27"/>
      <c r="S132" s="27"/>
      <c r="T132" s="29">
        <v>9200</v>
      </c>
      <c r="V132" s="19" t="s">
        <v>57</v>
      </c>
      <c r="W132" s="27"/>
      <c r="X132" s="40">
        <v>23000</v>
      </c>
      <c r="Y132" s="41">
        <v>23000</v>
      </c>
      <c r="Z132" s="42"/>
      <c r="AA132" s="19" t="s">
        <v>57</v>
      </c>
      <c r="AB132" s="27"/>
      <c r="AC132" s="27"/>
      <c r="AD132" s="29">
        <v>18000</v>
      </c>
      <c r="AF132" s="19" t="s">
        <v>57</v>
      </c>
      <c r="AG132" s="27"/>
      <c r="AH132" s="27"/>
      <c r="AI132" s="29">
        <v>23000</v>
      </c>
    </row>
    <row r="133" spans="2:35" ht="15.75" customHeight="1" x14ac:dyDescent="0.2">
      <c r="B133" s="19"/>
      <c r="C133" s="27"/>
      <c r="D133" s="28"/>
      <c r="E133" s="24">
        <f>+E132-E131</f>
        <v>4077.7392483015028</v>
      </c>
      <c r="G133" s="19"/>
      <c r="H133" s="27"/>
      <c r="I133" s="28"/>
      <c r="J133" s="24">
        <f>+J132-J131</f>
        <v>0</v>
      </c>
      <c r="L133" s="19"/>
      <c r="M133" s="27"/>
      <c r="N133" s="28"/>
      <c r="O133" s="24">
        <f>+O132-O131</f>
        <v>2439.374666666673</v>
      </c>
      <c r="Q133" s="19"/>
      <c r="R133" s="27"/>
      <c r="S133" s="28"/>
      <c r="T133" s="24">
        <f>+T132-T131</f>
        <v>4694.2746666666708</v>
      </c>
      <c r="V133" s="19"/>
      <c r="W133" s="27"/>
      <c r="X133" s="28"/>
      <c r="Y133" s="24">
        <f>+Y132-Y131</f>
        <v>2367.1872055555759</v>
      </c>
      <c r="AA133" s="19"/>
      <c r="AB133" s="27"/>
      <c r="AC133" s="28"/>
      <c r="AD133" s="24">
        <f>+AD132-AD131</f>
        <v>2389.2811166666797</v>
      </c>
      <c r="AF133" s="19"/>
      <c r="AG133" s="27"/>
      <c r="AH133" s="28"/>
      <c r="AI133" s="24">
        <f>+AI132-AI131</f>
        <v>964.46778333335533</v>
      </c>
    </row>
    <row r="134" spans="2:35" ht="15.75" customHeight="1" x14ac:dyDescent="0.2">
      <c r="B134" s="32" t="s">
        <v>58</v>
      </c>
      <c r="C134" s="33"/>
      <c r="D134" s="33"/>
      <c r="E134" s="34">
        <f>E129/E132</f>
        <v>0.24310131281439787</v>
      </c>
      <c r="G134" s="32" t="s">
        <v>58</v>
      </c>
      <c r="H134" s="33"/>
      <c r="I134" s="33"/>
      <c r="J134" s="34">
        <f>J129/J132</f>
        <v>0.30000000000000027</v>
      </c>
      <c r="L134" s="32" t="s">
        <v>58</v>
      </c>
      <c r="M134" s="33"/>
      <c r="N134" s="33"/>
      <c r="O134" s="34">
        <f>O129/O132</f>
        <v>0.22045517391304351</v>
      </c>
      <c r="Q134" s="32" t="s">
        <v>58</v>
      </c>
      <c r="R134" s="33"/>
      <c r="S134" s="33"/>
      <c r="T134" s="34">
        <f>T129/T132</f>
        <v>0.14692582608695653</v>
      </c>
      <c r="V134" s="32" t="s">
        <v>58</v>
      </c>
      <c r="W134" s="33"/>
      <c r="X134" s="33"/>
      <c r="Y134" s="34">
        <f>Y129/Y132</f>
        <v>0.26912364514492754</v>
      </c>
      <c r="AA134" s="32" t="s">
        <v>58</v>
      </c>
      <c r="AB134" s="33"/>
      <c r="AC134" s="33"/>
      <c r="AD134" s="34">
        <f>AD129/AD132</f>
        <v>0.26017864805555557</v>
      </c>
      <c r="AF134" s="32" t="s">
        <v>58</v>
      </c>
      <c r="AG134" s="33"/>
      <c r="AH134" s="33"/>
      <c r="AI134" s="34">
        <f>AI129/AI132</f>
        <v>0.28741998543478259</v>
      </c>
    </row>
    <row r="135" spans="2:35" ht="15.75" customHeight="1" x14ac:dyDescent="0.15"/>
    <row r="136" spans="2:35" ht="15.75" customHeight="1" x14ac:dyDescent="0.15"/>
    <row r="137" spans="2:35" ht="15.75" customHeight="1" x14ac:dyDescent="0.15">
      <c r="B137" s="212" t="s">
        <v>141</v>
      </c>
      <c r="C137" s="213"/>
      <c r="D137" s="213"/>
      <c r="E137" s="214"/>
      <c r="G137" s="212" t="s">
        <v>142</v>
      </c>
      <c r="H137" s="213"/>
      <c r="I137" s="213"/>
      <c r="J137" s="214"/>
      <c r="L137" s="212" t="s">
        <v>143</v>
      </c>
      <c r="M137" s="213"/>
      <c r="N137" s="213"/>
      <c r="O137" s="214"/>
      <c r="Q137" s="212" t="s">
        <v>144</v>
      </c>
      <c r="R137" s="213"/>
      <c r="S137" s="213"/>
      <c r="T137" s="214"/>
      <c r="V137" s="215"/>
      <c r="W137" s="213"/>
      <c r="X137" s="213"/>
      <c r="Y137" s="214"/>
      <c r="AA137" s="215"/>
      <c r="AB137" s="213"/>
      <c r="AC137" s="213"/>
      <c r="AD137" s="214"/>
    </row>
    <row r="138" spans="2:35" ht="15.75" customHeight="1" x14ac:dyDescent="0.2">
      <c r="B138" s="5"/>
      <c r="C138" s="6" t="s">
        <v>8</v>
      </c>
      <c r="D138" s="7" t="s">
        <v>9</v>
      </c>
      <c r="E138" s="8" t="s">
        <v>10</v>
      </c>
      <c r="G138" s="5"/>
      <c r="H138" s="6" t="s">
        <v>8</v>
      </c>
      <c r="I138" s="7" t="s">
        <v>9</v>
      </c>
      <c r="J138" s="8" t="s">
        <v>10</v>
      </c>
      <c r="L138" s="5"/>
      <c r="M138" s="6" t="s">
        <v>8</v>
      </c>
      <c r="N138" s="7" t="s">
        <v>9</v>
      </c>
      <c r="O138" s="8" t="s">
        <v>10</v>
      </c>
      <c r="Q138" s="5"/>
      <c r="R138" s="6" t="s">
        <v>8</v>
      </c>
      <c r="S138" s="7" t="s">
        <v>9</v>
      </c>
      <c r="T138" s="8" t="s">
        <v>10</v>
      </c>
      <c r="V138" s="5"/>
      <c r="W138" s="6" t="s">
        <v>8</v>
      </c>
      <c r="X138" s="7" t="s">
        <v>9</v>
      </c>
      <c r="Y138" s="8" t="s">
        <v>10</v>
      </c>
      <c r="AA138" s="5"/>
      <c r="AB138" s="6" t="s">
        <v>8</v>
      </c>
      <c r="AC138" s="7" t="s">
        <v>9</v>
      </c>
      <c r="AD138" s="8" t="s">
        <v>10</v>
      </c>
    </row>
    <row r="139" spans="2:35" ht="15.75" customHeight="1" x14ac:dyDescent="0.2">
      <c r="B139" s="13" t="s">
        <v>145</v>
      </c>
      <c r="C139" s="10">
        <v>0.09</v>
      </c>
      <c r="D139" s="11">
        <f>+VLOOKUP(B139,'PRECIO PROVEEDORES'!$A$2:$B$716,2,0)</f>
        <v>5953.4142857142861</v>
      </c>
      <c r="E139" s="12">
        <f t="shared" ref="E139:E148" si="32">+C139*D139</f>
        <v>535.80728571428574</v>
      </c>
      <c r="G139" s="13" t="s">
        <v>146</v>
      </c>
      <c r="H139" s="10">
        <v>0.25</v>
      </c>
      <c r="I139" s="11">
        <f>+VLOOKUP(G139,'PRECIO PROVEEDORES'!$A$2:$B$716,2,0)</f>
        <v>9771</v>
      </c>
      <c r="J139" s="12">
        <f t="shared" ref="J139:J146" si="33">+H139*I139</f>
        <v>2442.75</v>
      </c>
      <c r="L139" s="13" t="s">
        <v>140</v>
      </c>
      <c r="M139" s="10">
        <v>1</v>
      </c>
      <c r="N139" s="11">
        <f>+VLOOKUP(L139,'PRECIO PROVEEDORES'!$A$2:$B$716,2,0)</f>
        <v>253</v>
      </c>
      <c r="O139" s="12">
        <f t="shared" ref="O139:O149" si="34">+M139*N139</f>
        <v>253</v>
      </c>
      <c r="Q139" s="13" t="s">
        <v>27</v>
      </c>
      <c r="R139" s="10">
        <v>0.04</v>
      </c>
      <c r="S139" s="11">
        <f>+VLOOKUP(Q139,'PRECIO PROVEEDORES'!$A$2:$B$716,2,0)</f>
        <v>6440</v>
      </c>
      <c r="T139" s="12">
        <f t="shared" ref="T139:T146" si="35">+R139*S139</f>
        <v>257.60000000000002</v>
      </c>
      <c r="V139" s="13"/>
      <c r="W139" s="10"/>
      <c r="X139" s="11" t="e">
        <f>+VLOOKUP(V139,'PRECIO PROVEEDORES'!$A$2:$B$716,2,0)</f>
        <v>#N/A</v>
      </c>
      <c r="Y139" s="12" t="e">
        <f t="shared" ref="Y139:Y145" si="36">+W139*X139</f>
        <v>#N/A</v>
      </c>
      <c r="AA139" s="13"/>
      <c r="AB139" s="10"/>
      <c r="AC139" s="11" t="e">
        <f>+VLOOKUP(AA139,'PRECIO PROVEEDORES'!$A$2:$B$716,2,0)</f>
        <v>#N/A</v>
      </c>
      <c r="AD139" s="12" t="e">
        <f t="shared" ref="AD139:AD145" si="37">+AB139*AC139</f>
        <v>#N/A</v>
      </c>
    </row>
    <row r="140" spans="2:35" ht="15.75" customHeight="1" x14ac:dyDescent="0.2">
      <c r="B140" s="13" t="s">
        <v>104</v>
      </c>
      <c r="C140" s="10">
        <v>0.15</v>
      </c>
      <c r="D140" s="11">
        <f>+VLOOKUP(B140,'PRECIO PROVEEDORES'!$A$2:$B$716,2,0)</f>
        <v>2972.2272727272725</v>
      </c>
      <c r="E140" s="12">
        <f t="shared" si="32"/>
        <v>445.83409090909089</v>
      </c>
      <c r="G140" s="13" t="s">
        <v>28</v>
      </c>
      <c r="H140" s="10">
        <v>0.13</v>
      </c>
      <c r="I140" s="11">
        <f>+VLOOKUP(G140,'PRECIO PROVEEDORES'!$A$2:$B$716,2,0)</f>
        <v>10697</v>
      </c>
      <c r="J140" s="12">
        <f t="shared" si="33"/>
        <v>1390.6100000000001</v>
      </c>
      <c r="L140" s="13" t="s">
        <v>27</v>
      </c>
      <c r="M140" s="10">
        <v>0.04</v>
      </c>
      <c r="N140" s="11">
        <f>+VLOOKUP(L140,'PRECIO PROVEEDORES'!$A$2:$B$716,2,0)</f>
        <v>6440</v>
      </c>
      <c r="O140" s="12">
        <f t="shared" si="34"/>
        <v>257.60000000000002</v>
      </c>
      <c r="Q140" s="13" t="s">
        <v>132</v>
      </c>
      <c r="R140" s="10">
        <v>3.5000000000000003E-2</v>
      </c>
      <c r="S140" s="11">
        <f>+VLOOKUP(Q140,'PRECIO PROVEEDORES'!$A$2:$B$716,2,0)</f>
        <v>17376</v>
      </c>
      <c r="T140" s="12">
        <f t="shared" si="35"/>
        <v>608.16000000000008</v>
      </c>
      <c r="V140" s="13"/>
      <c r="W140" s="10"/>
      <c r="X140" s="11" t="e">
        <f>+VLOOKUP(V140,'PRECIO PROVEEDORES'!$A$2:$B$716,2,0)</f>
        <v>#N/A</v>
      </c>
      <c r="Y140" s="12" t="e">
        <f t="shared" si="36"/>
        <v>#N/A</v>
      </c>
      <c r="AA140" s="13"/>
      <c r="AB140" s="10"/>
      <c r="AC140" s="11" t="e">
        <f>+VLOOKUP(AA140,'PRECIO PROVEEDORES'!$A$2:$B$716,2,0)</f>
        <v>#N/A</v>
      </c>
      <c r="AD140" s="12" t="e">
        <f t="shared" si="37"/>
        <v>#N/A</v>
      </c>
    </row>
    <row r="141" spans="2:35" ht="15.75" customHeight="1" x14ac:dyDescent="0.2">
      <c r="B141" s="7" t="s">
        <v>29</v>
      </c>
      <c r="C141" s="10">
        <v>0.03</v>
      </c>
      <c r="D141" s="11">
        <f>+VLOOKUP(B141,'PRECIO PROVEEDORES'!$A$2:$B$716,2,0)</f>
        <v>9900</v>
      </c>
      <c r="E141" s="12">
        <f t="shared" si="32"/>
        <v>297</v>
      </c>
      <c r="G141" s="13" t="s">
        <v>40</v>
      </c>
      <c r="H141" s="10">
        <v>4.4999999999999998E-2</v>
      </c>
      <c r="I141" s="11">
        <f>+VLOOKUP(G141,'PRECIO PROVEEDORES'!$A$2:$B$716,2,0)</f>
        <v>18256.349999999999</v>
      </c>
      <c r="J141" s="12">
        <f t="shared" si="33"/>
        <v>821.53574999999989</v>
      </c>
      <c r="L141" s="13" t="s">
        <v>147</v>
      </c>
      <c r="M141" s="10">
        <v>0.15</v>
      </c>
      <c r="N141" s="11">
        <f>+VLOOKUP(L141,'PRECIO PROVEEDORES'!$A$2:$B$716,2,0)</f>
        <v>7700</v>
      </c>
      <c r="O141" s="12">
        <f t="shared" si="34"/>
        <v>1155</v>
      </c>
      <c r="Q141" s="13" t="s">
        <v>147</v>
      </c>
      <c r="R141" s="10">
        <v>0.15</v>
      </c>
      <c r="S141" s="11">
        <f>+VLOOKUP(Q141,'PRECIO PROVEEDORES'!$A$2:$B$716,2,0)</f>
        <v>7700</v>
      </c>
      <c r="T141" s="12">
        <f t="shared" si="35"/>
        <v>1155</v>
      </c>
      <c r="V141" s="13"/>
      <c r="W141" s="10"/>
      <c r="X141" s="11" t="e">
        <f>+VLOOKUP(V141,'PRECIO PROVEEDORES'!$A$2:$B$716,2,0)</f>
        <v>#N/A</v>
      </c>
      <c r="Y141" s="12" t="e">
        <f t="shared" si="36"/>
        <v>#N/A</v>
      </c>
      <c r="AA141" s="13"/>
      <c r="AB141" s="10"/>
      <c r="AC141" s="11" t="e">
        <f>+VLOOKUP(AA141,'PRECIO PROVEEDORES'!$A$2:$B$716,2,0)</f>
        <v>#N/A</v>
      </c>
      <c r="AD141" s="12" t="e">
        <f t="shared" si="37"/>
        <v>#N/A</v>
      </c>
    </row>
    <row r="142" spans="2:35" ht="15.75" customHeight="1" x14ac:dyDescent="0.2">
      <c r="B142" s="13" t="s">
        <v>102</v>
      </c>
      <c r="C142" s="10">
        <v>0.04</v>
      </c>
      <c r="D142" s="11">
        <f>+VLOOKUP(B142,'PRECIO PROVEEDORES'!$A$2:$B$716,2,0)</f>
        <v>6130.5563999999995</v>
      </c>
      <c r="E142" s="12">
        <f t="shared" si="32"/>
        <v>245.22225599999999</v>
      </c>
      <c r="G142" s="13" t="s">
        <v>22</v>
      </c>
      <c r="H142" s="10">
        <v>0.06</v>
      </c>
      <c r="I142" s="11">
        <f>+VLOOKUP(G142,'PRECIO PROVEEDORES'!$A$2:$B$716,2,0)</f>
        <v>4788</v>
      </c>
      <c r="J142" s="12">
        <f t="shared" si="33"/>
        <v>287.27999999999997</v>
      </c>
      <c r="L142" s="13" t="s">
        <v>148</v>
      </c>
      <c r="M142" s="10">
        <v>0.05</v>
      </c>
      <c r="N142" s="11">
        <f>+VLOOKUP(L142,'PRECIO PROVEEDORES'!$A$2:$B$716,2,0)</f>
        <v>9725</v>
      </c>
      <c r="O142" s="12">
        <f t="shared" si="34"/>
        <v>486.25</v>
      </c>
      <c r="Q142" s="13" t="s">
        <v>12</v>
      </c>
      <c r="R142" s="10">
        <v>0.1</v>
      </c>
      <c r="S142" s="11">
        <f>+VLOOKUP(Q142,'PRECIO PROVEEDORES'!$A$2:$B$716,2,0)</f>
        <v>243.1</v>
      </c>
      <c r="T142" s="12">
        <f t="shared" si="35"/>
        <v>24.310000000000002</v>
      </c>
      <c r="V142" s="13"/>
      <c r="W142" s="10"/>
      <c r="X142" s="11" t="e">
        <f>+VLOOKUP(V142,'PRECIO PROVEEDORES'!$A$2:$B$716,2,0)</f>
        <v>#N/A</v>
      </c>
      <c r="Y142" s="12" t="e">
        <f t="shared" si="36"/>
        <v>#N/A</v>
      </c>
      <c r="AA142" s="13"/>
      <c r="AB142" s="10"/>
      <c r="AC142" s="11" t="e">
        <f>+VLOOKUP(AA142,'PRECIO PROVEEDORES'!$A$2:$B$716,2,0)</f>
        <v>#N/A</v>
      </c>
      <c r="AD142" s="12" t="e">
        <f t="shared" si="37"/>
        <v>#N/A</v>
      </c>
    </row>
    <row r="143" spans="2:35" ht="15.75" customHeight="1" x14ac:dyDescent="0.2">
      <c r="B143" s="13" t="s">
        <v>149</v>
      </c>
      <c r="C143" s="10">
        <v>0.05</v>
      </c>
      <c r="D143" s="11">
        <f>+VLOOKUP(B143,'PRECIO PROVEEDORES'!$A$2:$B$716,2,0)</f>
        <v>9125.6666666666661</v>
      </c>
      <c r="E143" s="12">
        <f t="shared" si="32"/>
        <v>456.2833333333333</v>
      </c>
      <c r="G143" s="13" t="s">
        <v>33</v>
      </c>
      <c r="H143" s="10">
        <v>1.4999999999999999E-2</v>
      </c>
      <c r="I143" s="11">
        <f>+VLOOKUP(G143,'PRECIO PROVEEDORES'!$A$2:$B$716,2,0)</f>
        <v>0</v>
      </c>
      <c r="J143" s="12">
        <f t="shared" si="33"/>
        <v>0</v>
      </c>
      <c r="L143" s="13" t="s">
        <v>12</v>
      </c>
      <c r="M143" s="10">
        <v>0.1</v>
      </c>
      <c r="N143" s="11">
        <f>+VLOOKUP(L143,'PRECIO PROVEEDORES'!$A$2:$B$716,2,0)</f>
        <v>243.1</v>
      </c>
      <c r="O143" s="12">
        <f t="shared" si="34"/>
        <v>24.310000000000002</v>
      </c>
      <c r="Q143" s="13" t="s">
        <v>148</v>
      </c>
      <c r="R143" s="10">
        <v>0.05</v>
      </c>
      <c r="S143" s="11">
        <f>+VLOOKUP(Q143,'PRECIO PROVEEDORES'!$A$2:$B$716,2,0)</f>
        <v>9725</v>
      </c>
      <c r="T143" s="12">
        <f t="shared" si="35"/>
        <v>486.25</v>
      </c>
      <c r="V143" s="13"/>
      <c r="W143" s="10"/>
      <c r="X143" s="11" t="e">
        <f>+VLOOKUP(V143,'PRECIO PROVEEDORES'!$A$2:$B$716,2,0)</f>
        <v>#N/A</v>
      </c>
      <c r="Y143" s="12" t="e">
        <f t="shared" si="36"/>
        <v>#N/A</v>
      </c>
      <c r="AA143" s="13"/>
      <c r="AB143" s="10"/>
      <c r="AC143" s="11" t="e">
        <f>+VLOOKUP(AA143,'PRECIO PROVEEDORES'!$A$2:$B$716,2,0)</f>
        <v>#N/A</v>
      </c>
      <c r="AD143" s="12" t="e">
        <f t="shared" si="37"/>
        <v>#N/A</v>
      </c>
    </row>
    <row r="144" spans="2:35" ht="15.75" customHeight="1" x14ac:dyDescent="0.2">
      <c r="B144" s="13" t="s">
        <v>140</v>
      </c>
      <c r="C144" s="10">
        <v>1</v>
      </c>
      <c r="D144" s="11">
        <f>+VLOOKUP(B144,'PRECIO PROVEEDORES'!$A$2:$B$716,2,0)</f>
        <v>253</v>
      </c>
      <c r="E144" s="12">
        <f t="shared" si="32"/>
        <v>253</v>
      </c>
      <c r="G144" s="13" t="s">
        <v>150</v>
      </c>
      <c r="H144" s="10">
        <v>0.01</v>
      </c>
      <c r="I144" s="11">
        <f>+VLOOKUP(G144,'PRECIO PROVEEDORES'!$A$2:$B$716,2,0)</f>
        <v>16595</v>
      </c>
      <c r="J144" s="12">
        <f t="shared" si="33"/>
        <v>165.95000000000002</v>
      </c>
      <c r="L144" s="13" t="s">
        <v>132</v>
      </c>
      <c r="M144" s="10">
        <v>3.5000000000000003E-2</v>
      </c>
      <c r="N144" s="11">
        <f>+VLOOKUP(L144,'PRECIO PROVEEDORES'!$A$2:$B$716,2,0)</f>
        <v>17376</v>
      </c>
      <c r="O144" s="12">
        <f t="shared" si="34"/>
        <v>608.16000000000008</v>
      </c>
      <c r="Q144" s="13" t="s">
        <v>151</v>
      </c>
      <c r="R144" s="10">
        <v>3.0000000000000001E-3</v>
      </c>
      <c r="S144" s="11">
        <f>+VLOOKUP(Q144,'PRECIO PROVEEDORES'!$A$2:$B$716,2,0)</f>
        <v>1633</v>
      </c>
      <c r="T144" s="12">
        <f t="shared" si="35"/>
        <v>4.899</v>
      </c>
      <c r="V144" s="13"/>
      <c r="W144" s="10"/>
      <c r="X144" s="11" t="e">
        <f>+VLOOKUP(V144,'PRECIO PROVEEDORES'!$A$2:$B$716,2,0)</f>
        <v>#N/A</v>
      </c>
      <c r="Y144" s="12" t="e">
        <f t="shared" si="36"/>
        <v>#N/A</v>
      </c>
      <c r="AA144" s="13"/>
      <c r="AB144" s="10"/>
      <c r="AC144" s="11" t="e">
        <f>+VLOOKUP(AA144,'PRECIO PROVEEDORES'!$A$2:$B$716,2,0)</f>
        <v>#N/A</v>
      </c>
      <c r="AD144" s="12" t="e">
        <f t="shared" si="37"/>
        <v>#N/A</v>
      </c>
    </row>
    <row r="145" spans="2:30" ht="15.75" customHeight="1" x14ac:dyDescent="0.2">
      <c r="B145" s="7" t="s">
        <v>29</v>
      </c>
      <c r="C145" s="10">
        <v>0.04</v>
      </c>
      <c r="D145" s="11">
        <f>+VLOOKUP(B145,'PRECIO PROVEEDORES'!$A$2:$B$716,2,0)</f>
        <v>9900</v>
      </c>
      <c r="E145" s="12">
        <f t="shared" si="32"/>
        <v>396</v>
      </c>
      <c r="G145" s="13" t="s">
        <v>48</v>
      </c>
      <c r="H145" s="10">
        <v>0.15</v>
      </c>
      <c r="I145" s="11">
        <f>+VLOOKUP(G145,'PRECIO PROVEEDORES'!$A$2:$B$716,2,0)</f>
        <v>1685.0214999999996</v>
      </c>
      <c r="J145" s="12">
        <f t="shared" si="33"/>
        <v>252.75322499999993</v>
      </c>
      <c r="L145" s="13" t="s">
        <v>151</v>
      </c>
      <c r="M145" s="10">
        <v>3.0000000000000001E-3</v>
      </c>
      <c r="N145" s="11">
        <f>+VLOOKUP(L145,'PRECIO PROVEEDORES'!$A$2:$B$716,2,0)</f>
        <v>1633</v>
      </c>
      <c r="O145" s="12">
        <f t="shared" si="34"/>
        <v>4.899</v>
      </c>
      <c r="Q145" s="13" t="s">
        <v>51</v>
      </c>
      <c r="R145" s="10">
        <v>3.0000000000000001E-3</v>
      </c>
      <c r="S145" s="11">
        <f>+VLOOKUP(Q145,'PRECIO PROVEEDORES'!$A$2:$B$716,2,0)</f>
        <v>22269</v>
      </c>
      <c r="T145" s="12">
        <f t="shared" si="35"/>
        <v>66.807000000000002</v>
      </c>
      <c r="V145" s="13"/>
      <c r="W145" s="10"/>
      <c r="X145" s="11" t="e">
        <f>+VLOOKUP(V145,'PRECIO PROVEEDORES'!$A$2:$B$716,2,0)</f>
        <v>#N/A</v>
      </c>
      <c r="Y145" s="12" t="e">
        <f t="shared" si="36"/>
        <v>#N/A</v>
      </c>
      <c r="AA145" s="13"/>
      <c r="AB145" s="10"/>
      <c r="AC145" s="11" t="e">
        <f>+VLOOKUP(AA145,'PRECIO PROVEEDORES'!$A$2:$B$716,2,0)</f>
        <v>#N/A</v>
      </c>
      <c r="AD145" s="12" t="e">
        <f t="shared" si="37"/>
        <v>#N/A</v>
      </c>
    </row>
    <row r="146" spans="2:30" ht="15.75" customHeight="1" x14ac:dyDescent="0.2">
      <c r="B146" s="7" t="s">
        <v>35</v>
      </c>
      <c r="C146" s="7">
        <v>0.04</v>
      </c>
      <c r="D146" s="11">
        <f>+VLOOKUP(B146,'PRECIO PROVEEDORES'!$A$2:$B$716,2,0)</f>
        <v>4095</v>
      </c>
      <c r="E146" s="12">
        <f t="shared" si="32"/>
        <v>163.80000000000001</v>
      </c>
      <c r="G146" s="13" t="s">
        <v>50</v>
      </c>
      <c r="H146" s="7">
        <v>0.04</v>
      </c>
      <c r="I146" s="11">
        <f>+VLOOKUP(G146,'PRECIO PROVEEDORES'!$A$2:$B$716,2,0)</f>
        <v>3891.9110000000001</v>
      </c>
      <c r="J146" s="12">
        <f t="shared" si="33"/>
        <v>155.67644000000001</v>
      </c>
      <c r="L146" s="13" t="s">
        <v>51</v>
      </c>
      <c r="M146" s="7">
        <v>3.0000000000000001E-3</v>
      </c>
      <c r="N146" s="11">
        <f>+VLOOKUP(L146,'PRECIO PROVEEDORES'!$A$2:$B$716,2,0)</f>
        <v>22269</v>
      </c>
      <c r="O146" s="12">
        <f t="shared" si="34"/>
        <v>66.807000000000002</v>
      </c>
      <c r="Q146" s="13" t="s">
        <v>152</v>
      </c>
      <c r="R146" s="7">
        <v>3.0000000000000001E-3</v>
      </c>
      <c r="S146" s="11">
        <f>+VLOOKUP(Q146,'PRECIO PROVEEDORES'!$A$2:$B$716,2,0)</f>
        <v>8566.7999999999993</v>
      </c>
      <c r="T146" s="12">
        <f t="shared" si="35"/>
        <v>25.700399999999998</v>
      </c>
      <c r="V146" s="7"/>
      <c r="W146" s="7"/>
      <c r="X146" s="11"/>
      <c r="Y146" s="12"/>
      <c r="AA146" s="7"/>
      <c r="AB146" s="7"/>
      <c r="AC146" s="11"/>
      <c r="AD146" s="12"/>
    </row>
    <row r="147" spans="2:30" ht="15.75" customHeight="1" x14ac:dyDescent="0.2">
      <c r="B147" s="19" t="s">
        <v>48</v>
      </c>
      <c r="C147" s="7">
        <v>0.15</v>
      </c>
      <c r="D147" s="11">
        <f>+VLOOKUP(B147,'PRECIO PROVEEDORES'!$A$2:$B$716,2,0)</f>
        <v>1685.0214999999996</v>
      </c>
      <c r="E147" s="12">
        <f t="shared" si="32"/>
        <v>252.75322499999993</v>
      </c>
      <c r="G147" s="13"/>
      <c r="H147" s="7"/>
      <c r="I147" s="11"/>
      <c r="J147" s="12"/>
      <c r="L147" s="13" t="s">
        <v>152</v>
      </c>
      <c r="M147" s="7">
        <v>3.0000000000000001E-3</v>
      </c>
      <c r="N147" s="11">
        <f>+VLOOKUP(L147,'PRECIO PROVEEDORES'!$A$2:$B$716,2,0)</f>
        <v>8566.7999999999993</v>
      </c>
      <c r="O147" s="12">
        <f t="shared" si="34"/>
        <v>25.700399999999998</v>
      </c>
      <c r="Q147" s="13"/>
      <c r="R147" s="7"/>
      <c r="S147" s="11"/>
      <c r="T147" s="12"/>
      <c r="V147" s="19"/>
      <c r="W147" s="7"/>
      <c r="X147" s="11"/>
      <c r="Y147" s="12"/>
      <c r="AA147" s="19"/>
      <c r="AB147" s="7"/>
      <c r="AC147" s="11"/>
      <c r="AD147" s="12"/>
    </row>
    <row r="148" spans="2:30" ht="15.75" customHeight="1" x14ac:dyDescent="0.2">
      <c r="B148" s="19" t="s">
        <v>50</v>
      </c>
      <c r="C148" s="7">
        <v>0.04</v>
      </c>
      <c r="D148" s="11">
        <f>+VLOOKUP(B148,'PRECIO PROVEEDORES'!$A$2:$B$716,2,0)</f>
        <v>3891.9110000000001</v>
      </c>
      <c r="E148" s="12">
        <f t="shared" si="32"/>
        <v>155.67644000000001</v>
      </c>
      <c r="G148" s="13"/>
      <c r="H148" s="7"/>
      <c r="I148" s="11"/>
      <c r="J148" s="12"/>
      <c r="L148" s="13" t="s">
        <v>48</v>
      </c>
      <c r="M148" s="7">
        <v>0.15</v>
      </c>
      <c r="N148" s="11">
        <f>+VLOOKUP(L148,'PRECIO PROVEEDORES'!$A$2:$B$716,2,0)</f>
        <v>1685.0214999999996</v>
      </c>
      <c r="O148" s="12">
        <f t="shared" si="34"/>
        <v>252.75322499999993</v>
      </c>
      <c r="Q148" s="13"/>
      <c r="R148" s="7"/>
      <c r="S148" s="11"/>
      <c r="T148" s="12"/>
      <c r="V148" s="19"/>
      <c r="W148" s="7"/>
      <c r="X148" s="11"/>
      <c r="Y148" s="12"/>
      <c r="AA148" s="19"/>
      <c r="AB148" s="7"/>
      <c r="AC148" s="11"/>
      <c r="AD148" s="12"/>
    </row>
    <row r="149" spans="2:30" ht="15.75" customHeight="1" x14ac:dyDescent="0.2">
      <c r="B149" s="19"/>
      <c r="C149" s="7"/>
      <c r="D149" s="11"/>
      <c r="E149" s="12"/>
      <c r="G149" s="13"/>
      <c r="H149" s="7"/>
      <c r="I149" s="11"/>
      <c r="J149" s="12"/>
      <c r="L149" s="13" t="s">
        <v>50</v>
      </c>
      <c r="M149" s="7">
        <v>0.04</v>
      </c>
      <c r="N149" s="11">
        <f>+VLOOKUP(L149,'PRECIO PROVEEDORES'!$A$2:$B$716,2,0)</f>
        <v>3891.9110000000001</v>
      </c>
      <c r="O149" s="12">
        <f t="shared" si="34"/>
        <v>155.67644000000001</v>
      </c>
      <c r="Q149" s="13"/>
      <c r="R149" s="7"/>
      <c r="S149" s="11"/>
      <c r="T149" s="12"/>
      <c r="V149" s="19"/>
      <c r="W149" s="7"/>
      <c r="X149" s="11"/>
      <c r="Y149" s="12"/>
      <c r="AA149" s="19"/>
      <c r="AB149" s="7"/>
      <c r="AC149" s="11"/>
      <c r="AD149" s="12"/>
    </row>
    <row r="150" spans="2:30" ht="15.75" customHeight="1" x14ac:dyDescent="0.2">
      <c r="B150" s="19"/>
      <c r="C150" s="7"/>
      <c r="D150" s="11"/>
      <c r="E150" s="12"/>
      <c r="G150" s="13"/>
      <c r="H150" s="7"/>
      <c r="I150" s="11"/>
      <c r="J150" s="12"/>
      <c r="L150" s="13"/>
      <c r="M150" s="7"/>
      <c r="N150" s="11"/>
      <c r="O150" s="12"/>
      <c r="Q150" s="13"/>
      <c r="R150" s="7"/>
      <c r="S150" s="11"/>
      <c r="T150" s="12"/>
      <c r="V150" s="19"/>
      <c r="W150" s="7"/>
      <c r="X150" s="11"/>
      <c r="Y150" s="12"/>
      <c r="AA150" s="19"/>
      <c r="AB150" s="7"/>
      <c r="AC150" s="11"/>
      <c r="AD150" s="12"/>
    </row>
    <row r="151" spans="2:30" ht="15.75" customHeight="1" x14ac:dyDescent="0.2">
      <c r="B151" s="5"/>
      <c r="C151" s="7"/>
      <c r="D151" s="11"/>
      <c r="E151" s="12"/>
      <c r="G151" s="5"/>
      <c r="H151" s="7"/>
      <c r="I151" s="11"/>
      <c r="J151" s="12"/>
      <c r="L151" s="5"/>
      <c r="M151" s="7"/>
      <c r="N151" s="11"/>
      <c r="O151" s="12"/>
      <c r="Q151" s="5"/>
      <c r="R151" s="7"/>
      <c r="S151" s="11"/>
      <c r="T151" s="12"/>
      <c r="V151" s="5"/>
      <c r="W151" s="7"/>
      <c r="X151" s="11"/>
      <c r="Y151" s="12"/>
      <c r="AA151" s="5"/>
      <c r="AB151" s="7"/>
      <c r="AC151" s="11"/>
      <c r="AD151" s="12"/>
    </row>
    <row r="152" spans="2:30" ht="15.75" customHeight="1" x14ac:dyDescent="0.2">
      <c r="B152" s="5"/>
      <c r="C152" s="7"/>
      <c r="D152" s="11"/>
      <c r="E152" s="12"/>
      <c r="G152" s="5"/>
      <c r="H152" s="7"/>
      <c r="I152" s="11"/>
      <c r="J152" s="12"/>
      <c r="L152" s="5"/>
      <c r="M152" s="7"/>
      <c r="N152" s="11"/>
      <c r="O152" s="12"/>
      <c r="Q152" s="5"/>
      <c r="R152" s="7"/>
      <c r="S152" s="11"/>
      <c r="T152" s="12"/>
      <c r="V152" s="5"/>
      <c r="W152" s="7"/>
      <c r="X152" s="11"/>
      <c r="Y152" s="12"/>
      <c r="AA152" s="5"/>
      <c r="AB152" s="7"/>
      <c r="AC152" s="11"/>
      <c r="AD152" s="12"/>
    </row>
    <row r="153" spans="2:30" ht="15.75" customHeight="1" x14ac:dyDescent="0.2">
      <c r="B153" s="5"/>
      <c r="C153" s="7"/>
      <c r="D153" s="11"/>
      <c r="E153" s="12"/>
      <c r="G153" s="5"/>
      <c r="H153" s="7"/>
      <c r="I153" s="11"/>
      <c r="J153" s="12"/>
      <c r="L153" s="5"/>
      <c r="M153" s="7"/>
      <c r="N153" s="11"/>
      <c r="O153" s="12"/>
      <c r="Q153" s="5"/>
      <c r="R153" s="7"/>
      <c r="S153" s="11"/>
      <c r="T153" s="12"/>
      <c r="V153" s="5"/>
      <c r="W153" s="7"/>
      <c r="X153" s="11"/>
      <c r="Y153" s="12"/>
      <c r="AA153" s="5"/>
      <c r="AB153" s="7"/>
      <c r="AC153" s="11"/>
      <c r="AD153" s="12"/>
    </row>
    <row r="154" spans="2:30" ht="15.75" customHeight="1" x14ac:dyDescent="0.2">
      <c r="B154" s="21" t="s">
        <v>52</v>
      </c>
      <c r="C154" s="22"/>
      <c r="D154" s="23"/>
      <c r="E154" s="24">
        <f>SUM(E139:E153)</f>
        <v>3201.3766309567104</v>
      </c>
      <c r="G154" s="21" t="s">
        <v>52</v>
      </c>
      <c r="H154" s="22"/>
      <c r="I154" s="23"/>
      <c r="J154" s="24">
        <f>SUM(J139:J153)</f>
        <v>5516.5554149999998</v>
      </c>
      <c r="L154" s="21" t="s">
        <v>52</v>
      </c>
      <c r="M154" s="22"/>
      <c r="N154" s="23"/>
      <c r="O154" s="24">
        <f>SUM(O139:O153)</f>
        <v>3290.1560649999997</v>
      </c>
      <c r="Q154" s="21" t="s">
        <v>52</v>
      </c>
      <c r="R154" s="22"/>
      <c r="S154" s="23"/>
      <c r="T154" s="24">
        <f>SUM(T139:T153)</f>
        <v>2628.7264</v>
      </c>
      <c r="V154" s="21" t="s">
        <v>52</v>
      </c>
      <c r="W154" s="22"/>
      <c r="X154" s="23"/>
      <c r="Y154" s="24" t="e">
        <f>SUM(Y139:Y153)</f>
        <v>#N/A</v>
      </c>
      <c r="AA154" s="21" t="s">
        <v>52</v>
      </c>
      <c r="AB154" s="22"/>
      <c r="AC154" s="23"/>
      <c r="AD154" s="24" t="e">
        <f>SUM(AD139:AD153)</f>
        <v>#N/A</v>
      </c>
    </row>
    <row r="155" spans="2:30" ht="15.75" customHeight="1" x14ac:dyDescent="0.2">
      <c r="B155" s="19" t="s">
        <v>53</v>
      </c>
      <c r="C155" s="27"/>
      <c r="D155" s="28"/>
      <c r="E155" s="29">
        <f>SUM(E154)</f>
        <v>3201.3766309567104</v>
      </c>
      <c r="G155" s="19" t="s">
        <v>53</v>
      </c>
      <c r="H155" s="27"/>
      <c r="I155" s="28"/>
      <c r="J155" s="29">
        <f>SUM(J154)</f>
        <v>5516.5554149999998</v>
      </c>
      <c r="L155" s="19" t="s">
        <v>53</v>
      </c>
      <c r="M155" s="27"/>
      <c r="N155" s="28"/>
      <c r="O155" s="29">
        <f>SUM(O154)</f>
        <v>3290.1560649999997</v>
      </c>
      <c r="Q155" s="19" t="s">
        <v>53</v>
      </c>
      <c r="R155" s="27"/>
      <c r="S155" s="28"/>
      <c r="T155" s="29">
        <f>SUM(T154)</f>
        <v>2628.7264</v>
      </c>
      <c r="V155" s="19" t="s">
        <v>53</v>
      </c>
      <c r="W155" s="27"/>
      <c r="X155" s="28"/>
      <c r="Y155" s="29" t="e">
        <f>SUM(Y154)</f>
        <v>#N/A</v>
      </c>
      <c r="AA155" s="19" t="s">
        <v>53</v>
      </c>
      <c r="AB155" s="27"/>
      <c r="AC155" s="28"/>
      <c r="AD155" s="29" t="e">
        <f>SUM(AD154)</f>
        <v>#N/A</v>
      </c>
    </row>
    <row r="156" spans="2:30" ht="15.75" customHeight="1" x14ac:dyDescent="0.2">
      <c r="B156" s="19" t="s">
        <v>54</v>
      </c>
      <c r="C156" s="27"/>
      <c r="D156" s="28"/>
      <c r="E156" s="29">
        <f>+E155</f>
        <v>3201.3766309567104</v>
      </c>
      <c r="G156" s="19" t="s">
        <v>54</v>
      </c>
      <c r="H156" s="27"/>
      <c r="I156" s="28"/>
      <c r="J156" s="29">
        <f>+J155</f>
        <v>5516.5554149999998</v>
      </c>
      <c r="L156" s="19" t="s">
        <v>54</v>
      </c>
      <c r="M156" s="27"/>
      <c r="N156" s="28"/>
      <c r="O156" s="29">
        <f>+O155</f>
        <v>3290.1560649999997</v>
      </c>
      <c r="Q156" s="19" t="s">
        <v>54</v>
      </c>
      <c r="R156" s="27"/>
      <c r="S156" s="28"/>
      <c r="T156" s="29">
        <f>+T155</f>
        <v>2628.7264</v>
      </c>
      <c r="V156" s="19" t="s">
        <v>54</v>
      </c>
      <c r="W156" s="27"/>
      <c r="X156" s="28"/>
      <c r="Y156" s="29" t="e">
        <f>+Y155</f>
        <v>#N/A</v>
      </c>
      <c r="AA156" s="19" t="s">
        <v>54</v>
      </c>
      <c r="AB156" s="27"/>
      <c r="AC156" s="28"/>
      <c r="AD156" s="29" t="e">
        <f>+AD155</f>
        <v>#N/A</v>
      </c>
    </row>
    <row r="157" spans="2:30" ht="15.75" customHeight="1" x14ac:dyDescent="0.2">
      <c r="B157" s="19" t="s">
        <v>55</v>
      </c>
      <c r="C157" s="27"/>
      <c r="D157" s="31">
        <v>0.3</v>
      </c>
      <c r="E157" s="29"/>
      <c r="G157" s="19" t="s">
        <v>55</v>
      </c>
      <c r="H157" s="27"/>
      <c r="I157" s="31">
        <v>0.3</v>
      </c>
      <c r="J157" s="29"/>
      <c r="L157" s="19" t="s">
        <v>55</v>
      </c>
      <c r="M157" s="27"/>
      <c r="N157" s="31">
        <v>0.3</v>
      </c>
      <c r="O157" s="29"/>
      <c r="Q157" s="19" t="s">
        <v>55</v>
      </c>
      <c r="R157" s="27"/>
      <c r="S157" s="31">
        <v>0.3</v>
      </c>
      <c r="T157" s="29"/>
      <c r="V157" s="19" t="s">
        <v>55</v>
      </c>
      <c r="W157" s="27"/>
      <c r="X157" s="31">
        <v>0.3</v>
      </c>
      <c r="Y157" s="29"/>
      <c r="AA157" s="19" t="s">
        <v>55</v>
      </c>
      <c r="AB157" s="27"/>
      <c r="AC157" s="31">
        <v>0.3</v>
      </c>
      <c r="AD157" s="29"/>
    </row>
    <row r="158" spans="2:30" ht="15.75" customHeight="1" x14ac:dyDescent="0.2">
      <c r="B158" s="19" t="s">
        <v>56</v>
      </c>
      <c r="C158" s="27"/>
      <c r="D158" s="31"/>
      <c r="E158" s="29">
        <f>+E156*3.33333333333333</f>
        <v>10671.255436522357</v>
      </c>
      <c r="G158" s="19" t="s">
        <v>56</v>
      </c>
      <c r="H158" s="27"/>
      <c r="I158" s="31"/>
      <c r="J158" s="29">
        <f>+J156*3.33333333333333</f>
        <v>18388.518049999981</v>
      </c>
      <c r="L158" s="19" t="s">
        <v>56</v>
      </c>
      <c r="M158" s="27"/>
      <c r="N158" s="31"/>
      <c r="O158" s="29">
        <f>+O156*3.33333333333333</f>
        <v>10967.186883333321</v>
      </c>
      <c r="Q158" s="19" t="s">
        <v>56</v>
      </c>
      <c r="R158" s="27"/>
      <c r="S158" s="31"/>
      <c r="T158" s="29">
        <f>+T156*3.33333333333333</f>
        <v>8762.4213333333246</v>
      </c>
      <c r="V158" s="19" t="s">
        <v>56</v>
      </c>
      <c r="W158" s="27"/>
      <c r="X158" s="31"/>
      <c r="Y158" s="29" t="e">
        <f>+Y156*3.33333333333333</f>
        <v>#N/A</v>
      </c>
      <c r="AA158" s="19" t="s">
        <v>56</v>
      </c>
      <c r="AB158" s="27"/>
      <c r="AC158" s="31"/>
      <c r="AD158" s="29" t="e">
        <f>+AD156*3.33333333333333</f>
        <v>#N/A</v>
      </c>
    </row>
    <row r="159" spans="2:30" ht="15.75" customHeight="1" x14ac:dyDescent="0.2">
      <c r="B159" s="19" t="s">
        <v>57</v>
      </c>
      <c r="C159" s="27"/>
      <c r="D159" s="27"/>
      <c r="E159" s="29">
        <v>17000</v>
      </c>
      <c r="G159" s="19" t="s">
        <v>57</v>
      </c>
      <c r="H159" s="27"/>
      <c r="I159" s="27"/>
      <c r="J159" s="29">
        <v>20500</v>
      </c>
      <c r="L159" s="19" t="s">
        <v>57</v>
      </c>
      <c r="M159" s="27"/>
      <c r="N159" s="27"/>
      <c r="O159" s="29">
        <v>18000</v>
      </c>
      <c r="Q159" s="19" t="s">
        <v>57</v>
      </c>
      <c r="R159" s="27"/>
      <c r="S159" s="27"/>
      <c r="T159" s="29">
        <v>15000</v>
      </c>
      <c r="V159" s="19" t="s">
        <v>57</v>
      </c>
      <c r="W159" s="27"/>
      <c r="X159" s="27"/>
      <c r="Y159" s="29" t="e">
        <f>SUM(Y158)</f>
        <v>#N/A</v>
      </c>
      <c r="AA159" s="19" t="s">
        <v>57</v>
      </c>
      <c r="AB159" s="27"/>
      <c r="AC159" s="27"/>
      <c r="AD159" s="29" t="e">
        <f>SUM(AD158)</f>
        <v>#N/A</v>
      </c>
    </row>
    <row r="160" spans="2:30" ht="15.75" customHeight="1" x14ac:dyDescent="0.2">
      <c r="B160" s="19"/>
      <c r="C160" s="27"/>
      <c r="D160" s="28"/>
      <c r="E160" s="24">
        <f>+E159-E158</f>
        <v>6328.7445634776432</v>
      </c>
      <c r="G160" s="19"/>
      <c r="H160" s="27"/>
      <c r="I160" s="28"/>
      <c r="J160" s="24">
        <f>+J159-J158</f>
        <v>2111.4819500000194</v>
      </c>
      <c r="L160" s="19"/>
      <c r="M160" s="27"/>
      <c r="N160" s="28"/>
      <c r="O160" s="24">
        <f>+O159-O158</f>
        <v>7032.813116666679</v>
      </c>
      <c r="Q160" s="19"/>
      <c r="R160" s="27"/>
      <c r="S160" s="28"/>
      <c r="T160" s="24">
        <f>+T159-T158</f>
        <v>6237.5786666666754</v>
      </c>
      <c r="V160" s="19"/>
      <c r="W160" s="27"/>
      <c r="X160" s="28"/>
      <c r="Y160" s="24" t="e">
        <f>+Y159-Y158</f>
        <v>#N/A</v>
      </c>
      <c r="AA160" s="19"/>
      <c r="AB160" s="27"/>
      <c r="AC160" s="28"/>
      <c r="AD160" s="24" t="e">
        <f>+AD159-AD158</f>
        <v>#N/A</v>
      </c>
    </row>
    <row r="161" spans="2:30" ht="15.75" customHeight="1" x14ac:dyDescent="0.2">
      <c r="B161" s="32" t="s">
        <v>58</v>
      </c>
      <c r="C161" s="33"/>
      <c r="D161" s="33"/>
      <c r="E161" s="34">
        <f>E156/E159</f>
        <v>0.18831627240921825</v>
      </c>
      <c r="G161" s="32" t="s">
        <v>58</v>
      </c>
      <c r="H161" s="33"/>
      <c r="I161" s="33"/>
      <c r="J161" s="34">
        <f>J156/J159</f>
        <v>0.26910026414634147</v>
      </c>
      <c r="L161" s="32" t="s">
        <v>58</v>
      </c>
      <c r="M161" s="33"/>
      <c r="N161" s="33"/>
      <c r="O161" s="34">
        <f>O156/O159</f>
        <v>0.18278644805555555</v>
      </c>
      <c r="Q161" s="32" t="s">
        <v>58</v>
      </c>
      <c r="R161" s="33"/>
      <c r="S161" s="33"/>
      <c r="T161" s="34">
        <f>T156/T159</f>
        <v>0.17524842666666668</v>
      </c>
      <c r="V161" s="32" t="s">
        <v>58</v>
      </c>
      <c r="W161" s="33"/>
      <c r="X161" s="33"/>
      <c r="Y161" s="34" t="e">
        <f>Y156/Y159</f>
        <v>#N/A</v>
      </c>
      <c r="AA161" s="32" t="s">
        <v>58</v>
      </c>
      <c r="AB161" s="33"/>
      <c r="AC161" s="33"/>
      <c r="AD161" s="34" t="e">
        <f>AD156/AD159</f>
        <v>#N/A</v>
      </c>
    </row>
    <row r="162" spans="2:30" ht="15.75" customHeight="1" x14ac:dyDescent="0.15"/>
    <row r="163" spans="2:30" ht="15.75" customHeight="1" x14ac:dyDescent="0.15"/>
    <row r="164" spans="2:30" ht="15.75" customHeight="1" x14ac:dyDescent="0.15"/>
    <row r="165" spans="2:30" ht="15.75" customHeight="1" x14ac:dyDescent="0.15"/>
    <row r="166" spans="2:30" ht="15.75" customHeight="1" x14ac:dyDescent="0.15"/>
    <row r="167" spans="2:30" ht="15.75" customHeight="1" x14ac:dyDescent="0.15"/>
    <row r="168" spans="2:30" ht="15.75" customHeight="1" x14ac:dyDescent="0.15"/>
    <row r="169" spans="2:30" ht="15.75" customHeight="1" x14ac:dyDescent="0.15"/>
    <row r="170" spans="2:30" ht="15.75" customHeight="1" x14ac:dyDescent="0.15"/>
    <row r="171" spans="2:30" ht="15.75" customHeight="1" x14ac:dyDescent="0.15"/>
    <row r="172" spans="2:30" ht="15.75" customHeight="1" x14ac:dyDescent="0.15"/>
    <row r="173" spans="2:30" ht="15.75" customHeight="1" x14ac:dyDescent="0.15"/>
    <row r="174" spans="2:30" ht="15.75" customHeight="1" x14ac:dyDescent="0.15"/>
    <row r="175" spans="2:30" ht="15.75" customHeight="1" x14ac:dyDescent="0.15"/>
    <row r="176" spans="2:30"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sheetData>
  <mergeCells count="41">
    <mergeCell ref="AF110:AI110"/>
    <mergeCell ref="AA137:AD137"/>
    <mergeCell ref="B110:E110"/>
    <mergeCell ref="G110:J110"/>
    <mergeCell ref="L110:O110"/>
    <mergeCell ref="Q110:T110"/>
    <mergeCell ref="V110:Y110"/>
    <mergeCell ref="AA110:AD110"/>
    <mergeCell ref="B137:E137"/>
    <mergeCell ref="G137:J137"/>
    <mergeCell ref="L137:O137"/>
    <mergeCell ref="Q137:T137"/>
    <mergeCell ref="V137:Y137"/>
    <mergeCell ref="AA56:AD56"/>
    <mergeCell ref="AF56:AI56"/>
    <mergeCell ref="B83:E83"/>
    <mergeCell ref="G83:J83"/>
    <mergeCell ref="L83:O83"/>
    <mergeCell ref="Q83:T83"/>
    <mergeCell ref="V83:Y83"/>
    <mergeCell ref="AA83:AD83"/>
    <mergeCell ref="AF83:AI83"/>
    <mergeCell ref="B56:E56"/>
    <mergeCell ref="G56:J56"/>
    <mergeCell ref="L56:O56"/>
    <mergeCell ref="Q56:T56"/>
    <mergeCell ref="V56:Y56"/>
    <mergeCell ref="AA2:AD2"/>
    <mergeCell ref="AF2:AI2"/>
    <mergeCell ref="B29:E29"/>
    <mergeCell ref="G29:J29"/>
    <mergeCell ref="L29:O29"/>
    <mergeCell ref="Q29:T29"/>
    <mergeCell ref="V29:Y29"/>
    <mergeCell ref="AA29:AD29"/>
    <mergeCell ref="AF29:AI29"/>
    <mergeCell ref="B2:E2"/>
    <mergeCell ref="G2:J2"/>
    <mergeCell ref="L2:O2"/>
    <mergeCell ref="Q2:T2"/>
    <mergeCell ref="V2:Y2"/>
  </mergeCells>
  <conditionalFormatting sqref="E26 J26 O26 T26 Y26 AD26 AI26 E53 J53 O53 T53 Y53 AD53 AI53 E80 J80 O80 T80 Y80 AD80 AI80 E107 J107 O107 T107 Y107 AD107 AI107 E134 J134 O134 T134 Y134 AD134 AI134 E161 J161">
    <cfRule type="cellIs" dxfId="18" priority="1" operator="lessThanOrEqual">
      <formula>"25%"</formula>
    </cfRule>
    <cfRule type="cellIs" dxfId="17" priority="2" operator="between">
      <formula>"25%"</formula>
      <formula>"30%"</formula>
    </cfRule>
    <cfRule type="cellIs" dxfId="16" priority="3" operator="greaterThanOrEqual">
      <formula>"30%"</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'PRECIO PROVEEDORES'!$A$3:$A$543</xm:f>
          </x14:formula1>
          <xm:sqref>B112:B123 G139:G150 L139:L150 Q139:Q150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984"/>
  <sheetViews>
    <sheetView showGridLines="0" workbookViewId="0"/>
  </sheetViews>
  <sheetFormatPr baseColWidth="10" defaultColWidth="12.6640625" defaultRowHeight="15" customHeight="1" x14ac:dyDescent="0.15"/>
  <cols>
    <col min="1" max="1" width="3.33203125" customWidth="1"/>
    <col min="2" max="2" width="34.83203125" customWidth="1"/>
    <col min="3" max="3" width="10.33203125" customWidth="1"/>
    <col min="4" max="4" width="13.1640625" customWidth="1"/>
    <col min="5" max="5" width="9.33203125" customWidth="1"/>
    <col min="7" max="7" width="33.83203125" customWidth="1"/>
    <col min="12" max="12" width="34.83203125" customWidth="1"/>
    <col min="17" max="17" width="33.1640625" customWidth="1"/>
    <col min="22" max="22" width="33.1640625" customWidth="1"/>
    <col min="27" max="27" width="29.1640625" customWidth="1"/>
    <col min="32" max="32" width="26.6640625" customWidth="1"/>
  </cols>
  <sheetData>
    <row r="1" spans="1:43" x14ac:dyDescent="0.2">
      <c r="A1" s="1" t="s">
        <v>0</v>
      </c>
      <c r="B1" s="2"/>
      <c r="C1" s="2"/>
      <c r="D1" s="2"/>
      <c r="E1" s="2"/>
      <c r="AE1" s="3"/>
      <c r="AF1" s="3"/>
      <c r="AG1" s="3"/>
      <c r="AH1" s="3"/>
      <c r="AI1" s="3"/>
      <c r="AJ1" s="3"/>
      <c r="AK1" s="3"/>
      <c r="AL1" s="3"/>
      <c r="AM1" s="3"/>
      <c r="AN1" s="3"/>
      <c r="AO1" s="3"/>
      <c r="AP1" s="3"/>
      <c r="AQ1" s="3"/>
    </row>
    <row r="2" spans="1:43" x14ac:dyDescent="0.15">
      <c r="B2" s="216" t="s">
        <v>1</v>
      </c>
      <c r="C2" s="213"/>
      <c r="D2" s="213"/>
      <c r="E2" s="214"/>
      <c r="G2" s="216" t="s">
        <v>2</v>
      </c>
      <c r="H2" s="213"/>
      <c r="I2" s="213"/>
      <c r="J2" s="214"/>
      <c r="L2" s="216" t="s">
        <v>3</v>
      </c>
      <c r="M2" s="213"/>
      <c r="N2" s="213"/>
      <c r="O2" s="214"/>
      <c r="Q2" s="215" t="s">
        <v>4</v>
      </c>
      <c r="R2" s="213"/>
      <c r="S2" s="213"/>
      <c r="T2" s="214"/>
      <c r="V2" s="216" t="s">
        <v>5</v>
      </c>
      <c r="W2" s="213"/>
      <c r="X2" s="213"/>
      <c r="Y2" s="214"/>
      <c r="AA2" s="215" t="s">
        <v>6</v>
      </c>
      <c r="AB2" s="213"/>
      <c r="AC2" s="213"/>
      <c r="AD2" s="214"/>
      <c r="AE2" s="4"/>
      <c r="AF2" s="4"/>
      <c r="AG2" s="4"/>
      <c r="AH2" s="4"/>
      <c r="AI2" s="4"/>
      <c r="AJ2" s="4"/>
      <c r="AK2" s="4"/>
      <c r="AL2" s="4"/>
      <c r="AM2" s="4"/>
      <c r="AN2" s="4"/>
      <c r="AO2" s="4"/>
      <c r="AP2" s="4"/>
      <c r="AQ2" s="4"/>
    </row>
    <row r="3" spans="1:43" x14ac:dyDescent="0.2">
      <c r="B3" s="5"/>
      <c r="C3" s="6" t="s">
        <v>8</v>
      </c>
      <c r="D3" s="7" t="s">
        <v>9</v>
      </c>
      <c r="E3" s="8" t="s">
        <v>10</v>
      </c>
      <c r="G3" s="5"/>
      <c r="H3" s="6" t="s">
        <v>8</v>
      </c>
      <c r="I3" s="7" t="s">
        <v>9</v>
      </c>
      <c r="J3" s="8" t="s">
        <v>10</v>
      </c>
      <c r="L3" s="5"/>
      <c r="M3" s="6" t="s">
        <v>8</v>
      </c>
      <c r="N3" s="7" t="s">
        <v>9</v>
      </c>
      <c r="O3" s="8" t="s">
        <v>10</v>
      </c>
      <c r="Q3" s="5"/>
      <c r="R3" s="6" t="s">
        <v>8</v>
      </c>
      <c r="S3" s="7" t="s">
        <v>9</v>
      </c>
      <c r="T3" s="8" t="s">
        <v>10</v>
      </c>
      <c r="V3" s="5"/>
      <c r="W3" s="6" t="s">
        <v>8</v>
      </c>
      <c r="X3" s="7" t="s">
        <v>9</v>
      </c>
      <c r="Y3" s="8" t="s">
        <v>10</v>
      </c>
      <c r="AA3" s="7"/>
      <c r="AB3" s="6" t="s">
        <v>8</v>
      </c>
      <c r="AC3" s="7" t="s">
        <v>9</v>
      </c>
      <c r="AD3" s="8" t="s">
        <v>10</v>
      </c>
      <c r="AE3" s="9"/>
      <c r="AF3" s="9"/>
      <c r="AG3" s="9"/>
      <c r="AH3" s="9"/>
      <c r="AI3" s="9"/>
      <c r="AJ3" s="9"/>
      <c r="AK3" s="9"/>
      <c r="AL3" s="9"/>
      <c r="AM3" s="9"/>
      <c r="AN3" s="9"/>
      <c r="AO3" s="9"/>
      <c r="AP3" s="9"/>
      <c r="AQ3" s="9"/>
    </row>
    <row r="4" spans="1:43" ht="16" x14ac:dyDescent="0.2">
      <c r="B4" s="7" t="s">
        <v>11</v>
      </c>
      <c r="C4" s="10">
        <v>0.15</v>
      </c>
      <c r="D4" s="11">
        <f>+VLOOKUP(B4,'PRECIO PROVEEDORES'!$A$2:$B$716,2,0)</f>
        <v>7449.2</v>
      </c>
      <c r="E4" s="12">
        <f t="shared" ref="E4:E10" si="0">+C4*D4</f>
        <v>1117.3799999999999</v>
      </c>
      <c r="G4" s="13" t="s">
        <v>12</v>
      </c>
      <c r="H4" s="10">
        <v>1</v>
      </c>
      <c r="I4" s="11">
        <f>+VLOOKUP(G4,'PRECIO PROVEEDORES'!$A$2:$B$716,2,0)</f>
        <v>243.1</v>
      </c>
      <c r="J4" s="12">
        <f t="shared" ref="J4:J10" si="1">+H4*I4</f>
        <v>243.1</v>
      </c>
      <c r="L4" s="13" t="s">
        <v>13</v>
      </c>
      <c r="M4" s="10">
        <v>2</v>
      </c>
      <c r="N4" s="11">
        <f>+VLOOKUP(L4,'PRECIO PROVEEDORES'!$A$2:$B$716,2,0)</f>
        <v>391.80500000000001</v>
      </c>
      <c r="O4" s="12">
        <f t="shared" ref="O4:O9" si="2">+M4*N4</f>
        <v>783.61</v>
      </c>
      <c r="Q4" s="14" t="s">
        <v>14</v>
      </c>
      <c r="R4" s="10">
        <v>0.04</v>
      </c>
      <c r="S4" s="11">
        <f>+VLOOKUP(Q4,'PRECIO PROVEEDORES'!$A$2:$B$716,2,0)</f>
        <v>2332</v>
      </c>
      <c r="T4" s="12">
        <f t="shared" ref="T4:T13" si="3">+R4*S4</f>
        <v>93.28</v>
      </c>
      <c r="V4" s="7" t="s">
        <v>12</v>
      </c>
      <c r="W4" s="10">
        <v>2</v>
      </c>
      <c r="X4" s="11">
        <f>+VLOOKUP(V4,'PRECIO PROVEEDORES'!$A$2:$B$716,2,0)</f>
        <v>243.1</v>
      </c>
      <c r="Y4" s="12">
        <f t="shared" ref="Y4:Y16" si="4">+W4*X4</f>
        <v>486.2</v>
      </c>
      <c r="AA4" s="7" t="s">
        <v>12</v>
      </c>
      <c r="AB4" s="10">
        <v>2</v>
      </c>
      <c r="AC4" s="11">
        <f>+VLOOKUP(AA4,'PRECIO PROVEEDORES'!$A$2:$B$716,2,0)</f>
        <v>243.1</v>
      </c>
      <c r="AD4" s="12">
        <f t="shared" ref="AD4:AD8" si="5">+AB4*AC4</f>
        <v>486.2</v>
      </c>
      <c r="AE4" s="15"/>
      <c r="AF4" s="15"/>
      <c r="AG4" s="15"/>
      <c r="AH4" s="15"/>
      <c r="AI4" s="15"/>
      <c r="AJ4" s="15"/>
      <c r="AK4" s="15"/>
      <c r="AL4" s="15"/>
      <c r="AM4" s="15"/>
      <c r="AN4" s="15"/>
      <c r="AO4" s="15"/>
      <c r="AP4" s="15"/>
      <c r="AQ4" s="15"/>
    </row>
    <row r="5" spans="1:43" ht="16" x14ac:dyDescent="0.2">
      <c r="B5" s="13" t="s">
        <v>16</v>
      </c>
      <c r="C5" s="10">
        <v>0.05</v>
      </c>
      <c r="D5" s="11">
        <f>+VLOOKUP(B5,'PRECIO PROVEEDORES'!$A$2:$B$716,2,0)</f>
        <v>8954.3189333333339</v>
      </c>
      <c r="E5" s="12">
        <f t="shared" si="0"/>
        <v>447.7159466666667</v>
      </c>
      <c r="G5" s="13" t="s">
        <v>17</v>
      </c>
      <c r="H5" s="10">
        <v>3</v>
      </c>
      <c r="I5" s="11">
        <f>+VLOOKUP(G5,'PRECIO PROVEEDORES'!$A$2:$B$716,2,0)</f>
        <v>192</v>
      </c>
      <c r="J5" s="12">
        <f t="shared" si="1"/>
        <v>576</v>
      </c>
      <c r="L5" s="7" t="s">
        <v>18</v>
      </c>
      <c r="M5" s="10">
        <v>0.01</v>
      </c>
      <c r="N5" s="11">
        <f>+VLOOKUP(L5,'PRECIO PROVEEDORES'!$A$2:$B$716,2,0)</f>
        <v>9542</v>
      </c>
      <c r="O5" s="12">
        <f t="shared" si="2"/>
        <v>95.42</v>
      </c>
      <c r="Q5" s="16" t="s">
        <v>19</v>
      </c>
      <c r="R5" s="10">
        <v>1</v>
      </c>
      <c r="S5" s="11">
        <f>+VLOOKUP(Q5,'PRECIO PROVEEDORES'!$A$2:$B$716,2,0)</f>
        <v>1650</v>
      </c>
      <c r="T5" s="12">
        <f t="shared" si="3"/>
        <v>1650</v>
      </c>
      <c r="V5" s="13" t="s">
        <v>20</v>
      </c>
      <c r="W5" s="10">
        <v>0.12</v>
      </c>
      <c r="X5" s="11">
        <f>+VLOOKUP(V5,'PRECIO PROVEEDORES'!$A$2:$B$716,2,0)</f>
        <v>7700</v>
      </c>
      <c r="Y5" s="12">
        <f t="shared" si="4"/>
        <v>924</v>
      </c>
      <c r="AA5" s="7" t="s">
        <v>21</v>
      </c>
      <c r="AB5" s="10">
        <v>0.06</v>
      </c>
      <c r="AC5" s="11">
        <f>+VLOOKUP(AA5,'PRECIO PROVEEDORES'!$A$2:$B$716,2,0)</f>
        <v>11881</v>
      </c>
      <c r="AD5" s="12">
        <f t="shared" si="5"/>
        <v>712.86</v>
      </c>
      <c r="AE5" s="15"/>
      <c r="AF5" s="15"/>
      <c r="AG5" s="15"/>
      <c r="AH5" s="15"/>
      <c r="AI5" s="15"/>
      <c r="AJ5" s="15"/>
      <c r="AK5" s="15"/>
      <c r="AL5" s="15"/>
      <c r="AM5" s="15"/>
      <c r="AN5" s="15"/>
      <c r="AO5" s="15"/>
      <c r="AP5" s="15"/>
      <c r="AQ5" s="15"/>
    </row>
    <row r="6" spans="1:43" ht="16" x14ac:dyDescent="0.2">
      <c r="B6" s="13" t="s">
        <v>23</v>
      </c>
      <c r="C6" s="10">
        <v>0.05</v>
      </c>
      <c r="D6" s="11">
        <f>+VLOOKUP(B6,'PRECIO PROVEEDORES'!$A$2:$B$716,2,0)</f>
        <v>3360</v>
      </c>
      <c r="E6" s="12">
        <f t="shared" si="0"/>
        <v>168</v>
      </c>
      <c r="G6" s="17" t="s">
        <v>24</v>
      </c>
      <c r="H6" s="10">
        <v>0.08</v>
      </c>
      <c r="I6" s="11">
        <f>+VLOOKUP(G6,'PRECIO PROVEEDORES'!$A$2:$B$716,2,0)</f>
        <v>9316</v>
      </c>
      <c r="J6" s="12">
        <f t="shared" si="1"/>
        <v>745.28</v>
      </c>
      <c r="L6" s="7" t="s">
        <v>25</v>
      </c>
      <c r="M6" s="10">
        <v>0.08</v>
      </c>
      <c r="N6" s="11">
        <f>+VLOOKUP(L6,'PRECIO PROVEEDORES'!$A$2:$B$716,2,0)</f>
        <v>3360</v>
      </c>
      <c r="O6" s="12">
        <f t="shared" si="2"/>
        <v>268.8</v>
      </c>
      <c r="Q6" s="13" t="s">
        <v>26</v>
      </c>
      <c r="R6" s="10">
        <v>0.03</v>
      </c>
      <c r="S6" s="11">
        <f>+VLOOKUP(Q6,'PRECIO PROVEEDORES'!$A$2:$B$716,2,0)</f>
        <v>6000</v>
      </c>
      <c r="T6" s="12">
        <f t="shared" si="3"/>
        <v>180</v>
      </c>
      <c r="V6" s="7" t="s">
        <v>27</v>
      </c>
      <c r="W6" s="10">
        <v>0.02</v>
      </c>
      <c r="X6" s="11">
        <f>+VLOOKUP(V6,'PRECIO PROVEEDORES'!$A$2:$B$716,2,0)</f>
        <v>6440</v>
      </c>
      <c r="Y6" s="12">
        <f t="shared" si="4"/>
        <v>128.80000000000001</v>
      </c>
      <c r="AA6" s="7" t="s">
        <v>28</v>
      </c>
      <c r="AB6" s="10">
        <v>0.09</v>
      </c>
      <c r="AC6" s="11">
        <f>+VLOOKUP(AA6,'PRECIO PROVEEDORES'!$A$2:$B$716,2,0)</f>
        <v>10697</v>
      </c>
      <c r="AD6" s="12">
        <f t="shared" si="5"/>
        <v>962.73</v>
      </c>
      <c r="AE6" s="15"/>
      <c r="AF6" s="15"/>
      <c r="AG6" s="15"/>
      <c r="AH6" s="15"/>
      <c r="AI6" s="15"/>
      <c r="AJ6" s="15"/>
      <c r="AK6" s="15"/>
      <c r="AL6" s="15"/>
      <c r="AM6" s="15"/>
      <c r="AN6" s="15"/>
      <c r="AO6" s="15"/>
      <c r="AP6" s="15"/>
      <c r="AQ6" s="15"/>
    </row>
    <row r="7" spans="1:43" ht="16" x14ac:dyDescent="0.2">
      <c r="B7" s="13" t="s">
        <v>30</v>
      </c>
      <c r="C7" s="10">
        <v>0.04</v>
      </c>
      <c r="D7" s="11">
        <f>+VLOOKUP(B7,'PRECIO PROVEEDORES'!$A$2:$B$716,2,0)</f>
        <v>26000</v>
      </c>
      <c r="E7" s="12">
        <f t="shared" si="0"/>
        <v>1040</v>
      </c>
      <c r="G7" s="13" t="s">
        <v>26</v>
      </c>
      <c r="H7" s="10">
        <v>3.5000000000000003E-2</v>
      </c>
      <c r="I7" s="11">
        <f>+VLOOKUP(G7,'PRECIO PROVEEDORES'!$A$2:$B$716,2,0)</f>
        <v>6000</v>
      </c>
      <c r="J7" s="12">
        <f t="shared" si="1"/>
        <v>210.00000000000003</v>
      </c>
      <c r="L7" s="13" t="s">
        <v>30</v>
      </c>
      <c r="M7" s="10">
        <v>0.05</v>
      </c>
      <c r="N7" s="11">
        <f>+VLOOKUP(L7,'PRECIO PROVEEDORES'!$A$2:$B$716,2,0)</f>
        <v>26000</v>
      </c>
      <c r="O7" s="12">
        <f t="shared" si="2"/>
        <v>1300</v>
      </c>
      <c r="Q7" s="13" t="s">
        <v>30</v>
      </c>
      <c r="R7" s="10">
        <v>0.05</v>
      </c>
      <c r="S7" s="11">
        <f>+VLOOKUP(Q7,'PRECIO PROVEEDORES'!$A$2:$B$716,2,0)</f>
        <v>26000</v>
      </c>
      <c r="T7" s="12">
        <f t="shared" si="3"/>
        <v>1300</v>
      </c>
      <c r="V7" s="13" t="s">
        <v>31</v>
      </c>
      <c r="W7" s="10">
        <v>0.04</v>
      </c>
      <c r="X7" s="11">
        <f>+VLOOKUP(V7,'PRECIO PROVEEDORES'!$A$2:$B$716,2,0)</f>
        <v>9316</v>
      </c>
      <c r="Y7" s="12">
        <f t="shared" si="4"/>
        <v>372.64</v>
      </c>
      <c r="AA7" s="13" t="s">
        <v>32</v>
      </c>
      <c r="AB7" s="10">
        <v>0.02</v>
      </c>
      <c r="AC7" s="11">
        <f>+VLOOKUP(AA7,'PRECIO PROVEEDORES'!$A$2:$B$716,2,0)</f>
        <v>12206</v>
      </c>
      <c r="AD7" s="12">
        <f t="shared" si="5"/>
        <v>244.12</v>
      </c>
      <c r="AE7" s="15"/>
      <c r="AF7" s="15"/>
      <c r="AG7" s="15"/>
      <c r="AH7" s="15"/>
      <c r="AI7" s="15"/>
      <c r="AJ7" s="15"/>
      <c r="AK7" s="15"/>
      <c r="AL7" s="15"/>
      <c r="AM7" s="15"/>
      <c r="AN7" s="15"/>
      <c r="AO7" s="15"/>
      <c r="AP7" s="15"/>
      <c r="AQ7" s="15"/>
    </row>
    <row r="8" spans="1:43" ht="16" x14ac:dyDescent="0.2">
      <c r="B8" s="13" t="s">
        <v>34</v>
      </c>
      <c r="C8" s="18">
        <v>0.01</v>
      </c>
      <c r="D8" s="11">
        <f>+VLOOKUP(B8,'PRECIO PROVEEDORES'!$A$2:$B$716,2,0)</f>
        <v>5917</v>
      </c>
      <c r="E8" s="12">
        <f t="shared" si="0"/>
        <v>59.17</v>
      </c>
      <c r="G8" s="7" t="s">
        <v>35</v>
      </c>
      <c r="H8" s="10">
        <v>0.05</v>
      </c>
      <c r="I8" s="11">
        <f>+VLOOKUP(G8,'PRECIO PROVEEDORES'!$A$2:$B$716,2,0)</f>
        <v>4095</v>
      </c>
      <c r="J8" s="12">
        <f t="shared" si="1"/>
        <v>204.75</v>
      </c>
      <c r="L8" s="13" t="s">
        <v>36</v>
      </c>
      <c r="M8" s="10">
        <v>0.02</v>
      </c>
      <c r="N8" s="11">
        <f>+VLOOKUP(L8,'PRECIO PROVEEDORES'!$A$2:$B$716,2,0)</f>
        <v>35691.97</v>
      </c>
      <c r="O8" s="12">
        <f t="shared" si="2"/>
        <v>713.83940000000007</v>
      </c>
      <c r="Q8" s="13" t="s">
        <v>34</v>
      </c>
      <c r="R8" s="10">
        <v>1.4999999999999999E-2</v>
      </c>
      <c r="S8" s="11">
        <f>+VLOOKUP(Q8,'PRECIO PROVEEDORES'!$A$2:$B$716,2,0)</f>
        <v>5917</v>
      </c>
      <c r="T8" s="12">
        <f t="shared" si="3"/>
        <v>88.754999999999995</v>
      </c>
      <c r="V8" s="13" t="s">
        <v>37</v>
      </c>
      <c r="W8" s="10">
        <v>0.05</v>
      </c>
      <c r="X8" s="11">
        <f>+VLOOKUP(V8,'PRECIO PROVEEDORES'!$A$2:$B$716,2,0)</f>
        <v>17587.349999999999</v>
      </c>
      <c r="Y8" s="12">
        <f t="shared" si="4"/>
        <v>879.36749999999995</v>
      </c>
      <c r="AA8" s="7" t="s">
        <v>153</v>
      </c>
      <c r="AB8" s="7">
        <v>0.5</v>
      </c>
      <c r="AC8" s="11">
        <f>+VLOOKUP(AA8,'PRECIO PROVEEDORES'!$A$2:$B$716,2,0)</f>
        <v>160.5</v>
      </c>
      <c r="AD8" s="12">
        <f t="shared" si="5"/>
        <v>80.25</v>
      </c>
      <c r="AE8" s="15"/>
      <c r="AF8" s="15"/>
      <c r="AG8" s="15"/>
      <c r="AH8" s="15"/>
      <c r="AI8" s="15"/>
      <c r="AJ8" s="15"/>
      <c r="AK8" s="15"/>
      <c r="AL8" s="15"/>
      <c r="AM8" s="15"/>
      <c r="AN8" s="15"/>
      <c r="AO8" s="15"/>
      <c r="AP8" s="15"/>
      <c r="AQ8" s="15"/>
    </row>
    <row r="9" spans="1:43" ht="16" x14ac:dyDescent="0.2">
      <c r="B9" s="13" t="s">
        <v>39</v>
      </c>
      <c r="C9" s="10">
        <v>0.01</v>
      </c>
      <c r="D9" s="11">
        <f>+VLOOKUP(B9,'PRECIO PROVEEDORES'!$A$2:$B$716,2,0)</f>
        <v>56000</v>
      </c>
      <c r="E9" s="12">
        <f t="shared" si="0"/>
        <v>560</v>
      </c>
      <c r="G9" s="7" t="s">
        <v>40</v>
      </c>
      <c r="H9" s="10">
        <v>0.02</v>
      </c>
      <c r="I9" s="11">
        <f>+VLOOKUP(G9,'PRECIO PROVEEDORES'!$A$2:$B$716,2,0)</f>
        <v>18256.349999999999</v>
      </c>
      <c r="J9" s="12">
        <f t="shared" si="1"/>
        <v>365.12699999999995</v>
      </c>
      <c r="L9" s="7" t="s">
        <v>154</v>
      </c>
      <c r="M9" s="7">
        <v>0.5</v>
      </c>
      <c r="N9" s="11">
        <f>+VLOOKUP(L9,'PRECIO PROVEEDORES'!$A$2:$B$716,2,0)</f>
        <v>620</v>
      </c>
      <c r="O9" s="12">
        <f t="shared" si="2"/>
        <v>310</v>
      </c>
      <c r="Q9" s="7" t="s">
        <v>41</v>
      </c>
      <c r="R9" s="10">
        <v>2E-3</v>
      </c>
      <c r="S9" s="11">
        <f>+VLOOKUP(Q9,'PRECIO PROVEEDORES'!$A$2:$B$716,2,0)</f>
        <v>18304</v>
      </c>
      <c r="T9" s="12">
        <f t="shared" si="3"/>
        <v>36.608000000000004</v>
      </c>
      <c r="V9" s="13" t="s">
        <v>42</v>
      </c>
      <c r="W9" s="10">
        <v>0.05</v>
      </c>
      <c r="X9" s="11">
        <f>+VLOOKUP(V9,'PRECIO PROVEEDORES'!$A$2:$B$716,2,0)</f>
        <v>2910.45</v>
      </c>
      <c r="Y9" s="12">
        <f t="shared" si="4"/>
        <v>145.52250000000001</v>
      </c>
      <c r="AA9" s="7"/>
      <c r="AB9" s="7"/>
      <c r="AC9" s="11"/>
      <c r="AD9" s="12"/>
      <c r="AE9" s="15"/>
      <c r="AF9" s="15"/>
      <c r="AG9" s="15"/>
      <c r="AH9" s="15"/>
      <c r="AI9" s="15"/>
      <c r="AJ9" s="15"/>
      <c r="AK9" s="15"/>
      <c r="AL9" s="15"/>
      <c r="AM9" s="15"/>
      <c r="AN9" s="15"/>
      <c r="AO9" s="15"/>
      <c r="AP9" s="15"/>
      <c r="AQ9" s="15"/>
    </row>
    <row r="10" spans="1:43" ht="16" x14ac:dyDescent="0.2">
      <c r="B10" s="7" t="s">
        <v>155</v>
      </c>
      <c r="C10" s="18">
        <v>0.5</v>
      </c>
      <c r="D10" s="11">
        <f>+VLOOKUP(B10,'PRECIO PROVEEDORES'!$A$2:$B$716,2,0)</f>
        <v>974</v>
      </c>
      <c r="E10" s="12">
        <f t="shared" si="0"/>
        <v>487</v>
      </c>
      <c r="G10" s="7" t="s">
        <v>155</v>
      </c>
      <c r="H10" s="18">
        <v>0.5</v>
      </c>
      <c r="I10" s="11">
        <f>+VLOOKUP(G10,'PRECIO PROVEEDORES'!$A$2:$B$716,2,0)</f>
        <v>974</v>
      </c>
      <c r="J10" s="12">
        <f t="shared" si="1"/>
        <v>487</v>
      </c>
      <c r="L10" s="5"/>
      <c r="M10" s="7"/>
      <c r="N10" s="11"/>
      <c r="O10" s="12"/>
      <c r="Q10" s="13" t="s">
        <v>32</v>
      </c>
      <c r="R10" s="10">
        <v>0.01</v>
      </c>
      <c r="S10" s="11">
        <f>+VLOOKUP(Q10,'PRECIO PROVEEDORES'!$A$2:$B$716,2,0)</f>
        <v>12206</v>
      </c>
      <c r="T10" s="12">
        <f t="shared" si="3"/>
        <v>122.06</v>
      </c>
      <c r="V10" s="7" t="s">
        <v>28</v>
      </c>
      <c r="W10" s="10">
        <v>0.02</v>
      </c>
      <c r="X10" s="11">
        <f>+VLOOKUP(V10,'PRECIO PROVEEDORES'!$A$2:$B$716,2,0)</f>
        <v>10697</v>
      </c>
      <c r="Y10" s="12">
        <f t="shared" si="4"/>
        <v>213.94</v>
      </c>
      <c r="AA10" s="7"/>
      <c r="AB10" s="7"/>
      <c r="AC10" s="11"/>
      <c r="AD10" s="12"/>
      <c r="AE10" s="15"/>
      <c r="AF10" s="15"/>
      <c r="AG10" s="15"/>
      <c r="AH10" s="15"/>
      <c r="AI10" s="15"/>
      <c r="AJ10" s="15"/>
      <c r="AK10" s="15"/>
      <c r="AL10" s="15"/>
      <c r="AM10" s="15"/>
      <c r="AN10" s="15"/>
      <c r="AO10" s="15"/>
      <c r="AP10" s="15"/>
      <c r="AQ10" s="15"/>
    </row>
    <row r="11" spans="1:43" ht="16" x14ac:dyDescent="0.2">
      <c r="B11" s="5"/>
      <c r="C11" s="7"/>
      <c r="D11" s="11"/>
      <c r="E11" s="12"/>
      <c r="G11" s="5"/>
      <c r="H11" s="7"/>
      <c r="I11" s="11"/>
      <c r="J11" s="12"/>
      <c r="L11" s="5"/>
      <c r="M11" s="7"/>
      <c r="N11" s="11"/>
      <c r="O11" s="12"/>
      <c r="Q11" s="13" t="s">
        <v>44</v>
      </c>
      <c r="R11" s="10">
        <v>0.05</v>
      </c>
      <c r="S11" s="11">
        <f>+VLOOKUP(Q11,'PRECIO PROVEEDORES'!$A$2:$B$716,2,0)</f>
        <v>10450</v>
      </c>
      <c r="T11" s="12">
        <f t="shared" si="3"/>
        <v>522.5</v>
      </c>
      <c r="V11" s="13" t="s">
        <v>45</v>
      </c>
      <c r="W11" s="10">
        <v>1.4999999999999999E-2</v>
      </c>
      <c r="X11" s="11">
        <f>+VLOOKUP(V11,'PRECIO PROVEEDORES'!$A$2:$B$716,2,0)</f>
        <v>17376</v>
      </c>
      <c r="Y11" s="12">
        <f t="shared" si="4"/>
        <v>260.64</v>
      </c>
      <c r="AA11" s="5"/>
      <c r="AB11" s="7"/>
      <c r="AC11" s="11"/>
      <c r="AD11" s="12"/>
      <c r="AE11" s="15"/>
      <c r="AF11" s="15"/>
      <c r="AG11" s="15"/>
      <c r="AH11" s="15"/>
      <c r="AI11" s="15"/>
      <c r="AJ11" s="15"/>
      <c r="AK11" s="15"/>
      <c r="AL11" s="15"/>
      <c r="AM11" s="15"/>
      <c r="AN11" s="15"/>
      <c r="AO11" s="15"/>
      <c r="AP11" s="15"/>
      <c r="AQ11" s="15"/>
    </row>
    <row r="12" spans="1:43" ht="16" x14ac:dyDescent="0.2">
      <c r="B12" s="19"/>
      <c r="C12" s="7"/>
      <c r="D12" s="11"/>
      <c r="E12" s="12"/>
      <c r="G12" s="19"/>
      <c r="H12" s="7"/>
      <c r="I12" s="11"/>
      <c r="J12" s="12"/>
      <c r="L12" s="19"/>
      <c r="M12" s="7"/>
      <c r="N12" s="11"/>
      <c r="O12" s="12"/>
      <c r="Q12" s="13" t="s">
        <v>47</v>
      </c>
      <c r="R12" s="10">
        <v>0.05</v>
      </c>
      <c r="S12" s="11">
        <f>+VLOOKUP(Q12,'PRECIO PROVEEDORES'!$A$2:$B$716,2,0)</f>
        <v>4860</v>
      </c>
      <c r="T12" s="12">
        <f t="shared" si="3"/>
        <v>243</v>
      </c>
      <c r="V12" s="19" t="s">
        <v>48</v>
      </c>
      <c r="W12" s="7">
        <v>0.15</v>
      </c>
      <c r="X12" s="11">
        <f>+VLOOKUP(V12,'PRECIO PROVEEDORES'!$A$2:$B$716,2,0)</f>
        <v>1685.0214999999996</v>
      </c>
      <c r="Y12" s="12">
        <f t="shared" si="4"/>
        <v>252.75322499999993</v>
      </c>
      <c r="AA12" s="19"/>
      <c r="AB12" s="7"/>
      <c r="AC12" s="11"/>
      <c r="AD12" s="12"/>
      <c r="AE12" s="15"/>
      <c r="AF12" s="15"/>
      <c r="AG12" s="15"/>
      <c r="AH12" s="15"/>
      <c r="AI12" s="15"/>
      <c r="AJ12" s="15"/>
      <c r="AK12" s="15"/>
      <c r="AL12" s="15"/>
      <c r="AM12" s="15"/>
      <c r="AN12" s="15"/>
      <c r="AO12" s="15"/>
      <c r="AP12" s="15"/>
      <c r="AQ12" s="15"/>
    </row>
    <row r="13" spans="1:43" x14ac:dyDescent="0.2">
      <c r="B13" s="19"/>
      <c r="C13" s="7"/>
      <c r="D13" s="11"/>
      <c r="E13" s="12"/>
      <c r="G13" s="19"/>
      <c r="H13" s="7"/>
      <c r="I13" s="11"/>
      <c r="J13" s="12"/>
      <c r="L13" s="19"/>
      <c r="M13" s="7"/>
      <c r="N13" s="11"/>
      <c r="O13" s="12"/>
      <c r="Q13" s="7" t="s">
        <v>154</v>
      </c>
      <c r="R13" s="7">
        <v>0.5</v>
      </c>
      <c r="S13" s="11">
        <f>+VLOOKUP(Q13,'PRECIO PROVEEDORES'!$A$2:$B$716,2,0)</f>
        <v>620</v>
      </c>
      <c r="T13" s="12">
        <f t="shared" si="3"/>
        <v>310</v>
      </c>
      <c r="V13" s="20" t="s">
        <v>50</v>
      </c>
      <c r="W13" s="7">
        <v>0.04</v>
      </c>
      <c r="X13" s="11">
        <f>+VLOOKUP(V13,'PRECIO PROVEEDORES'!$A$2:$B$716,2,0)</f>
        <v>3891.9110000000001</v>
      </c>
      <c r="Y13" s="12">
        <f t="shared" si="4"/>
        <v>155.67644000000001</v>
      </c>
      <c r="AA13" s="19"/>
      <c r="AB13" s="7"/>
      <c r="AC13" s="11"/>
      <c r="AD13" s="12"/>
      <c r="AE13" s="15"/>
      <c r="AF13" s="15"/>
      <c r="AG13" s="15"/>
      <c r="AH13" s="15"/>
      <c r="AI13" s="15"/>
      <c r="AJ13" s="15"/>
      <c r="AK13" s="15"/>
      <c r="AL13" s="15"/>
      <c r="AM13" s="15"/>
      <c r="AN13" s="15"/>
      <c r="AO13" s="15"/>
      <c r="AP13" s="15"/>
      <c r="AQ13" s="15"/>
    </row>
    <row r="14" spans="1:43" x14ac:dyDescent="0.2">
      <c r="B14" s="19"/>
      <c r="C14" s="7"/>
      <c r="D14" s="11"/>
      <c r="E14" s="12"/>
      <c r="G14" s="19"/>
      <c r="H14" s="7"/>
      <c r="I14" s="11"/>
      <c r="J14" s="12"/>
      <c r="L14" s="19"/>
      <c r="M14" s="7"/>
      <c r="N14" s="11"/>
      <c r="O14" s="12"/>
      <c r="Q14" s="19"/>
      <c r="R14" s="7"/>
      <c r="S14" s="11"/>
      <c r="T14" s="12"/>
      <c r="V14" s="7" t="s">
        <v>153</v>
      </c>
      <c r="W14" s="7">
        <v>0.5</v>
      </c>
      <c r="X14" s="11">
        <f>+VLOOKUP(V14,'PRECIO PROVEEDORES'!$A$2:$B$716,2,0)</f>
        <v>160.5</v>
      </c>
      <c r="Y14" s="12">
        <f t="shared" si="4"/>
        <v>80.25</v>
      </c>
      <c r="AA14" s="19"/>
      <c r="AB14" s="7"/>
      <c r="AC14" s="11"/>
      <c r="AD14" s="12"/>
      <c r="AE14" s="15"/>
      <c r="AF14" s="15"/>
      <c r="AG14" s="15"/>
      <c r="AH14" s="15"/>
      <c r="AI14" s="15"/>
      <c r="AJ14" s="15"/>
      <c r="AK14" s="15"/>
      <c r="AL14" s="15"/>
      <c r="AM14" s="15"/>
      <c r="AN14" s="15"/>
      <c r="AO14" s="15"/>
      <c r="AP14" s="15"/>
      <c r="AQ14" s="15"/>
    </row>
    <row r="15" spans="1:43" x14ac:dyDescent="0.2">
      <c r="B15" s="19"/>
      <c r="C15" s="7"/>
      <c r="D15" s="11"/>
      <c r="E15" s="12"/>
      <c r="G15" s="19"/>
      <c r="H15" s="7"/>
      <c r="I15" s="11"/>
      <c r="J15" s="12"/>
      <c r="L15" s="19"/>
      <c r="M15" s="7"/>
      <c r="N15" s="11"/>
      <c r="O15" s="12"/>
      <c r="Q15" s="19"/>
      <c r="R15" s="7"/>
      <c r="S15" s="11"/>
      <c r="T15" s="12"/>
      <c r="V15" s="7" t="s">
        <v>156</v>
      </c>
      <c r="W15" s="7">
        <v>0.5</v>
      </c>
      <c r="X15" s="11">
        <f>+VLOOKUP(V15,'PRECIO PROVEEDORES'!$A$2:$B$716,2,0)</f>
        <v>155</v>
      </c>
      <c r="Y15" s="12">
        <f t="shared" si="4"/>
        <v>77.5</v>
      </c>
      <c r="AA15" s="19"/>
      <c r="AB15" s="7"/>
      <c r="AC15" s="11"/>
      <c r="AD15" s="12"/>
      <c r="AE15" s="15"/>
      <c r="AF15" s="15"/>
      <c r="AG15" s="15"/>
      <c r="AH15" s="15"/>
      <c r="AI15" s="15"/>
      <c r="AJ15" s="15"/>
      <c r="AK15" s="15"/>
      <c r="AL15" s="15"/>
      <c r="AM15" s="15"/>
      <c r="AN15" s="15"/>
      <c r="AO15" s="15"/>
      <c r="AP15" s="15"/>
      <c r="AQ15" s="15"/>
    </row>
    <row r="16" spans="1:43" x14ac:dyDescent="0.2">
      <c r="B16" s="5"/>
      <c r="C16" s="7"/>
      <c r="D16" s="11"/>
      <c r="E16" s="12"/>
      <c r="G16" s="5"/>
      <c r="H16" s="7"/>
      <c r="I16" s="11"/>
      <c r="J16" s="12"/>
      <c r="L16" s="5"/>
      <c r="M16" s="7"/>
      <c r="N16" s="11"/>
      <c r="O16" s="12"/>
      <c r="Q16" s="5"/>
      <c r="R16" s="7"/>
      <c r="S16" s="11"/>
      <c r="T16" s="12"/>
      <c r="V16" s="7" t="s">
        <v>157</v>
      </c>
      <c r="W16" s="7">
        <v>0.5</v>
      </c>
      <c r="X16" s="11">
        <f>+VLOOKUP(V16,'PRECIO PROVEEDORES'!$A$2:$B$716,2,0)</f>
        <v>86</v>
      </c>
      <c r="Y16" s="12">
        <f t="shared" si="4"/>
        <v>43</v>
      </c>
      <c r="AA16" s="5"/>
      <c r="AB16" s="7"/>
      <c r="AC16" s="11"/>
      <c r="AD16" s="12"/>
      <c r="AE16" s="15"/>
      <c r="AF16" s="15"/>
      <c r="AG16" s="15"/>
      <c r="AH16" s="15"/>
      <c r="AI16" s="15"/>
      <c r="AJ16" s="15"/>
      <c r="AK16" s="15"/>
      <c r="AL16" s="15"/>
      <c r="AM16" s="15"/>
      <c r="AN16" s="15"/>
      <c r="AO16" s="15"/>
      <c r="AP16" s="15"/>
      <c r="AQ16" s="15"/>
    </row>
    <row r="17" spans="1:43" ht="15.75" customHeight="1" x14ac:dyDescent="0.2">
      <c r="B17" s="5"/>
      <c r="C17" s="7"/>
      <c r="D17" s="11"/>
      <c r="E17" s="12"/>
      <c r="G17" s="5"/>
      <c r="H17" s="7"/>
      <c r="I17" s="11"/>
      <c r="J17" s="12"/>
      <c r="L17" s="5"/>
      <c r="M17" s="7"/>
      <c r="N17" s="11"/>
      <c r="O17" s="12"/>
      <c r="Q17" s="5"/>
      <c r="R17" s="7"/>
      <c r="S17" s="11"/>
      <c r="T17" s="12"/>
      <c r="V17" s="5"/>
      <c r="W17" s="7"/>
      <c r="X17" s="11"/>
      <c r="Y17" s="12"/>
      <c r="AA17" s="5"/>
      <c r="AB17" s="7"/>
      <c r="AC17" s="11"/>
      <c r="AD17" s="12"/>
      <c r="AE17" s="15"/>
      <c r="AF17" s="15"/>
      <c r="AG17" s="15"/>
      <c r="AH17" s="15"/>
      <c r="AI17" s="15"/>
      <c r="AJ17" s="15"/>
      <c r="AK17" s="15"/>
      <c r="AL17" s="15"/>
      <c r="AM17" s="15"/>
      <c r="AN17" s="15"/>
      <c r="AO17" s="15"/>
      <c r="AP17" s="15"/>
      <c r="AQ17" s="15"/>
    </row>
    <row r="18" spans="1:43" ht="15.75" customHeight="1" x14ac:dyDescent="0.2">
      <c r="B18" s="5"/>
      <c r="C18" s="7"/>
      <c r="D18" s="11"/>
      <c r="E18" s="12"/>
      <c r="G18" s="5"/>
      <c r="H18" s="7"/>
      <c r="I18" s="11"/>
      <c r="J18" s="12"/>
      <c r="L18" s="5"/>
      <c r="M18" s="7"/>
      <c r="N18" s="11"/>
      <c r="O18" s="12"/>
      <c r="Q18" s="5"/>
      <c r="R18" s="7"/>
      <c r="S18" s="11"/>
      <c r="T18" s="12"/>
      <c r="V18" s="5"/>
      <c r="W18" s="7"/>
      <c r="X18" s="11"/>
      <c r="Y18" s="12"/>
      <c r="AA18" s="5"/>
      <c r="AB18" s="7"/>
      <c r="AC18" s="11"/>
      <c r="AD18" s="12"/>
      <c r="AE18" s="15"/>
      <c r="AF18" s="15"/>
      <c r="AG18" s="15"/>
      <c r="AH18" s="15"/>
      <c r="AI18" s="15"/>
      <c r="AJ18" s="15"/>
      <c r="AK18" s="15"/>
      <c r="AL18" s="15"/>
      <c r="AM18" s="15"/>
      <c r="AN18" s="15"/>
      <c r="AO18" s="15"/>
      <c r="AP18" s="15"/>
      <c r="AQ18" s="15"/>
    </row>
    <row r="19" spans="1:43" ht="15.75" customHeight="1" x14ac:dyDescent="0.2">
      <c r="B19" s="21" t="s">
        <v>52</v>
      </c>
      <c r="C19" s="22"/>
      <c r="D19" s="23"/>
      <c r="E19" s="24">
        <f>SUM(E4:E18)</f>
        <v>3879.2659466666664</v>
      </c>
      <c r="G19" s="21" t="s">
        <v>52</v>
      </c>
      <c r="H19" s="22"/>
      <c r="I19" s="23"/>
      <c r="J19" s="24">
        <f>SUM(J4:J18)</f>
        <v>2831.2570000000001</v>
      </c>
      <c r="L19" s="21" t="s">
        <v>52</v>
      </c>
      <c r="M19" s="22"/>
      <c r="N19" s="23"/>
      <c r="O19" s="24">
        <f>SUM(O4:O18)</f>
        <v>3471.6693999999998</v>
      </c>
      <c r="Q19" s="21" t="s">
        <v>52</v>
      </c>
      <c r="R19" s="22"/>
      <c r="S19" s="23"/>
      <c r="T19" s="24">
        <f>SUM(T4:T18)</f>
        <v>4546.2029999999995</v>
      </c>
      <c r="V19" s="21" t="s">
        <v>52</v>
      </c>
      <c r="W19" s="22"/>
      <c r="X19" s="23"/>
      <c r="Y19" s="24">
        <f>SUM(Y4:Y18)</f>
        <v>4020.2896649999998</v>
      </c>
      <c r="AA19" s="21" t="s">
        <v>52</v>
      </c>
      <c r="AB19" s="22"/>
      <c r="AC19" s="23"/>
      <c r="AD19" s="24">
        <f>SUM(AD4:AD18)</f>
        <v>2486.16</v>
      </c>
      <c r="AE19" s="25"/>
      <c r="AF19" s="25"/>
      <c r="AG19" s="25"/>
      <c r="AH19" s="25"/>
      <c r="AI19" s="25"/>
      <c r="AJ19" s="25"/>
      <c r="AK19" s="25"/>
      <c r="AL19" s="25"/>
      <c r="AM19" s="25"/>
      <c r="AN19" s="25"/>
      <c r="AO19" s="25"/>
      <c r="AP19" s="25"/>
      <c r="AQ19" s="25"/>
    </row>
    <row r="20" spans="1:43" ht="15.75" customHeight="1" x14ac:dyDescent="0.2">
      <c r="A20" s="26"/>
      <c r="B20" s="19" t="s">
        <v>53</v>
      </c>
      <c r="C20" s="27"/>
      <c r="D20" s="28"/>
      <c r="E20" s="29">
        <f>SUM(E19)</f>
        <v>3879.2659466666664</v>
      </c>
      <c r="G20" s="19" t="s">
        <v>53</v>
      </c>
      <c r="H20" s="27"/>
      <c r="I20" s="28"/>
      <c r="J20" s="29">
        <f>SUM(J19)</f>
        <v>2831.2570000000001</v>
      </c>
      <c r="L20" s="19" t="s">
        <v>53</v>
      </c>
      <c r="M20" s="27"/>
      <c r="N20" s="28"/>
      <c r="O20" s="29">
        <f>SUM(O19)</f>
        <v>3471.6693999999998</v>
      </c>
      <c r="Q20" s="19" t="s">
        <v>53</v>
      </c>
      <c r="R20" s="27"/>
      <c r="S20" s="28"/>
      <c r="T20" s="29">
        <f>SUM(T19)</f>
        <v>4546.2029999999995</v>
      </c>
      <c r="V20" s="19" t="s">
        <v>53</v>
      </c>
      <c r="W20" s="27"/>
      <c r="X20" s="28"/>
      <c r="Y20" s="29">
        <f>SUM(Y19)</f>
        <v>4020.2896649999998</v>
      </c>
      <c r="AA20" s="19" t="s">
        <v>53</v>
      </c>
      <c r="AB20" s="27"/>
      <c r="AC20" s="28"/>
      <c r="AD20" s="29">
        <f>SUM(AD19)</f>
        <v>2486.16</v>
      </c>
      <c r="AE20" s="30"/>
      <c r="AF20" s="30"/>
      <c r="AG20" s="30"/>
      <c r="AH20" s="30"/>
      <c r="AI20" s="30"/>
      <c r="AJ20" s="30"/>
      <c r="AK20" s="30"/>
      <c r="AL20" s="30"/>
      <c r="AM20" s="30"/>
      <c r="AN20" s="30"/>
      <c r="AO20" s="30"/>
      <c r="AP20" s="30"/>
      <c r="AQ20" s="30"/>
    </row>
    <row r="21" spans="1:43" ht="15.75" customHeight="1" x14ac:dyDescent="0.2">
      <c r="A21" s="26"/>
      <c r="B21" s="19" t="s">
        <v>54</v>
      </c>
      <c r="C21" s="27"/>
      <c r="D21" s="28"/>
      <c r="E21" s="29">
        <f>+E20</f>
        <v>3879.2659466666664</v>
      </c>
      <c r="G21" s="19" t="s">
        <v>54</v>
      </c>
      <c r="H21" s="27"/>
      <c r="I21" s="28"/>
      <c r="J21" s="29">
        <f>+J20</f>
        <v>2831.2570000000001</v>
      </c>
      <c r="L21" s="19" t="s">
        <v>54</v>
      </c>
      <c r="M21" s="27"/>
      <c r="N21" s="28"/>
      <c r="O21" s="29">
        <f>+O20</f>
        <v>3471.6693999999998</v>
      </c>
      <c r="Q21" s="19" t="s">
        <v>54</v>
      </c>
      <c r="R21" s="27"/>
      <c r="S21" s="28"/>
      <c r="T21" s="29">
        <f>+T20</f>
        <v>4546.2029999999995</v>
      </c>
      <c r="V21" s="19" t="s">
        <v>54</v>
      </c>
      <c r="W21" s="27"/>
      <c r="X21" s="28"/>
      <c r="Y21" s="29">
        <f>+Y20</f>
        <v>4020.2896649999998</v>
      </c>
      <c r="AA21" s="19" t="s">
        <v>54</v>
      </c>
      <c r="AB21" s="27"/>
      <c r="AC21" s="28"/>
      <c r="AD21" s="29">
        <f>+AD20</f>
        <v>2486.16</v>
      </c>
      <c r="AE21" s="30"/>
      <c r="AF21" s="30"/>
      <c r="AG21" s="30"/>
      <c r="AH21" s="30"/>
      <c r="AI21" s="30"/>
      <c r="AJ21" s="30"/>
      <c r="AK21" s="30"/>
      <c r="AL21" s="30"/>
      <c r="AM21" s="30"/>
      <c r="AN21" s="30"/>
      <c r="AO21" s="30"/>
      <c r="AP21" s="30"/>
      <c r="AQ21" s="30"/>
    </row>
    <row r="22" spans="1:43" ht="15.75" customHeight="1" x14ac:dyDescent="0.2">
      <c r="A22" s="26"/>
      <c r="B22" s="19" t="s">
        <v>55</v>
      </c>
      <c r="C22" s="27"/>
      <c r="D22" s="31">
        <v>0.3</v>
      </c>
      <c r="E22" s="29"/>
      <c r="G22" s="19" t="s">
        <v>55</v>
      </c>
      <c r="H22" s="27"/>
      <c r="I22" s="31">
        <v>0.3</v>
      </c>
      <c r="J22" s="29"/>
      <c r="L22" s="19" t="s">
        <v>55</v>
      </c>
      <c r="M22" s="27"/>
      <c r="N22" s="31">
        <v>0.3</v>
      </c>
      <c r="O22" s="29"/>
      <c r="Q22" s="19" t="s">
        <v>55</v>
      </c>
      <c r="R22" s="27"/>
      <c r="S22" s="31">
        <v>0.3</v>
      </c>
      <c r="T22" s="29"/>
      <c r="V22" s="19" t="s">
        <v>55</v>
      </c>
      <c r="W22" s="27"/>
      <c r="X22" s="31">
        <v>0.3</v>
      </c>
      <c r="Y22" s="29"/>
      <c r="AA22" s="19" t="s">
        <v>55</v>
      </c>
      <c r="AB22" s="27"/>
      <c r="AC22" s="31">
        <v>0.3</v>
      </c>
      <c r="AD22" s="29"/>
      <c r="AE22" s="30"/>
      <c r="AF22" s="30"/>
      <c r="AG22" s="30"/>
      <c r="AH22" s="30"/>
      <c r="AI22" s="30"/>
      <c r="AJ22" s="30"/>
      <c r="AK22" s="30"/>
      <c r="AL22" s="30"/>
      <c r="AM22" s="30"/>
      <c r="AN22" s="30"/>
      <c r="AO22" s="30"/>
      <c r="AP22" s="30"/>
      <c r="AQ22" s="30"/>
    </row>
    <row r="23" spans="1:43" ht="15.75" customHeight="1" x14ac:dyDescent="0.2">
      <c r="A23" s="26"/>
      <c r="B23" s="19" t="s">
        <v>56</v>
      </c>
      <c r="C23" s="27"/>
      <c r="D23" s="31"/>
      <c r="E23" s="29">
        <f>+E21*3.33333333333333</f>
        <v>12930.886488888875</v>
      </c>
      <c r="F23" s="7"/>
      <c r="G23" s="19" t="s">
        <v>56</v>
      </c>
      <c r="H23" s="27"/>
      <c r="I23" s="31"/>
      <c r="J23" s="29">
        <f>+J21*3.33333333333333</f>
        <v>9437.5233333333235</v>
      </c>
      <c r="L23" s="19" t="s">
        <v>56</v>
      </c>
      <c r="M23" s="27"/>
      <c r="N23" s="31"/>
      <c r="O23" s="29">
        <f>+O21*3.33333333333333</f>
        <v>11572.23133333332</v>
      </c>
      <c r="Q23" s="19" t="s">
        <v>56</v>
      </c>
      <c r="R23" s="27"/>
      <c r="S23" s="31"/>
      <c r="T23" s="29">
        <f>+T21*3.33333333333333</f>
        <v>15154.009999999982</v>
      </c>
      <c r="V23" s="19" t="s">
        <v>56</v>
      </c>
      <c r="W23" s="27"/>
      <c r="X23" s="31"/>
      <c r="Y23" s="29">
        <f>+Y21*3.33333333333333</f>
        <v>13400.965549999986</v>
      </c>
      <c r="AA23" s="19" t="s">
        <v>56</v>
      </c>
      <c r="AB23" s="27"/>
      <c r="AC23" s="31"/>
      <c r="AD23" s="29">
        <f>+AD21*3.33333333333333</f>
        <v>8287.1999999999916</v>
      </c>
      <c r="AE23" s="30"/>
      <c r="AF23" s="30"/>
      <c r="AG23" s="30"/>
      <c r="AH23" s="30"/>
      <c r="AI23" s="30"/>
      <c r="AJ23" s="30"/>
      <c r="AK23" s="30"/>
      <c r="AL23" s="30"/>
      <c r="AM23" s="30"/>
      <c r="AN23" s="30"/>
      <c r="AO23" s="30"/>
      <c r="AP23" s="30"/>
      <c r="AQ23" s="30"/>
    </row>
    <row r="24" spans="1:43" ht="15.75" customHeight="1" x14ac:dyDescent="0.2">
      <c r="A24" s="26"/>
      <c r="B24" s="19" t="s">
        <v>158</v>
      </c>
      <c r="C24" s="27">
        <v>13500</v>
      </c>
      <c r="D24" s="43">
        <v>0.35</v>
      </c>
      <c r="E24" s="29">
        <v>18225</v>
      </c>
      <c r="G24" s="19" t="s">
        <v>158</v>
      </c>
      <c r="H24" s="27">
        <v>12000</v>
      </c>
      <c r="I24" s="43">
        <v>0.35</v>
      </c>
      <c r="J24" s="29">
        <v>16200</v>
      </c>
      <c r="L24" s="19" t="s">
        <v>158</v>
      </c>
      <c r="M24" s="27">
        <v>13000</v>
      </c>
      <c r="N24" s="43">
        <v>0.35</v>
      </c>
      <c r="O24" s="29">
        <v>17550</v>
      </c>
      <c r="Q24" s="19" t="s">
        <v>158</v>
      </c>
      <c r="R24" s="27">
        <v>16000</v>
      </c>
      <c r="S24" s="43">
        <v>0.35</v>
      </c>
      <c r="T24" s="29">
        <v>21600</v>
      </c>
      <c r="V24" s="19" t="s">
        <v>158</v>
      </c>
      <c r="W24" s="27">
        <v>15500</v>
      </c>
      <c r="X24" s="43">
        <v>0.35</v>
      </c>
      <c r="Y24" s="29">
        <v>21000</v>
      </c>
      <c r="AA24" s="19" t="s">
        <v>158</v>
      </c>
      <c r="AB24" s="27">
        <v>11000</v>
      </c>
      <c r="AC24" s="43">
        <v>0.35</v>
      </c>
      <c r="AD24" s="29">
        <v>15000</v>
      </c>
      <c r="AE24" s="30"/>
      <c r="AF24" s="30"/>
      <c r="AG24" s="30"/>
      <c r="AH24" s="30"/>
      <c r="AI24" s="30"/>
      <c r="AJ24" s="30"/>
      <c r="AK24" s="30"/>
      <c r="AL24" s="30"/>
      <c r="AM24" s="30"/>
      <c r="AN24" s="30"/>
      <c r="AO24" s="30"/>
      <c r="AP24" s="30"/>
      <c r="AQ24" s="30"/>
    </row>
    <row r="25" spans="1:43" ht="15.75" customHeight="1" x14ac:dyDescent="0.2">
      <c r="A25" s="26"/>
      <c r="B25" s="19"/>
      <c r="C25" s="27"/>
      <c r="D25" s="28"/>
      <c r="E25" s="24">
        <f>+E24-E23</f>
        <v>5294.1135111111253</v>
      </c>
      <c r="G25" s="19"/>
      <c r="H25" s="27"/>
      <c r="I25" s="28"/>
      <c r="J25" s="24">
        <f>+J24-J23</f>
        <v>6762.4766666666765</v>
      </c>
      <c r="L25" s="19"/>
      <c r="M25" s="27"/>
      <c r="N25" s="28"/>
      <c r="O25" s="24">
        <f>+O24-O23</f>
        <v>5977.7686666666796</v>
      </c>
      <c r="Q25" s="19"/>
      <c r="R25" s="27"/>
      <c r="S25" s="28"/>
      <c r="T25" s="24">
        <f>+T24-T23</f>
        <v>6445.990000000018</v>
      </c>
      <c r="V25" s="19"/>
      <c r="W25" s="27"/>
      <c r="X25" s="28"/>
      <c r="Y25" s="24">
        <f>+Y24-Y23</f>
        <v>7599.0344500000137</v>
      </c>
      <c r="AA25" s="19"/>
      <c r="AB25" s="27"/>
      <c r="AC25" s="28"/>
      <c r="AD25" s="24">
        <f>+AD24-AD23</f>
        <v>6712.8000000000084</v>
      </c>
      <c r="AE25" s="25"/>
      <c r="AF25" s="25"/>
      <c r="AG25" s="25"/>
      <c r="AH25" s="25"/>
      <c r="AI25" s="25"/>
      <c r="AJ25" s="25"/>
      <c r="AK25" s="25"/>
      <c r="AL25" s="25"/>
      <c r="AM25" s="25"/>
      <c r="AN25" s="25"/>
      <c r="AO25" s="25"/>
      <c r="AP25" s="25"/>
      <c r="AQ25" s="25"/>
    </row>
    <row r="26" spans="1:43" ht="15.75" customHeight="1" x14ac:dyDescent="0.2">
      <c r="B26" s="32" t="s">
        <v>58</v>
      </c>
      <c r="C26" s="33"/>
      <c r="D26" s="33"/>
      <c r="E26" s="34">
        <f>E21/E24</f>
        <v>0.21285409858253312</v>
      </c>
      <c r="G26" s="32" t="s">
        <v>58</v>
      </c>
      <c r="H26" s="33"/>
      <c r="I26" s="33"/>
      <c r="J26" s="34">
        <f>J21/J24</f>
        <v>0.17476895061728395</v>
      </c>
      <c r="L26" s="32" t="s">
        <v>58</v>
      </c>
      <c r="M26" s="33"/>
      <c r="N26" s="33"/>
      <c r="O26" s="34">
        <f>O21/O24</f>
        <v>0.19781592022792022</v>
      </c>
      <c r="Q26" s="32" t="s">
        <v>58</v>
      </c>
      <c r="R26" s="33"/>
      <c r="S26" s="33"/>
      <c r="T26" s="34">
        <f>T21/T24</f>
        <v>0.21047236111111109</v>
      </c>
      <c r="V26" s="32" t="s">
        <v>58</v>
      </c>
      <c r="W26" s="33"/>
      <c r="X26" s="33"/>
      <c r="Y26" s="34">
        <f>Y21/Y24</f>
        <v>0.191442365</v>
      </c>
      <c r="AA26" s="32" t="s">
        <v>58</v>
      </c>
      <c r="AB26" s="33"/>
      <c r="AC26" s="33"/>
      <c r="AD26" s="34">
        <f>AD21/AD24</f>
        <v>0.165744</v>
      </c>
      <c r="AE26" s="35"/>
      <c r="AF26" s="35"/>
      <c r="AG26" s="35"/>
      <c r="AH26" s="35"/>
      <c r="AI26" s="35"/>
      <c r="AJ26" s="35"/>
      <c r="AK26" s="35"/>
      <c r="AL26" s="35"/>
      <c r="AM26" s="35"/>
      <c r="AN26" s="35"/>
      <c r="AO26" s="35"/>
      <c r="AP26" s="35"/>
      <c r="AQ26" s="35"/>
    </row>
    <row r="27" spans="1:43" ht="15.75" customHeight="1" x14ac:dyDescent="0.15">
      <c r="AE27" s="3"/>
      <c r="AF27" s="3"/>
      <c r="AG27" s="3"/>
      <c r="AH27" s="3"/>
      <c r="AI27" s="3"/>
      <c r="AJ27" s="3"/>
      <c r="AK27" s="3"/>
      <c r="AL27" s="3"/>
      <c r="AM27" s="3"/>
      <c r="AN27" s="3"/>
      <c r="AO27" s="3"/>
      <c r="AP27" s="3"/>
      <c r="AQ27" s="3"/>
    </row>
    <row r="28" spans="1:43" ht="15.75" customHeight="1" x14ac:dyDescent="0.15">
      <c r="AE28" s="3"/>
      <c r="AF28" s="3"/>
      <c r="AG28" s="3"/>
      <c r="AH28" s="3"/>
      <c r="AI28" s="3"/>
      <c r="AJ28" s="3"/>
      <c r="AK28" s="3"/>
      <c r="AL28" s="3"/>
      <c r="AM28" s="3"/>
      <c r="AN28" s="3"/>
      <c r="AO28" s="3"/>
      <c r="AP28" s="3"/>
      <c r="AQ28" s="3"/>
    </row>
    <row r="29" spans="1:43" ht="15.75" customHeight="1" x14ac:dyDescent="0.15">
      <c r="B29" s="215" t="s">
        <v>59</v>
      </c>
      <c r="C29" s="213"/>
      <c r="D29" s="213"/>
      <c r="E29" s="214"/>
      <c r="G29" s="215" t="s">
        <v>60</v>
      </c>
      <c r="H29" s="213"/>
      <c r="I29" s="213"/>
      <c r="J29" s="214"/>
      <c r="L29" s="215" t="s">
        <v>61</v>
      </c>
      <c r="M29" s="213"/>
      <c r="N29" s="213"/>
      <c r="O29" s="214"/>
      <c r="Q29" s="216" t="s">
        <v>62</v>
      </c>
      <c r="R29" s="213"/>
      <c r="S29" s="213"/>
      <c r="T29" s="214"/>
      <c r="V29" s="216" t="s">
        <v>63</v>
      </c>
      <c r="W29" s="213"/>
      <c r="X29" s="213"/>
      <c r="Y29" s="214"/>
      <c r="AA29" s="215" t="s">
        <v>64</v>
      </c>
      <c r="AB29" s="213"/>
      <c r="AC29" s="213"/>
      <c r="AD29" s="214"/>
      <c r="AE29" s="4"/>
      <c r="AF29" s="216" t="s">
        <v>65</v>
      </c>
      <c r="AG29" s="213"/>
      <c r="AH29" s="213"/>
      <c r="AI29" s="214"/>
      <c r="AJ29" s="4"/>
      <c r="AK29" s="4"/>
      <c r="AL29" s="4"/>
      <c r="AM29" s="4"/>
      <c r="AN29" s="4"/>
      <c r="AO29" s="4"/>
      <c r="AP29" s="4"/>
      <c r="AQ29" s="4"/>
    </row>
    <row r="30" spans="1:43" ht="15.75" customHeight="1" x14ac:dyDescent="0.2">
      <c r="B30" s="5"/>
      <c r="C30" s="6" t="s">
        <v>8</v>
      </c>
      <c r="D30" s="7" t="s">
        <v>9</v>
      </c>
      <c r="E30" s="8" t="s">
        <v>10</v>
      </c>
      <c r="G30" s="5"/>
      <c r="H30" s="6" t="s">
        <v>8</v>
      </c>
      <c r="I30" s="7" t="s">
        <v>9</v>
      </c>
      <c r="J30" s="8" t="s">
        <v>10</v>
      </c>
      <c r="L30" s="5"/>
      <c r="M30" s="6" t="s">
        <v>8</v>
      </c>
      <c r="N30" s="7" t="s">
        <v>9</v>
      </c>
      <c r="O30" s="8" t="s">
        <v>10</v>
      </c>
      <c r="Q30" s="5"/>
      <c r="R30" s="6" t="s">
        <v>8</v>
      </c>
      <c r="S30" s="7" t="s">
        <v>9</v>
      </c>
      <c r="T30" s="8" t="s">
        <v>10</v>
      </c>
      <c r="V30" s="5"/>
      <c r="W30" s="6" t="s">
        <v>8</v>
      </c>
      <c r="X30" s="7" t="s">
        <v>9</v>
      </c>
      <c r="Y30" s="8" t="s">
        <v>10</v>
      </c>
      <c r="AA30" s="5"/>
      <c r="AB30" s="6" t="s">
        <v>8</v>
      </c>
      <c r="AC30" s="7" t="s">
        <v>9</v>
      </c>
      <c r="AD30" s="8" t="s">
        <v>10</v>
      </c>
      <c r="AE30" s="9"/>
      <c r="AF30" s="7"/>
      <c r="AG30" s="6" t="s">
        <v>8</v>
      </c>
      <c r="AH30" s="7" t="s">
        <v>9</v>
      </c>
      <c r="AI30" s="8" t="s">
        <v>10</v>
      </c>
      <c r="AJ30" s="9"/>
      <c r="AK30" s="9"/>
      <c r="AL30" s="9"/>
      <c r="AM30" s="9"/>
      <c r="AN30" s="9"/>
      <c r="AO30" s="9"/>
      <c r="AP30" s="9"/>
      <c r="AQ30" s="9"/>
    </row>
    <row r="31" spans="1:43" ht="15.75" customHeight="1" x14ac:dyDescent="0.2">
      <c r="B31" s="13" t="s">
        <v>66</v>
      </c>
      <c r="C31" s="10">
        <v>1</v>
      </c>
      <c r="D31" s="11">
        <f>+VLOOKUP(B31,'PRECIO PROVEEDORES'!$A$2:$B$716,2,0)</f>
        <v>1252.8</v>
      </c>
      <c r="E31" s="12">
        <f t="shared" ref="E31:E37" si="6">+C31*D31</f>
        <v>1252.8</v>
      </c>
      <c r="G31" s="13" t="s">
        <v>66</v>
      </c>
      <c r="H31" s="10">
        <v>1</v>
      </c>
      <c r="I31" s="11">
        <f>+VLOOKUP(G31,'PRECIO PROVEEDORES'!$A$2:$B$716,2,0)</f>
        <v>1252.8</v>
      </c>
      <c r="J31" s="12">
        <f t="shared" ref="J31:J38" si="7">+H31*I31</f>
        <v>1252.8</v>
      </c>
      <c r="L31" s="13" t="s">
        <v>67</v>
      </c>
      <c r="M31" s="10">
        <v>0.18</v>
      </c>
      <c r="N31" s="11">
        <f>+VLOOKUP(L31,'PRECIO PROVEEDORES'!$A$2:$B$716,2,0)</f>
        <v>8843.4185185185197</v>
      </c>
      <c r="O31" s="12">
        <f t="shared" ref="O31:O36" si="8">+M31*N31</f>
        <v>1591.8153333333335</v>
      </c>
      <c r="Q31" s="13" t="s">
        <v>68</v>
      </c>
      <c r="R31" s="10">
        <v>0.15</v>
      </c>
      <c r="S31" s="11">
        <f>+VLOOKUP(Q31,'PRECIO PROVEEDORES'!$A$2:$B$716,2,0)</f>
        <v>17289</v>
      </c>
      <c r="T31" s="12">
        <f t="shared" ref="T31:T39" si="9">+R31*S31</f>
        <v>2593.35</v>
      </c>
      <c r="V31" s="13" t="s">
        <v>69</v>
      </c>
      <c r="W31" s="10">
        <v>1</v>
      </c>
      <c r="X31" s="11">
        <f>+VLOOKUP(V31,'PRECIO PROVEEDORES'!$A$2:$B$716,2,0)</f>
        <v>168.45510000000002</v>
      </c>
      <c r="Y31" s="12">
        <f t="shared" ref="Y31:Y40" si="10">+W31*X31</f>
        <v>168.45510000000002</v>
      </c>
      <c r="AA31" s="13" t="s">
        <v>70</v>
      </c>
      <c r="AB31" s="10">
        <v>1</v>
      </c>
      <c r="AC31" s="11">
        <f>+VLOOKUP(AA31,'PRECIO PROVEEDORES'!$A$2:$B$716,2,0)</f>
        <v>675</v>
      </c>
      <c r="AD31" s="12">
        <f t="shared" ref="AD31:AD34" si="11">+AB31*AC31</f>
        <v>675</v>
      </c>
      <c r="AE31" s="15"/>
      <c r="AF31" s="7" t="s">
        <v>71</v>
      </c>
      <c r="AG31" s="36">
        <v>0.09</v>
      </c>
      <c r="AH31" s="11">
        <f>+VLOOKUP(AF31,'PRECIO PROVEEDORES'!$A$2:$B$716,2,0)</f>
        <v>8843.4185185185197</v>
      </c>
      <c r="AI31" s="12">
        <f>+AG31*AH31</f>
        <v>795.90766666666673</v>
      </c>
      <c r="AJ31" s="15"/>
      <c r="AK31" s="15"/>
      <c r="AL31" s="15"/>
      <c r="AM31" s="15"/>
      <c r="AN31" s="15"/>
      <c r="AO31" s="15"/>
      <c r="AP31" s="15"/>
      <c r="AQ31" s="15"/>
    </row>
    <row r="32" spans="1:43" ht="15.75" customHeight="1" x14ac:dyDescent="0.2">
      <c r="B32" s="7" t="s">
        <v>29</v>
      </c>
      <c r="C32" s="10">
        <v>0.03</v>
      </c>
      <c r="D32" s="11">
        <f>+VLOOKUP(B32,'PRECIO PROVEEDORES'!$A$2:$B$716,2,0)</f>
        <v>9900</v>
      </c>
      <c r="E32" s="12">
        <f t="shared" si="6"/>
        <v>297</v>
      </c>
      <c r="G32" s="13" t="s">
        <v>26</v>
      </c>
      <c r="H32" s="10">
        <v>0.05</v>
      </c>
      <c r="I32" s="11">
        <f>+VLOOKUP(G32,'PRECIO PROVEEDORES'!$A$2:$B$716,2,0)</f>
        <v>6000</v>
      </c>
      <c r="J32" s="12">
        <f t="shared" si="7"/>
        <v>300</v>
      </c>
      <c r="L32" s="7" t="s">
        <v>21</v>
      </c>
      <c r="M32" s="10">
        <v>0.06</v>
      </c>
      <c r="N32" s="11">
        <f>+VLOOKUP(L32,'PRECIO PROVEEDORES'!$A$2:$B$716,2,0)</f>
        <v>11881</v>
      </c>
      <c r="O32" s="12">
        <f t="shared" si="8"/>
        <v>712.86</v>
      </c>
      <c r="Q32" s="13" t="s">
        <v>72</v>
      </c>
      <c r="R32" s="10">
        <v>1</v>
      </c>
      <c r="S32" s="11">
        <f>+VLOOKUP(Q32,'PRECIO PROVEEDORES'!$A$2:$B$716,2,0)</f>
        <v>531</v>
      </c>
      <c r="T32" s="12">
        <f t="shared" si="9"/>
        <v>531</v>
      </c>
      <c r="V32" s="7" t="s">
        <v>29</v>
      </c>
      <c r="W32" s="10">
        <v>0.04</v>
      </c>
      <c r="X32" s="11">
        <f>+VLOOKUP(V32,'PRECIO PROVEEDORES'!$A$2:$B$716,2,0)</f>
        <v>9900</v>
      </c>
      <c r="Y32" s="12">
        <f t="shared" si="10"/>
        <v>396</v>
      </c>
      <c r="AA32" s="7" t="s">
        <v>73</v>
      </c>
      <c r="AB32" s="10">
        <v>0.05</v>
      </c>
      <c r="AC32" s="11">
        <f>+VLOOKUP(AA32,'PRECIO PROVEEDORES'!$A$2:$B$716,2,0)</f>
        <v>16343</v>
      </c>
      <c r="AD32" s="12">
        <f t="shared" si="11"/>
        <v>817.15000000000009</v>
      </c>
      <c r="AE32" s="37"/>
      <c r="AF32" s="13"/>
      <c r="AG32" s="36"/>
      <c r="AH32" s="11"/>
      <c r="AI32" s="12"/>
      <c r="AJ32" s="15"/>
      <c r="AK32" s="15"/>
      <c r="AL32" s="15"/>
      <c r="AM32" s="15"/>
      <c r="AN32" s="15"/>
      <c r="AO32" s="15"/>
      <c r="AP32" s="15"/>
      <c r="AQ32" s="15"/>
    </row>
    <row r="33" spans="2:43" ht="15.75" customHeight="1" x14ac:dyDescent="0.2">
      <c r="B33" s="14" t="s">
        <v>30</v>
      </c>
      <c r="C33" s="10">
        <v>0.04</v>
      </c>
      <c r="D33" s="11">
        <f>+VLOOKUP(B33,'PRECIO PROVEEDORES'!$A$2:$B$716,2,0)</f>
        <v>26000</v>
      </c>
      <c r="E33" s="12">
        <f t="shared" si="6"/>
        <v>1040</v>
      </c>
      <c r="G33" s="13" t="s">
        <v>31</v>
      </c>
      <c r="H33" s="10">
        <v>0.08</v>
      </c>
      <c r="I33" s="11">
        <f>+VLOOKUP(G33,'PRECIO PROVEEDORES'!$A$2:$B$716,2,0)</f>
        <v>9316</v>
      </c>
      <c r="J33" s="12">
        <f t="shared" si="7"/>
        <v>745.28</v>
      </c>
      <c r="L33" s="7" t="s">
        <v>28</v>
      </c>
      <c r="M33" s="10">
        <v>0.09</v>
      </c>
      <c r="N33" s="11">
        <f>+VLOOKUP(L33,'PRECIO PROVEEDORES'!$A$2:$B$716,2,0)</f>
        <v>10697</v>
      </c>
      <c r="O33" s="12">
        <f t="shared" si="8"/>
        <v>962.73</v>
      </c>
      <c r="Q33" s="13" t="s">
        <v>74</v>
      </c>
      <c r="R33" s="10">
        <v>0.03</v>
      </c>
      <c r="S33" s="11">
        <f>+VLOOKUP(Q33,'PRECIO PROVEEDORES'!$A$2:$B$716,2,0)</f>
        <v>4800</v>
      </c>
      <c r="T33" s="12">
        <f t="shared" si="9"/>
        <v>144</v>
      </c>
      <c r="V33" s="7" t="s">
        <v>37</v>
      </c>
      <c r="W33" s="10">
        <v>0.02</v>
      </c>
      <c r="X33" s="11">
        <f>+VLOOKUP(V33,'PRECIO PROVEEDORES'!$A$2:$B$716,2,0)</f>
        <v>17587.349999999999</v>
      </c>
      <c r="Y33" s="12">
        <f t="shared" si="10"/>
        <v>351.74699999999996</v>
      </c>
      <c r="AA33" s="7" t="s">
        <v>75</v>
      </c>
      <c r="AB33" s="10">
        <v>0.06</v>
      </c>
      <c r="AC33" s="11">
        <f>+VLOOKUP(AA33,'PRECIO PROVEEDORES'!$A$2:$B$716,2,0)</f>
        <v>15813</v>
      </c>
      <c r="AD33" s="12">
        <f t="shared" si="11"/>
        <v>948.78</v>
      </c>
      <c r="AE33" s="37"/>
      <c r="AF33" s="13"/>
      <c r="AG33" s="36"/>
      <c r="AH33" s="11"/>
      <c r="AI33" s="12"/>
      <c r="AJ33" s="15"/>
      <c r="AK33" s="15"/>
      <c r="AL33" s="15"/>
      <c r="AM33" s="15"/>
      <c r="AN33" s="15"/>
      <c r="AO33" s="15"/>
      <c r="AP33" s="15"/>
      <c r="AQ33" s="15"/>
    </row>
    <row r="34" spans="2:43" ht="15.75" customHeight="1" x14ac:dyDescent="0.2">
      <c r="B34" s="14" t="s">
        <v>76</v>
      </c>
      <c r="C34" s="10">
        <v>1.4999999999999999E-2</v>
      </c>
      <c r="D34" s="11">
        <f>+VLOOKUP(B34,'PRECIO PROVEEDORES'!$A$2:$B$716,2,0)</f>
        <v>16260</v>
      </c>
      <c r="E34" s="12">
        <f t="shared" si="6"/>
        <v>243.89999999999998</v>
      </c>
      <c r="G34" s="38" t="s">
        <v>77</v>
      </c>
      <c r="H34" s="10">
        <v>7.0000000000000001E-3</v>
      </c>
      <c r="I34" s="11">
        <f>+VLOOKUP(G34,'PRECIO PROVEEDORES'!$A$2:$B$716,2,0)</f>
        <v>24435.611199999999</v>
      </c>
      <c r="J34" s="12">
        <f t="shared" si="7"/>
        <v>171.04927839999999</v>
      </c>
      <c r="L34" s="7" t="s">
        <v>78</v>
      </c>
      <c r="M34" s="10">
        <v>2.5000000000000001E-2</v>
      </c>
      <c r="N34" s="11">
        <f>+VLOOKUP(L34,'PRECIO PROVEEDORES'!$A$2:$B$716,2,0)</f>
        <v>37116.004999999997</v>
      </c>
      <c r="O34" s="12">
        <f t="shared" si="8"/>
        <v>927.900125</v>
      </c>
      <c r="Q34" s="13" t="s">
        <v>79</v>
      </c>
      <c r="R34" s="10">
        <v>0.01</v>
      </c>
      <c r="S34" s="11">
        <f>+VLOOKUP(Q34,'PRECIO PROVEEDORES'!$A$2:$B$716,2,0)</f>
        <v>2381.6560509554142</v>
      </c>
      <c r="T34" s="12">
        <f t="shared" si="9"/>
        <v>23.816560509554144</v>
      </c>
      <c r="V34" s="13" t="s">
        <v>80</v>
      </c>
      <c r="W34" s="10">
        <v>0.08</v>
      </c>
      <c r="X34" s="11">
        <f>+VLOOKUP(V34,'PRECIO PROVEEDORES'!$A$2:$B$716,2,0)</f>
        <v>20535</v>
      </c>
      <c r="Y34" s="12">
        <f t="shared" si="10"/>
        <v>1642.8</v>
      </c>
      <c r="AA34" s="7" t="s">
        <v>153</v>
      </c>
      <c r="AB34" s="7">
        <v>0.5</v>
      </c>
      <c r="AC34" s="11">
        <f>+VLOOKUP(AA34,'PRECIO PROVEEDORES'!$A$2:$B$716,2,0)</f>
        <v>160.5</v>
      </c>
      <c r="AD34" s="12">
        <f t="shared" si="11"/>
        <v>80.25</v>
      </c>
      <c r="AE34" s="37"/>
      <c r="AF34" s="13"/>
      <c r="AG34" s="36"/>
      <c r="AH34" s="11"/>
      <c r="AI34" s="12"/>
      <c r="AJ34" s="15"/>
      <c r="AK34" s="15"/>
      <c r="AL34" s="15"/>
      <c r="AM34" s="15"/>
      <c r="AN34" s="15"/>
      <c r="AO34" s="15"/>
      <c r="AP34" s="15"/>
      <c r="AQ34" s="15"/>
    </row>
    <row r="35" spans="2:43" ht="15.75" customHeight="1" x14ac:dyDescent="0.2">
      <c r="B35" s="14" t="s">
        <v>80</v>
      </c>
      <c r="C35" s="10">
        <v>0.04</v>
      </c>
      <c r="D35" s="11">
        <f>+VLOOKUP(B35,'PRECIO PROVEEDORES'!$A$2:$B$716,2,0)</f>
        <v>20535</v>
      </c>
      <c r="E35" s="12">
        <f t="shared" si="6"/>
        <v>821.4</v>
      </c>
      <c r="G35" s="38" t="s">
        <v>81</v>
      </c>
      <c r="H35" s="10">
        <v>3.0000000000000001E-3</v>
      </c>
      <c r="I35" s="11">
        <f>+VLOOKUP(G35,'PRECIO PROVEEDORES'!$A$2:$B$716,2,0)</f>
        <v>10601.56</v>
      </c>
      <c r="J35" s="12">
        <f t="shared" si="7"/>
        <v>31.804679999999998</v>
      </c>
      <c r="L35" s="7" t="s">
        <v>33</v>
      </c>
      <c r="M35" s="10">
        <v>0.01</v>
      </c>
      <c r="N35" s="11">
        <f>+VLOOKUP(L35,'PRECIO PROVEEDORES'!$A$2:$B$716,2,0)</f>
        <v>0</v>
      </c>
      <c r="O35" s="12">
        <f t="shared" si="8"/>
        <v>0</v>
      </c>
      <c r="Q35" s="13" t="s">
        <v>48</v>
      </c>
      <c r="R35" s="10">
        <v>0.15</v>
      </c>
      <c r="S35" s="11">
        <f>+VLOOKUP(Q35,'PRECIO PROVEEDORES'!$A$2:$B$716,2,0)</f>
        <v>1685.0214999999996</v>
      </c>
      <c r="T35" s="12">
        <f t="shared" si="9"/>
        <v>252.75322499999993</v>
      </c>
      <c r="V35" s="13" t="s">
        <v>82</v>
      </c>
      <c r="W35" s="10">
        <v>0.03</v>
      </c>
      <c r="X35" s="11">
        <f>+VLOOKUP(V35,'PRECIO PROVEEDORES'!$A$2:$B$716,2,0)</f>
        <v>4622.4708520179374</v>
      </c>
      <c r="Y35" s="12">
        <f t="shared" si="10"/>
        <v>138.67412556053813</v>
      </c>
      <c r="AA35" s="5"/>
      <c r="AB35" s="7"/>
      <c r="AC35" s="11"/>
      <c r="AD35" s="12"/>
      <c r="AE35" s="37"/>
      <c r="AF35" s="38"/>
      <c r="AG35" s="36"/>
      <c r="AH35" s="11"/>
      <c r="AI35" s="12"/>
      <c r="AJ35" s="15"/>
      <c r="AK35" s="15"/>
      <c r="AL35" s="15"/>
      <c r="AM35" s="15"/>
      <c r="AN35" s="15"/>
      <c r="AO35" s="15"/>
      <c r="AP35" s="15"/>
      <c r="AQ35" s="15"/>
    </row>
    <row r="36" spans="2:43" ht="15.75" customHeight="1" x14ac:dyDescent="0.2">
      <c r="B36" s="14" t="s">
        <v>34</v>
      </c>
      <c r="C36" s="10">
        <v>0.01</v>
      </c>
      <c r="D36" s="11">
        <f>+VLOOKUP(B36,'PRECIO PROVEEDORES'!$A$2:$B$716,2,0)</f>
        <v>5917</v>
      </c>
      <c r="E36" s="12">
        <f t="shared" si="6"/>
        <v>59.17</v>
      </c>
      <c r="G36" s="13" t="s">
        <v>83</v>
      </c>
      <c r="H36" s="10">
        <v>3.0000000000000001E-3</v>
      </c>
      <c r="I36" s="11">
        <f>+VLOOKUP(G36,'PRECIO PROVEEDORES'!$A$2:$B$716,2,0)</f>
        <v>5952.89</v>
      </c>
      <c r="J36" s="12">
        <f t="shared" si="7"/>
        <v>17.85867</v>
      </c>
      <c r="L36" s="7" t="s">
        <v>153</v>
      </c>
      <c r="M36" s="7">
        <v>0.5</v>
      </c>
      <c r="N36" s="11">
        <f>+VLOOKUP(L36,'PRECIO PROVEEDORES'!$A$2:$B$716,2,0)</f>
        <v>160.5</v>
      </c>
      <c r="O36" s="12">
        <f t="shared" si="8"/>
        <v>80.25</v>
      </c>
      <c r="Q36" s="20" t="s">
        <v>50</v>
      </c>
      <c r="R36" s="7">
        <v>0.04</v>
      </c>
      <c r="S36" s="11">
        <f>+VLOOKUP(Q36,'PRECIO PROVEEDORES'!$A$2:$B$716,2,0)</f>
        <v>3891.9110000000001</v>
      </c>
      <c r="T36" s="12">
        <f t="shared" si="9"/>
        <v>155.67644000000001</v>
      </c>
      <c r="V36" s="13" t="s">
        <v>48</v>
      </c>
      <c r="W36" s="10">
        <v>0.15</v>
      </c>
      <c r="X36" s="11">
        <f>+VLOOKUP(V36,'PRECIO PROVEEDORES'!$A$2:$B$716,2,0)</f>
        <v>1685.0214999999996</v>
      </c>
      <c r="Y36" s="12">
        <f t="shared" si="10"/>
        <v>252.75322499999993</v>
      </c>
      <c r="AA36" s="5"/>
      <c r="AB36" s="7"/>
      <c r="AC36" s="11"/>
      <c r="AD36" s="12"/>
      <c r="AE36" s="37"/>
      <c r="AF36" s="13"/>
      <c r="AG36" s="36"/>
      <c r="AH36" s="11"/>
      <c r="AI36" s="12"/>
      <c r="AJ36" s="15"/>
      <c r="AK36" s="15"/>
      <c r="AL36" s="15"/>
      <c r="AM36" s="15"/>
      <c r="AN36" s="15"/>
      <c r="AO36" s="15"/>
      <c r="AP36" s="15"/>
      <c r="AQ36" s="15"/>
    </row>
    <row r="37" spans="2:43" ht="15.75" customHeight="1" x14ac:dyDescent="0.2">
      <c r="B37" s="7" t="s">
        <v>157</v>
      </c>
      <c r="C37" s="7">
        <v>0.5</v>
      </c>
      <c r="D37" s="11">
        <f>+VLOOKUP(B37,'PRECIO PROVEEDORES'!$A$2:$B$716,2,0)</f>
        <v>86</v>
      </c>
      <c r="E37" s="12">
        <f t="shared" si="6"/>
        <v>43</v>
      </c>
      <c r="G37" s="13" t="s">
        <v>84</v>
      </c>
      <c r="H37" s="10">
        <v>1E-3</v>
      </c>
      <c r="I37" s="11">
        <f>+VLOOKUP(G37,'PRECIO PROVEEDORES'!$A$2:$B$716,2,0)</f>
        <v>5033.6000000000004</v>
      </c>
      <c r="J37" s="12">
        <f t="shared" si="7"/>
        <v>5.0336000000000007</v>
      </c>
      <c r="L37" s="5"/>
      <c r="M37" s="7"/>
      <c r="N37" s="11"/>
      <c r="O37" s="12"/>
      <c r="Q37" s="7" t="s">
        <v>153</v>
      </c>
      <c r="R37" s="7">
        <v>0.5</v>
      </c>
      <c r="S37" s="11">
        <f>+VLOOKUP(Q37,'PRECIO PROVEEDORES'!$A$2:$B$716,2,0)</f>
        <v>160.5</v>
      </c>
      <c r="T37" s="12">
        <f t="shared" si="9"/>
        <v>80.25</v>
      </c>
      <c r="V37" s="20" t="s">
        <v>50</v>
      </c>
      <c r="W37" s="7">
        <v>0.04</v>
      </c>
      <c r="X37" s="11">
        <f>+VLOOKUP(V37,'PRECIO PROVEEDORES'!$A$2:$B$716,2,0)</f>
        <v>3891.9110000000001</v>
      </c>
      <c r="Y37" s="12">
        <f t="shared" si="10"/>
        <v>155.67644000000001</v>
      </c>
      <c r="AA37" s="5"/>
      <c r="AB37" s="7"/>
      <c r="AC37" s="11"/>
      <c r="AD37" s="12"/>
      <c r="AE37" s="37"/>
      <c r="AF37" s="13"/>
      <c r="AG37" s="36"/>
      <c r="AH37" s="11"/>
      <c r="AI37" s="12"/>
      <c r="AJ37" s="15"/>
      <c r="AK37" s="15"/>
      <c r="AL37" s="15"/>
      <c r="AM37" s="15"/>
      <c r="AN37" s="15"/>
      <c r="AO37" s="15"/>
      <c r="AP37" s="15"/>
      <c r="AQ37" s="15"/>
    </row>
    <row r="38" spans="2:43" ht="15.75" customHeight="1" x14ac:dyDescent="0.2">
      <c r="B38" s="5"/>
      <c r="C38" s="7"/>
      <c r="D38" s="11"/>
      <c r="E38" s="12"/>
      <c r="G38" s="7" t="s">
        <v>157</v>
      </c>
      <c r="H38" s="7">
        <v>0.5</v>
      </c>
      <c r="I38" s="11">
        <f>+VLOOKUP(G38,'PRECIO PROVEEDORES'!$A$2:$B$716,2,0)</f>
        <v>86</v>
      </c>
      <c r="J38" s="12">
        <f t="shared" si="7"/>
        <v>43</v>
      </c>
      <c r="L38" s="5"/>
      <c r="M38" s="7"/>
      <c r="N38" s="11"/>
      <c r="O38" s="12"/>
      <c r="Q38" s="7" t="s">
        <v>156</v>
      </c>
      <c r="R38" s="7">
        <v>0.5</v>
      </c>
      <c r="S38" s="11">
        <f>+VLOOKUP(Q38,'PRECIO PROVEEDORES'!$A$2:$B$716,2,0)</f>
        <v>155</v>
      </c>
      <c r="T38" s="12">
        <f t="shared" si="9"/>
        <v>77.5</v>
      </c>
      <c r="V38" s="7" t="s">
        <v>153</v>
      </c>
      <c r="W38" s="7">
        <v>0.5</v>
      </c>
      <c r="X38" s="11">
        <f>+VLOOKUP(V38,'PRECIO PROVEEDORES'!$A$2:$B$716,2,0)</f>
        <v>160.5</v>
      </c>
      <c r="Y38" s="12">
        <f t="shared" si="10"/>
        <v>80.25</v>
      </c>
      <c r="AA38" s="5"/>
      <c r="AB38" s="7"/>
      <c r="AC38" s="11"/>
      <c r="AD38" s="12"/>
      <c r="AE38" s="37"/>
      <c r="AF38" s="5"/>
      <c r="AG38" s="7"/>
      <c r="AH38" s="11"/>
      <c r="AI38" s="12"/>
      <c r="AJ38" s="15"/>
      <c r="AK38" s="15"/>
      <c r="AL38" s="15"/>
      <c r="AM38" s="15"/>
      <c r="AN38" s="15"/>
      <c r="AO38" s="15"/>
      <c r="AP38" s="15"/>
      <c r="AQ38" s="15"/>
    </row>
    <row r="39" spans="2:43" ht="15.75" customHeight="1" x14ac:dyDescent="0.2">
      <c r="B39" s="19"/>
      <c r="C39" s="7"/>
      <c r="D39" s="11"/>
      <c r="E39" s="12"/>
      <c r="G39" s="19"/>
      <c r="H39" s="7"/>
      <c r="I39" s="11"/>
      <c r="J39" s="12"/>
      <c r="L39" s="19"/>
      <c r="M39" s="7"/>
      <c r="N39" s="11"/>
      <c r="O39" s="12"/>
      <c r="Q39" s="7" t="s">
        <v>157</v>
      </c>
      <c r="R39" s="7">
        <v>0.5</v>
      </c>
      <c r="S39" s="11">
        <f>+VLOOKUP(Q39,'PRECIO PROVEEDORES'!$A$2:$B$716,2,0)</f>
        <v>86</v>
      </c>
      <c r="T39" s="12">
        <f t="shared" si="9"/>
        <v>43</v>
      </c>
      <c r="V39" s="7" t="s">
        <v>156</v>
      </c>
      <c r="W39" s="7">
        <v>0.5</v>
      </c>
      <c r="X39" s="11">
        <f>+VLOOKUP(V39,'PRECIO PROVEEDORES'!$A$2:$B$716,2,0)</f>
        <v>155</v>
      </c>
      <c r="Y39" s="12">
        <f t="shared" si="10"/>
        <v>77.5</v>
      </c>
      <c r="AA39" s="19"/>
      <c r="AB39" s="7"/>
      <c r="AC39" s="11"/>
      <c r="AD39" s="12"/>
      <c r="AE39" s="37"/>
      <c r="AF39" s="19"/>
      <c r="AG39" s="7"/>
      <c r="AH39" s="11"/>
      <c r="AI39" s="12"/>
      <c r="AJ39" s="15"/>
      <c r="AK39" s="15"/>
      <c r="AL39" s="15"/>
      <c r="AM39" s="15"/>
      <c r="AN39" s="15"/>
      <c r="AO39" s="15"/>
      <c r="AP39" s="15"/>
      <c r="AQ39" s="15"/>
    </row>
    <row r="40" spans="2:43" ht="15.75" customHeight="1" x14ac:dyDescent="0.2">
      <c r="B40" s="19"/>
      <c r="C40" s="7"/>
      <c r="D40" s="11"/>
      <c r="E40" s="12"/>
      <c r="G40" s="19"/>
      <c r="H40" s="7"/>
      <c r="I40" s="11"/>
      <c r="J40" s="12"/>
      <c r="L40" s="19"/>
      <c r="M40" s="7"/>
      <c r="N40" s="11"/>
      <c r="O40" s="12"/>
      <c r="Q40" s="19"/>
      <c r="R40" s="7"/>
      <c r="S40" s="11"/>
      <c r="T40" s="12"/>
      <c r="V40" s="7" t="s">
        <v>157</v>
      </c>
      <c r="W40" s="7">
        <v>0.5</v>
      </c>
      <c r="X40" s="11">
        <f>+VLOOKUP(V40,'PRECIO PROVEEDORES'!$A$2:$B$716,2,0)</f>
        <v>86</v>
      </c>
      <c r="Y40" s="12">
        <f t="shared" si="10"/>
        <v>43</v>
      </c>
      <c r="AA40" s="19"/>
      <c r="AB40" s="7"/>
      <c r="AC40" s="11"/>
      <c r="AD40" s="12"/>
      <c r="AE40" s="37"/>
      <c r="AF40" s="19"/>
      <c r="AG40" s="7"/>
      <c r="AH40" s="11"/>
      <c r="AI40" s="12"/>
      <c r="AJ40" s="15"/>
      <c r="AK40" s="15"/>
      <c r="AL40" s="15"/>
      <c r="AM40" s="15"/>
      <c r="AN40" s="15"/>
      <c r="AO40" s="15"/>
      <c r="AP40" s="15"/>
      <c r="AQ40" s="15"/>
    </row>
    <row r="41" spans="2:43" ht="15.75" customHeight="1" x14ac:dyDescent="0.2">
      <c r="B41" s="19"/>
      <c r="C41" s="7"/>
      <c r="D41" s="11"/>
      <c r="E41" s="12"/>
      <c r="G41" s="19"/>
      <c r="H41" s="7"/>
      <c r="I41" s="11"/>
      <c r="J41" s="12"/>
      <c r="L41" s="19"/>
      <c r="M41" s="7"/>
      <c r="N41" s="11"/>
      <c r="O41" s="12"/>
      <c r="Q41" s="19"/>
      <c r="R41" s="7"/>
      <c r="S41" s="11"/>
      <c r="T41" s="12"/>
      <c r="V41" s="19"/>
      <c r="W41" s="7"/>
      <c r="X41" s="11"/>
      <c r="Y41" s="12"/>
      <c r="AA41" s="19"/>
      <c r="AB41" s="7"/>
      <c r="AC41" s="11"/>
      <c r="AD41" s="12"/>
      <c r="AE41" s="37"/>
      <c r="AF41" s="19"/>
      <c r="AG41" s="7"/>
      <c r="AH41" s="11"/>
      <c r="AI41" s="12"/>
      <c r="AJ41" s="15"/>
      <c r="AK41" s="15"/>
      <c r="AL41" s="15"/>
      <c r="AM41" s="15"/>
      <c r="AN41" s="15"/>
      <c r="AO41" s="15"/>
      <c r="AP41" s="15"/>
      <c r="AQ41" s="15"/>
    </row>
    <row r="42" spans="2:43" ht="15.75" customHeight="1" x14ac:dyDescent="0.2">
      <c r="B42" s="19"/>
      <c r="C42" s="7"/>
      <c r="D42" s="11"/>
      <c r="E42" s="12"/>
      <c r="G42" s="19"/>
      <c r="H42" s="7"/>
      <c r="I42" s="11"/>
      <c r="J42" s="12"/>
      <c r="L42" s="19"/>
      <c r="M42" s="7"/>
      <c r="N42" s="11"/>
      <c r="O42" s="12"/>
      <c r="Q42" s="19"/>
      <c r="R42" s="7"/>
      <c r="S42" s="11"/>
      <c r="T42" s="12"/>
      <c r="V42" s="19"/>
      <c r="W42" s="7"/>
      <c r="X42" s="11"/>
      <c r="Y42" s="12"/>
      <c r="AA42" s="19"/>
      <c r="AB42" s="7"/>
      <c r="AC42" s="11"/>
      <c r="AD42" s="12"/>
      <c r="AE42" s="37"/>
      <c r="AF42" s="19"/>
      <c r="AG42" s="7"/>
      <c r="AH42" s="11"/>
      <c r="AI42" s="12"/>
      <c r="AJ42" s="15"/>
      <c r="AK42" s="15"/>
      <c r="AL42" s="15"/>
      <c r="AM42" s="15"/>
      <c r="AN42" s="15"/>
      <c r="AO42" s="15"/>
      <c r="AP42" s="15"/>
      <c r="AQ42" s="15"/>
    </row>
    <row r="43" spans="2:43" ht="15.75" customHeight="1" x14ac:dyDescent="0.2">
      <c r="B43" s="5"/>
      <c r="C43" s="7"/>
      <c r="D43" s="11"/>
      <c r="E43" s="12"/>
      <c r="G43" s="5"/>
      <c r="H43" s="7"/>
      <c r="I43" s="11"/>
      <c r="J43" s="12"/>
      <c r="L43" s="5"/>
      <c r="M43" s="7"/>
      <c r="N43" s="11"/>
      <c r="O43" s="12"/>
      <c r="Q43" s="5"/>
      <c r="R43" s="7"/>
      <c r="S43" s="11"/>
      <c r="T43" s="12"/>
      <c r="V43" s="5"/>
      <c r="W43" s="7"/>
      <c r="X43" s="11"/>
      <c r="Y43" s="12"/>
      <c r="AA43" s="5"/>
      <c r="AB43" s="7"/>
      <c r="AC43" s="11"/>
      <c r="AD43" s="12"/>
      <c r="AE43" s="37"/>
      <c r="AF43" s="5"/>
      <c r="AG43" s="7"/>
      <c r="AH43" s="11"/>
      <c r="AI43" s="12"/>
      <c r="AJ43" s="15"/>
      <c r="AK43" s="15"/>
      <c r="AL43" s="15"/>
      <c r="AM43" s="15"/>
      <c r="AN43" s="15"/>
      <c r="AO43" s="15"/>
      <c r="AP43" s="15"/>
      <c r="AQ43" s="15"/>
    </row>
    <row r="44" spans="2:43" ht="15.75" customHeight="1" x14ac:dyDescent="0.2">
      <c r="B44" s="5"/>
      <c r="C44" s="7"/>
      <c r="D44" s="11"/>
      <c r="E44" s="12"/>
      <c r="G44" s="5"/>
      <c r="H44" s="7"/>
      <c r="I44" s="11"/>
      <c r="J44" s="12"/>
      <c r="L44" s="5"/>
      <c r="M44" s="7"/>
      <c r="N44" s="11"/>
      <c r="O44" s="12"/>
      <c r="Q44" s="5"/>
      <c r="R44" s="7"/>
      <c r="S44" s="11"/>
      <c r="T44" s="12"/>
      <c r="V44" s="5"/>
      <c r="W44" s="7"/>
      <c r="X44" s="11"/>
      <c r="Y44" s="12"/>
      <c r="AA44" s="5"/>
      <c r="AB44" s="7"/>
      <c r="AC44" s="11"/>
      <c r="AD44" s="12"/>
      <c r="AE44" s="15"/>
      <c r="AF44" s="5"/>
      <c r="AG44" s="7"/>
      <c r="AH44" s="11"/>
      <c r="AI44" s="12"/>
      <c r="AJ44" s="15"/>
      <c r="AK44" s="15"/>
      <c r="AL44" s="15"/>
      <c r="AM44" s="15"/>
      <c r="AN44" s="15"/>
      <c r="AO44" s="15"/>
      <c r="AP44" s="15"/>
      <c r="AQ44" s="15"/>
    </row>
    <row r="45" spans="2:43" ht="15.75" customHeight="1" x14ac:dyDescent="0.2">
      <c r="B45" s="5"/>
      <c r="C45" s="7"/>
      <c r="D45" s="11"/>
      <c r="E45" s="12"/>
      <c r="G45" s="5"/>
      <c r="H45" s="7"/>
      <c r="I45" s="11"/>
      <c r="J45" s="12"/>
      <c r="L45" s="5"/>
      <c r="M45" s="7"/>
      <c r="N45" s="11"/>
      <c r="O45" s="12"/>
      <c r="Q45" s="5"/>
      <c r="R45" s="7"/>
      <c r="S45" s="11"/>
      <c r="T45" s="12"/>
      <c r="V45" s="5"/>
      <c r="W45" s="7"/>
      <c r="X45" s="11"/>
      <c r="Y45" s="12"/>
      <c r="AA45" s="5"/>
      <c r="AB45" s="7"/>
      <c r="AC45" s="11"/>
      <c r="AD45" s="12"/>
      <c r="AE45" s="15"/>
      <c r="AF45" s="5"/>
      <c r="AG45" s="7"/>
      <c r="AH45" s="11"/>
      <c r="AI45" s="12"/>
      <c r="AJ45" s="15"/>
      <c r="AK45" s="15"/>
      <c r="AL45" s="15"/>
      <c r="AM45" s="15"/>
      <c r="AN45" s="15"/>
      <c r="AO45" s="15"/>
      <c r="AP45" s="15"/>
      <c r="AQ45" s="15"/>
    </row>
    <row r="46" spans="2:43" ht="15.75" customHeight="1" x14ac:dyDescent="0.2">
      <c r="B46" s="21" t="s">
        <v>52</v>
      </c>
      <c r="C46" s="22"/>
      <c r="D46" s="23"/>
      <c r="E46" s="24">
        <f>SUM(E31:E45)</f>
        <v>3757.2700000000004</v>
      </c>
      <c r="G46" s="21" t="s">
        <v>52</v>
      </c>
      <c r="H46" s="22"/>
      <c r="I46" s="23"/>
      <c r="J46" s="24">
        <f>SUM(J31:J45)</f>
        <v>2566.8262284000002</v>
      </c>
      <c r="L46" s="21" t="s">
        <v>52</v>
      </c>
      <c r="M46" s="22"/>
      <c r="N46" s="23"/>
      <c r="O46" s="24">
        <f>SUM(O31:O45)</f>
        <v>4275.5554583333333</v>
      </c>
      <c r="Q46" s="21" t="s">
        <v>52</v>
      </c>
      <c r="R46" s="22"/>
      <c r="S46" s="23"/>
      <c r="T46" s="24">
        <f>SUM(T31:T45)</f>
        <v>3901.3462255095542</v>
      </c>
      <c r="V46" s="21" t="s">
        <v>52</v>
      </c>
      <c r="W46" s="22"/>
      <c r="X46" s="23"/>
      <c r="Y46" s="24">
        <f>SUM(Y31:Y45)</f>
        <v>3306.8558905605378</v>
      </c>
      <c r="AA46" s="21" t="s">
        <v>52</v>
      </c>
      <c r="AB46" s="22"/>
      <c r="AC46" s="23"/>
      <c r="AD46" s="24">
        <f>SUM(AD31:AD45)</f>
        <v>2521.1800000000003</v>
      </c>
      <c r="AE46" s="25"/>
      <c r="AF46" s="21" t="s">
        <v>52</v>
      </c>
      <c r="AG46" s="22"/>
      <c r="AH46" s="23"/>
      <c r="AI46" s="24">
        <f>SUM(AI31:AI45)</f>
        <v>795.90766666666673</v>
      </c>
      <c r="AJ46" s="25"/>
      <c r="AK46" s="25"/>
      <c r="AL46" s="25"/>
      <c r="AM46" s="25"/>
      <c r="AN46" s="25"/>
      <c r="AO46" s="25"/>
      <c r="AP46" s="25"/>
      <c r="AQ46" s="25"/>
    </row>
    <row r="47" spans="2:43" ht="15.75" customHeight="1" x14ac:dyDescent="0.2">
      <c r="B47" s="19" t="s">
        <v>53</v>
      </c>
      <c r="C47" s="27"/>
      <c r="D47" s="28"/>
      <c r="E47" s="29">
        <f>SUM(E46)</f>
        <v>3757.2700000000004</v>
      </c>
      <c r="G47" s="19" t="s">
        <v>53</v>
      </c>
      <c r="H47" s="27"/>
      <c r="I47" s="28"/>
      <c r="J47" s="29">
        <f>SUM(J46)</f>
        <v>2566.8262284000002</v>
      </c>
      <c r="L47" s="19" t="s">
        <v>53</v>
      </c>
      <c r="M47" s="27"/>
      <c r="N47" s="28"/>
      <c r="O47" s="29">
        <f>SUM(O46)</f>
        <v>4275.5554583333333</v>
      </c>
      <c r="Q47" s="19" t="s">
        <v>53</v>
      </c>
      <c r="R47" s="27"/>
      <c r="S47" s="28"/>
      <c r="T47" s="29">
        <f>SUM(T46)</f>
        <v>3901.3462255095542</v>
      </c>
      <c r="V47" s="19" t="s">
        <v>53</v>
      </c>
      <c r="W47" s="27"/>
      <c r="X47" s="28"/>
      <c r="Y47" s="29">
        <f>SUM(Y46)</f>
        <v>3306.8558905605378</v>
      </c>
      <c r="AA47" s="19" t="s">
        <v>53</v>
      </c>
      <c r="AB47" s="27"/>
      <c r="AC47" s="28"/>
      <c r="AD47" s="29">
        <f>SUM(AD46)</f>
        <v>2521.1800000000003</v>
      </c>
      <c r="AE47" s="30"/>
      <c r="AF47" s="19" t="s">
        <v>53</v>
      </c>
      <c r="AG47" s="27"/>
      <c r="AH47" s="28"/>
      <c r="AI47" s="29">
        <f>SUM(AI46)</f>
        <v>795.90766666666673</v>
      </c>
      <c r="AJ47" s="30"/>
      <c r="AK47" s="30"/>
      <c r="AL47" s="30"/>
      <c r="AM47" s="30"/>
      <c r="AN47" s="30"/>
      <c r="AO47" s="30"/>
      <c r="AP47" s="30"/>
      <c r="AQ47" s="30"/>
    </row>
    <row r="48" spans="2:43" ht="15.75" customHeight="1" x14ac:dyDescent="0.2">
      <c r="B48" s="19" t="s">
        <v>54</v>
      </c>
      <c r="C48" s="27"/>
      <c r="D48" s="28"/>
      <c r="E48" s="29">
        <f>+E47</f>
        <v>3757.2700000000004</v>
      </c>
      <c r="G48" s="19" t="s">
        <v>54</v>
      </c>
      <c r="H48" s="27"/>
      <c r="I48" s="28"/>
      <c r="J48" s="29">
        <f>+J47</f>
        <v>2566.8262284000002</v>
      </c>
      <c r="L48" s="19" t="s">
        <v>54</v>
      </c>
      <c r="M48" s="27"/>
      <c r="N48" s="28"/>
      <c r="O48" s="29">
        <f>+O47</f>
        <v>4275.5554583333333</v>
      </c>
      <c r="Q48" s="19" t="s">
        <v>54</v>
      </c>
      <c r="R48" s="27"/>
      <c r="S48" s="28"/>
      <c r="T48" s="29">
        <f>+T47</f>
        <v>3901.3462255095542</v>
      </c>
      <c r="V48" s="19" t="s">
        <v>54</v>
      </c>
      <c r="W48" s="27"/>
      <c r="X48" s="28"/>
      <c r="Y48" s="29">
        <f>+Y47</f>
        <v>3306.8558905605378</v>
      </c>
      <c r="AA48" s="19" t="s">
        <v>54</v>
      </c>
      <c r="AB48" s="27"/>
      <c r="AC48" s="28"/>
      <c r="AD48" s="29">
        <f>+AD47</f>
        <v>2521.1800000000003</v>
      </c>
      <c r="AE48" s="30"/>
      <c r="AF48" s="19" t="s">
        <v>54</v>
      </c>
      <c r="AG48" s="27"/>
      <c r="AH48" s="28"/>
      <c r="AI48" s="29">
        <f>+AI47</f>
        <v>795.90766666666673</v>
      </c>
      <c r="AJ48" s="30"/>
      <c r="AK48" s="30"/>
      <c r="AL48" s="30"/>
      <c r="AM48" s="30"/>
      <c r="AN48" s="30"/>
      <c r="AO48" s="30"/>
      <c r="AP48" s="30"/>
      <c r="AQ48" s="30"/>
    </row>
    <row r="49" spans="2:43" ht="15.75" customHeight="1" x14ac:dyDescent="0.2">
      <c r="B49" s="19" t="s">
        <v>55</v>
      </c>
      <c r="C49" s="27"/>
      <c r="D49" s="31">
        <v>0.3</v>
      </c>
      <c r="E49" s="29"/>
      <c r="G49" s="19" t="s">
        <v>55</v>
      </c>
      <c r="H49" s="27"/>
      <c r="I49" s="31">
        <v>0.3</v>
      </c>
      <c r="J49" s="29"/>
      <c r="L49" s="19" t="s">
        <v>55</v>
      </c>
      <c r="M49" s="27"/>
      <c r="N49" s="31">
        <v>0.3</v>
      </c>
      <c r="O49" s="29"/>
      <c r="Q49" s="19" t="s">
        <v>55</v>
      </c>
      <c r="R49" s="27"/>
      <c r="S49" s="31">
        <v>0.3</v>
      </c>
      <c r="T49" s="29"/>
      <c r="V49" s="19" t="s">
        <v>55</v>
      </c>
      <c r="W49" s="27"/>
      <c r="X49" s="31">
        <v>0.3</v>
      </c>
      <c r="Y49" s="29"/>
      <c r="AA49" s="19" t="s">
        <v>55</v>
      </c>
      <c r="AB49" s="27"/>
      <c r="AC49" s="31">
        <v>0.3</v>
      </c>
      <c r="AD49" s="29"/>
      <c r="AE49" s="30"/>
      <c r="AF49" s="19" t="s">
        <v>55</v>
      </c>
      <c r="AG49" s="27"/>
      <c r="AH49" s="31">
        <v>0.3</v>
      </c>
      <c r="AI49" s="29"/>
      <c r="AJ49" s="30"/>
      <c r="AK49" s="30"/>
      <c r="AL49" s="30"/>
      <c r="AM49" s="30"/>
      <c r="AN49" s="30"/>
      <c r="AO49" s="30"/>
      <c r="AP49" s="30"/>
      <c r="AQ49" s="30"/>
    </row>
    <row r="50" spans="2:43" ht="15.75" customHeight="1" x14ac:dyDescent="0.2">
      <c r="B50" s="19" t="s">
        <v>56</v>
      </c>
      <c r="C50" s="27"/>
      <c r="D50" s="31"/>
      <c r="E50" s="29">
        <f>+E48*3.33333333333333</f>
        <v>12524.233333333323</v>
      </c>
      <c r="G50" s="19" t="s">
        <v>56</v>
      </c>
      <c r="H50" s="27"/>
      <c r="I50" s="31"/>
      <c r="J50" s="29">
        <f>+J48*3.33333333333333</f>
        <v>8556.0874279999916</v>
      </c>
      <c r="L50" s="19" t="s">
        <v>56</v>
      </c>
      <c r="M50" s="27"/>
      <c r="N50" s="31"/>
      <c r="O50" s="29">
        <f>+O48*3.33333333333333</f>
        <v>14251.851527777762</v>
      </c>
      <c r="Q50" s="19" t="s">
        <v>56</v>
      </c>
      <c r="R50" s="27"/>
      <c r="S50" s="31"/>
      <c r="T50" s="29">
        <f>+T48*3.33333333333333</f>
        <v>13004.487418365168</v>
      </c>
      <c r="V50" s="19" t="s">
        <v>56</v>
      </c>
      <c r="W50" s="27"/>
      <c r="X50" s="31"/>
      <c r="Y50" s="29">
        <f>+Y48*3.33333333333333</f>
        <v>11022.852968535115</v>
      </c>
      <c r="AA50" s="19" t="s">
        <v>56</v>
      </c>
      <c r="AB50" s="27"/>
      <c r="AC50" s="31"/>
      <c r="AD50" s="29">
        <f>+AD48*3.33333333333333</f>
        <v>8403.9333333333252</v>
      </c>
      <c r="AE50" s="30"/>
      <c r="AF50" s="19" t="s">
        <v>56</v>
      </c>
      <c r="AG50" s="27"/>
      <c r="AH50" s="31"/>
      <c r="AI50" s="29">
        <f>+AI48*3.33333333333333</f>
        <v>2653.0255555555532</v>
      </c>
      <c r="AJ50" s="30"/>
      <c r="AK50" s="30"/>
      <c r="AL50" s="30"/>
      <c r="AM50" s="30"/>
      <c r="AN50" s="30"/>
      <c r="AO50" s="30"/>
      <c r="AP50" s="30"/>
      <c r="AQ50" s="30"/>
    </row>
    <row r="51" spans="2:43" ht="15.75" customHeight="1" x14ac:dyDescent="0.2">
      <c r="B51" s="19" t="s">
        <v>158</v>
      </c>
      <c r="C51" s="27">
        <v>13500</v>
      </c>
      <c r="D51" s="43">
        <v>0.35</v>
      </c>
      <c r="E51" s="29">
        <v>18900</v>
      </c>
      <c r="G51" s="19" t="s">
        <v>158</v>
      </c>
      <c r="H51" s="27">
        <v>12000</v>
      </c>
      <c r="I51" s="43">
        <v>0.35</v>
      </c>
      <c r="J51" s="29">
        <v>16200</v>
      </c>
      <c r="L51" s="19" t="s">
        <v>158</v>
      </c>
      <c r="M51" s="27">
        <v>15300</v>
      </c>
      <c r="N51" s="43">
        <v>0.35</v>
      </c>
      <c r="O51" s="29">
        <v>20700</v>
      </c>
      <c r="Q51" s="19" t="s">
        <v>158</v>
      </c>
      <c r="R51" s="27">
        <v>15000</v>
      </c>
      <c r="S51" s="43">
        <v>0.35</v>
      </c>
      <c r="T51" s="29">
        <v>20500</v>
      </c>
      <c r="V51" s="19" t="s">
        <v>158</v>
      </c>
      <c r="W51" s="27">
        <v>13000</v>
      </c>
      <c r="X51" s="43">
        <v>0.35</v>
      </c>
      <c r="Y51" s="29">
        <v>18000</v>
      </c>
      <c r="AA51" s="19" t="s">
        <v>158</v>
      </c>
      <c r="AB51" s="27">
        <v>9300</v>
      </c>
      <c r="AC51" s="43">
        <v>0.35</v>
      </c>
      <c r="AD51" s="29">
        <v>13000</v>
      </c>
      <c r="AE51" s="30"/>
      <c r="AF51" s="19" t="s">
        <v>158</v>
      </c>
      <c r="AG51" s="27">
        <v>3500</v>
      </c>
      <c r="AH51" s="43">
        <v>0.35</v>
      </c>
      <c r="AI51" s="29">
        <v>4700</v>
      </c>
      <c r="AJ51" s="30"/>
      <c r="AK51" s="30"/>
      <c r="AL51" s="30"/>
      <c r="AM51" s="30"/>
      <c r="AN51" s="30"/>
      <c r="AO51" s="30"/>
      <c r="AP51" s="30"/>
      <c r="AQ51" s="30"/>
    </row>
    <row r="52" spans="2:43" ht="15.75" customHeight="1" x14ac:dyDescent="0.2">
      <c r="B52" s="19"/>
      <c r="C52" s="27"/>
      <c r="D52" s="28"/>
      <c r="E52" s="24">
        <f>+E51-E50</f>
        <v>6375.7666666666773</v>
      </c>
      <c r="G52" s="19"/>
      <c r="H52" s="27"/>
      <c r="I52" s="28"/>
      <c r="J52" s="24">
        <f>+J51-J50</f>
        <v>7643.9125720000084</v>
      </c>
      <c r="L52" s="19"/>
      <c r="M52" s="27"/>
      <c r="N52" s="28"/>
      <c r="O52" s="24">
        <f>+O51-O50</f>
        <v>6448.1484722222376</v>
      </c>
      <c r="Q52" s="19"/>
      <c r="R52" s="27"/>
      <c r="S52" s="28"/>
      <c r="T52" s="24">
        <f>+T51-T50</f>
        <v>7495.5125816348318</v>
      </c>
      <c r="V52" s="19"/>
      <c r="W52" s="27"/>
      <c r="X52" s="28"/>
      <c r="Y52" s="24">
        <f>+Y51-Y50</f>
        <v>6977.147031464885</v>
      </c>
      <c r="AA52" s="19"/>
      <c r="AB52" s="27"/>
      <c r="AC52" s="28"/>
      <c r="AD52" s="24">
        <f>+AD51-AD50</f>
        <v>4596.0666666666748</v>
      </c>
      <c r="AE52" s="25"/>
      <c r="AF52" s="19"/>
      <c r="AG52" s="27"/>
      <c r="AH52" s="28"/>
      <c r="AI52" s="24">
        <f>+AI51-AI50</f>
        <v>2046.9744444444468</v>
      </c>
      <c r="AJ52" s="25"/>
      <c r="AK52" s="25"/>
      <c r="AL52" s="25"/>
      <c r="AM52" s="25"/>
      <c r="AN52" s="25"/>
      <c r="AO52" s="25"/>
      <c r="AP52" s="25"/>
      <c r="AQ52" s="25"/>
    </row>
    <row r="53" spans="2:43" ht="15.75" customHeight="1" x14ac:dyDescent="0.2">
      <c r="B53" s="32" t="s">
        <v>58</v>
      </c>
      <c r="C53" s="33"/>
      <c r="D53" s="33"/>
      <c r="E53" s="34">
        <f>E48/E51</f>
        <v>0.19879735449735453</v>
      </c>
      <c r="G53" s="32" t="s">
        <v>58</v>
      </c>
      <c r="H53" s="33"/>
      <c r="I53" s="33"/>
      <c r="J53" s="34">
        <f>J48/J51</f>
        <v>0.15844606348148149</v>
      </c>
      <c r="L53" s="32" t="s">
        <v>58</v>
      </c>
      <c r="M53" s="33"/>
      <c r="N53" s="28"/>
      <c r="O53" s="34">
        <f>O48/O51</f>
        <v>0.20654857286634459</v>
      </c>
      <c r="Q53" s="32" t="s">
        <v>58</v>
      </c>
      <c r="R53" s="33"/>
      <c r="S53" s="33"/>
      <c r="T53" s="34">
        <f>T48/T51</f>
        <v>0.19030957197607581</v>
      </c>
      <c r="V53" s="32" t="s">
        <v>58</v>
      </c>
      <c r="W53" s="33"/>
      <c r="X53" s="33"/>
      <c r="Y53" s="34">
        <f>Y48/Y51</f>
        <v>0.18371421614225208</v>
      </c>
      <c r="AA53" s="32" t="s">
        <v>58</v>
      </c>
      <c r="AB53" s="33"/>
      <c r="AC53" s="33"/>
      <c r="AD53" s="34">
        <f>AD48/AD51</f>
        <v>0.19393692307692309</v>
      </c>
      <c r="AE53" s="35"/>
      <c r="AF53" s="32" t="s">
        <v>58</v>
      </c>
      <c r="AG53" s="33"/>
      <c r="AH53" s="33"/>
      <c r="AI53" s="34">
        <f>AI48/AI51</f>
        <v>0.16934205673758868</v>
      </c>
      <c r="AJ53" s="35"/>
      <c r="AK53" s="35"/>
      <c r="AL53" s="35"/>
      <c r="AM53" s="35"/>
      <c r="AN53" s="35"/>
      <c r="AO53" s="35"/>
      <c r="AP53" s="35"/>
      <c r="AQ53" s="35"/>
    </row>
    <row r="54" spans="2:43" ht="15.75" customHeight="1" x14ac:dyDescent="0.15">
      <c r="AE54" s="3"/>
      <c r="AF54" s="3"/>
      <c r="AG54" s="3"/>
      <c r="AH54" s="3"/>
      <c r="AI54" s="3"/>
      <c r="AJ54" s="3"/>
      <c r="AK54" s="3"/>
      <c r="AL54" s="3"/>
      <c r="AM54" s="3"/>
      <c r="AN54" s="3"/>
      <c r="AO54" s="3"/>
      <c r="AP54" s="3"/>
      <c r="AQ54" s="3"/>
    </row>
    <row r="55" spans="2:43" ht="15.75" customHeight="1" x14ac:dyDescent="0.15">
      <c r="AE55" s="3"/>
      <c r="AF55" s="3"/>
      <c r="AG55" s="3"/>
      <c r="AH55" s="3"/>
      <c r="AI55" s="3"/>
      <c r="AJ55" s="3"/>
      <c r="AK55" s="3"/>
      <c r="AL55" s="3"/>
      <c r="AM55" s="3"/>
      <c r="AN55" s="3"/>
      <c r="AO55" s="3"/>
      <c r="AP55" s="3"/>
      <c r="AQ55" s="3"/>
    </row>
    <row r="56" spans="2:43" ht="15.75" customHeight="1" x14ac:dyDescent="0.15">
      <c r="B56" s="212" t="s">
        <v>85</v>
      </c>
      <c r="C56" s="213"/>
      <c r="D56" s="213"/>
      <c r="E56" s="214"/>
      <c r="G56" s="215" t="s">
        <v>86</v>
      </c>
      <c r="H56" s="213"/>
      <c r="I56" s="213"/>
      <c r="J56" s="214"/>
      <c r="L56" s="212" t="s">
        <v>87</v>
      </c>
      <c r="M56" s="213"/>
      <c r="N56" s="213"/>
      <c r="O56" s="214"/>
      <c r="Q56" s="215" t="s">
        <v>88</v>
      </c>
      <c r="R56" s="213"/>
      <c r="S56" s="213"/>
      <c r="T56" s="214"/>
      <c r="V56" s="215" t="s">
        <v>89</v>
      </c>
      <c r="W56" s="213"/>
      <c r="X56" s="213"/>
      <c r="Y56" s="214"/>
      <c r="AA56" s="217" t="s">
        <v>90</v>
      </c>
      <c r="AB56" s="213"/>
      <c r="AC56" s="213"/>
      <c r="AD56" s="214"/>
      <c r="AE56" s="4"/>
      <c r="AF56" s="212" t="s">
        <v>91</v>
      </c>
      <c r="AG56" s="213"/>
      <c r="AH56" s="213"/>
      <c r="AI56" s="214"/>
      <c r="AJ56" s="4"/>
      <c r="AK56" s="4"/>
      <c r="AL56" s="4"/>
      <c r="AM56" s="4"/>
      <c r="AN56" s="4"/>
      <c r="AO56" s="4"/>
      <c r="AP56" s="4"/>
      <c r="AQ56" s="4"/>
    </row>
    <row r="57" spans="2:43" ht="15.75" customHeight="1" x14ac:dyDescent="0.2">
      <c r="B57" s="5"/>
      <c r="C57" s="6" t="s">
        <v>8</v>
      </c>
      <c r="D57" s="7" t="s">
        <v>9</v>
      </c>
      <c r="E57" s="8" t="s">
        <v>10</v>
      </c>
      <c r="G57" s="5"/>
      <c r="H57" s="6" t="s">
        <v>8</v>
      </c>
      <c r="I57" s="7" t="s">
        <v>9</v>
      </c>
      <c r="J57" s="8" t="s">
        <v>10</v>
      </c>
      <c r="L57" s="5"/>
      <c r="M57" s="6" t="s">
        <v>8</v>
      </c>
      <c r="N57" s="7" t="s">
        <v>9</v>
      </c>
      <c r="O57" s="8" t="s">
        <v>10</v>
      </c>
      <c r="Q57" s="5"/>
      <c r="R57" s="6" t="s">
        <v>8</v>
      </c>
      <c r="S57" s="7" t="s">
        <v>9</v>
      </c>
      <c r="T57" s="8" t="s">
        <v>10</v>
      </c>
      <c r="V57" s="5"/>
      <c r="W57" s="6" t="s">
        <v>8</v>
      </c>
      <c r="X57" s="7" t="s">
        <v>9</v>
      </c>
      <c r="Y57" s="8" t="s">
        <v>10</v>
      </c>
      <c r="AA57" s="44"/>
      <c r="AB57" s="45" t="s">
        <v>8</v>
      </c>
      <c r="AC57" s="46" t="s">
        <v>9</v>
      </c>
      <c r="AD57" s="47" t="s">
        <v>10</v>
      </c>
      <c r="AE57" s="9"/>
      <c r="AF57" s="5"/>
      <c r="AG57" s="6" t="s">
        <v>8</v>
      </c>
      <c r="AH57" s="7" t="s">
        <v>9</v>
      </c>
      <c r="AI57" s="8" t="s">
        <v>10</v>
      </c>
      <c r="AJ57" s="9"/>
      <c r="AK57" s="9"/>
      <c r="AL57" s="9"/>
      <c r="AM57" s="9"/>
      <c r="AN57" s="9"/>
      <c r="AO57" s="9"/>
      <c r="AP57" s="9"/>
      <c r="AQ57" s="9"/>
    </row>
    <row r="58" spans="2:43" ht="15.75" customHeight="1" x14ac:dyDescent="0.2">
      <c r="B58" s="13" t="s">
        <v>92</v>
      </c>
      <c r="C58" s="10">
        <v>1</v>
      </c>
      <c r="D58" s="11">
        <f>+VLOOKUP(B58,'PRECIO PROVEEDORES'!$A$2:$B$716,2,0)</f>
        <v>1350</v>
      </c>
      <c r="E58" s="12">
        <f t="shared" ref="E58:E61" si="12">+C58*D58</f>
        <v>1350</v>
      </c>
      <c r="G58" s="13" t="s">
        <v>92</v>
      </c>
      <c r="H58" s="10">
        <v>1</v>
      </c>
      <c r="I58" s="11">
        <f>+VLOOKUP(G58,'PRECIO PROVEEDORES'!$A$2:$B$716,2,0)</f>
        <v>1350</v>
      </c>
      <c r="J58" s="12">
        <f t="shared" ref="J58:J61" si="13">+H58*I58</f>
        <v>1350</v>
      </c>
      <c r="L58" s="7" t="s">
        <v>93</v>
      </c>
      <c r="M58" s="10">
        <v>1</v>
      </c>
      <c r="N58" s="11">
        <f>+VLOOKUP(L58,'PRECIO PROVEEDORES'!$A$2:$B$716,2,0)</f>
        <v>1307</v>
      </c>
      <c r="O58" s="12">
        <f t="shared" ref="O58:O62" si="14">+M58*N58</f>
        <v>1307</v>
      </c>
      <c r="Q58" s="7" t="s">
        <v>93</v>
      </c>
      <c r="R58" s="10">
        <v>1</v>
      </c>
      <c r="S58" s="11">
        <f>+VLOOKUP(Q58,'PRECIO PROVEEDORES'!$A$2:$B$716,2,0)</f>
        <v>1307</v>
      </c>
      <c r="T58" s="12">
        <f t="shared" ref="T58:T64" si="15">+R58*S58</f>
        <v>1307</v>
      </c>
      <c r="V58" s="7" t="s">
        <v>27</v>
      </c>
      <c r="W58" s="10">
        <v>0.04</v>
      </c>
      <c r="X58" s="11">
        <f>+VLOOKUP(V58,'PRECIO PROVEEDORES'!$A$2:$B$716,2,0)</f>
        <v>6440</v>
      </c>
      <c r="Y58" s="12">
        <f t="shared" ref="Y58:Y65" si="16">+W58*X58</f>
        <v>257.60000000000002</v>
      </c>
      <c r="AA58" s="46" t="s">
        <v>94</v>
      </c>
      <c r="AB58" s="48">
        <v>0.15</v>
      </c>
      <c r="AC58" s="49">
        <f>+VLOOKUP(AA58,'PRECIO PROVEEDORES'!$A$2:$B$716,2,0)</f>
        <v>7748.8990000000003</v>
      </c>
      <c r="AD58" s="50">
        <f t="shared" ref="AD58:AD64" si="17">+AB58*AC58</f>
        <v>1162.33485</v>
      </c>
      <c r="AE58" s="37"/>
      <c r="AF58" s="7" t="s">
        <v>95</v>
      </c>
      <c r="AG58" s="10">
        <v>1</v>
      </c>
      <c r="AH58" s="11">
        <f>+VLOOKUP(AF58,'PRECIO PROVEEDORES'!$A$2:$B$716,2,0)</f>
        <v>1574</v>
      </c>
      <c r="AI58" s="12">
        <f t="shared" ref="AI58:AI67" si="18">+AG58*AH58</f>
        <v>1574</v>
      </c>
      <c r="AJ58" s="15"/>
      <c r="AK58" s="15"/>
      <c r="AL58" s="15"/>
      <c r="AM58" s="15"/>
      <c r="AN58" s="15"/>
      <c r="AO58" s="15"/>
      <c r="AP58" s="15"/>
      <c r="AQ58" s="15"/>
    </row>
    <row r="59" spans="2:43" ht="15.75" customHeight="1" x14ac:dyDescent="0.2">
      <c r="B59" s="7" t="s">
        <v>21</v>
      </c>
      <c r="C59" s="10">
        <v>2.5000000000000001E-2</v>
      </c>
      <c r="D59" s="11">
        <f>+VLOOKUP(B59,'PRECIO PROVEEDORES'!$A$2:$B$716,2,0)</f>
        <v>11881</v>
      </c>
      <c r="E59" s="12">
        <f t="shared" si="12"/>
        <v>297.02500000000003</v>
      </c>
      <c r="G59" s="7" t="s">
        <v>96</v>
      </c>
      <c r="H59" s="10">
        <v>3.5000000000000003E-2</v>
      </c>
      <c r="I59" s="11">
        <f>+VLOOKUP(G59,'PRECIO PROVEEDORES'!$A$2:$B$716,2,0)</f>
        <v>1800</v>
      </c>
      <c r="J59" s="12">
        <f t="shared" si="13"/>
        <v>63.000000000000007</v>
      </c>
      <c r="L59" s="13" t="s">
        <v>31</v>
      </c>
      <c r="M59" s="10">
        <v>0.08</v>
      </c>
      <c r="N59" s="11">
        <f>+VLOOKUP(L59,'PRECIO PROVEEDORES'!$A$2:$B$716,2,0)</f>
        <v>9316</v>
      </c>
      <c r="O59" s="12">
        <f t="shared" si="14"/>
        <v>745.28</v>
      </c>
      <c r="Q59" s="7" t="s">
        <v>29</v>
      </c>
      <c r="R59" s="10">
        <v>0.03</v>
      </c>
      <c r="S59" s="11">
        <f>+VLOOKUP(Q59,'PRECIO PROVEEDORES'!$A$2:$B$716,2,0)</f>
        <v>9900</v>
      </c>
      <c r="T59" s="12">
        <f t="shared" si="15"/>
        <v>297</v>
      </c>
      <c r="V59" s="7" t="s">
        <v>29</v>
      </c>
      <c r="W59" s="10">
        <v>0.03</v>
      </c>
      <c r="X59" s="11">
        <f>+VLOOKUP(V59,'PRECIO PROVEEDORES'!$A$2:$B$716,2,0)</f>
        <v>9900</v>
      </c>
      <c r="Y59" s="12">
        <f t="shared" si="16"/>
        <v>297</v>
      </c>
      <c r="AA59" s="51" t="s">
        <v>97</v>
      </c>
      <c r="AB59" s="48">
        <v>2</v>
      </c>
      <c r="AC59" s="49">
        <f>+VLOOKUP(AA59,'PRECIO PROVEEDORES'!$A$2:$B$716,2,0)</f>
        <v>192</v>
      </c>
      <c r="AD59" s="50">
        <f t="shared" si="17"/>
        <v>384</v>
      </c>
      <c r="AE59" s="37"/>
      <c r="AF59" s="7" t="s">
        <v>98</v>
      </c>
      <c r="AG59" s="10">
        <v>0.08</v>
      </c>
      <c r="AH59" s="11">
        <f>+VLOOKUP(AF59,'PRECIO PROVEEDORES'!$A$2:$B$716,2,0)</f>
        <v>20000</v>
      </c>
      <c r="AI59" s="12">
        <f t="shared" si="18"/>
        <v>1600</v>
      </c>
      <c r="AJ59" s="15"/>
      <c r="AK59" s="15"/>
      <c r="AL59" s="15"/>
      <c r="AM59" s="15"/>
      <c r="AN59" s="15"/>
      <c r="AO59" s="15"/>
      <c r="AP59" s="15"/>
      <c r="AQ59" s="15"/>
    </row>
    <row r="60" spans="2:43" ht="15.75" customHeight="1" x14ac:dyDescent="0.2">
      <c r="B60" s="7" t="s">
        <v>28</v>
      </c>
      <c r="C60" s="10">
        <v>0.03</v>
      </c>
      <c r="D60" s="11">
        <f>+VLOOKUP(B60,'PRECIO PROVEEDORES'!$A$2:$B$716,2,0)</f>
        <v>10697</v>
      </c>
      <c r="E60" s="12">
        <f t="shared" si="12"/>
        <v>320.90999999999997</v>
      </c>
      <c r="G60" s="7" t="s">
        <v>28</v>
      </c>
      <c r="H60" s="10">
        <v>0.03</v>
      </c>
      <c r="I60" s="11">
        <f>+VLOOKUP(G60,'PRECIO PROVEEDORES'!$A$2:$B$716,2,0)</f>
        <v>10697</v>
      </c>
      <c r="J60" s="12">
        <f t="shared" si="13"/>
        <v>320.90999999999997</v>
      </c>
      <c r="L60" s="13" t="s">
        <v>26</v>
      </c>
      <c r="M60" s="10">
        <v>0.02</v>
      </c>
      <c r="N60" s="11">
        <f>+VLOOKUP(L60,'PRECIO PROVEEDORES'!$A$2:$B$716,2,0)</f>
        <v>6000</v>
      </c>
      <c r="O60" s="12">
        <f t="shared" si="14"/>
        <v>120</v>
      </c>
      <c r="Q60" s="7" t="s">
        <v>98</v>
      </c>
      <c r="R60" s="10">
        <v>4.4999999999999998E-2</v>
      </c>
      <c r="S60" s="11">
        <f>+VLOOKUP(Q60,'PRECIO PROVEEDORES'!$A$2:$B$716,2,0)</f>
        <v>20000</v>
      </c>
      <c r="T60" s="12">
        <f t="shared" si="15"/>
        <v>900</v>
      </c>
      <c r="V60" s="13" t="s">
        <v>99</v>
      </c>
      <c r="W60" s="10">
        <v>0.03</v>
      </c>
      <c r="X60" s="11">
        <f>+VLOOKUP(V60,'PRECIO PROVEEDORES'!$A$2:$B$716,2,0)</f>
        <v>19455.208333333332</v>
      </c>
      <c r="Y60" s="12">
        <f t="shared" si="16"/>
        <v>583.65624999999989</v>
      </c>
      <c r="AA60" s="46" t="s">
        <v>100</v>
      </c>
      <c r="AB60" s="48">
        <v>0.03</v>
      </c>
      <c r="AC60" s="49">
        <f>+VLOOKUP(AA60,'PRECIO PROVEEDORES'!$A$2:$B$716,2,0)</f>
        <v>1690.4949999999999</v>
      </c>
      <c r="AD60" s="50">
        <f t="shared" si="17"/>
        <v>50.714849999999991</v>
      </c>
      <c r="AE60" s="37"/>
      <c r="AF60" s="7" t="s">
        <v>28</v>
      </c>
      <c r="AG60" s="10">
        <v>0.08</v>
      </c>
      <c r="AH60" s="11">
        <f>+VLOOKUP(AF60,'PRECIO PROVEEDORES'!$A$2:$B$716,2,0)</f>
        <v>10697</v>
      </c>
      <c r="AI60" s="12">
        <f t="shared" si="18"/>
        <v>855.76</v>
      </c>
      <c r="AJ60" s="15"/>
      <c r="AK60" s="15"/>
      <c r="AL60" s="15"/>
      <c r="AM60" s="15"/>
      <c r="AN60" s="15"/>
      <c r="AO60" s="15"/>
      <c r="AP60" s="15"/>
      <c r="AQ60" s="15"/>
    </row>
    <row r="61" spans="2:43" ht="15.75" customHeight="1" x14ac:dyDescent="0.2">
      <c r="B61" s="7" t="s">
        <v>153</v>
      </c>
      <c r="C61" s="7">
        <v>0.5</v>
      </c>
      <c r="D61" s="11">
        <f>+VLOOKUP(B61,'PRECIO PROVEEDORES'!$A$2:$B$716,2,0)</f>
        <v>160.5</v>
      </c>
      <c r="E61" s="12">
        <f t="shared" si="12"/>
        <v>80.25</v>
      </c>
      <c r="G61" s="7" t="s">
        <v>153</v>
      </c>
      <c r="H61" s="7">
        <v>0.5</v>
      </c>
      <c r="I61" s="11">
        <f>+VLOOKUP(G61,'PRECIO PROVEEDORES'!$A$2:$B$716,2,0)</f>
        <v>160.5</v>
      </c>
      <c r="J61" s="12">
        <f t="shared" si="13"/>
        <v>80.25</v>
      </c>
      <c r="L61" s="13" t="s">
        <v>101</v>
      </c>
      <c r="M61" s="10">
        <v>7.0000000000000001E-3</v>
      </c>
      <c r="N61" s="11">
        <f>+VLOOKUP(L61,'PRECIO PROVEEDORES'!$A$2:$B$716,2,0)</f>
        <v>24435.611199999999</v>
      </c>
      <c r="O61" s="12">
        <f t="shared" si="14"/>
        <v>171.04927839999999</v>
      </c>
      <c r="Q61" s="13" t="s">
        <v>80</v>
      </c>
      <c r="R61" s="10">
        <v>0.05</v>
      </c>
      <c r="S61" s="11">
        <f>+VLOOKUP(Q61,'PRECIO PROVEEDORES'!$A$2:$B$716,2,0)</f>
        <v>20535</v>
      </c>
      <c r="T61" s="12">
        <f t="shared" si="15"/>
        <v>1026.75</v>
      </c>
      <c r="V61" s="13" t="s">
        <v>102</v>
      </c>
      <c r="W61" s="10">
        <v>0.05</v>
      </c>
      <c r="X61" s="11">
        <f>+VLOOKUP(V61,'PRECIO PROVEEDORES'!$A$2:$B$716,2,0)</f>
        <v>6130.5563999999995</v>
      </c>
      <c r="Y61" s="12">
        <f t="shared" si="16"/>
        <v>306.52781999999996</v>
      </c>
      <c r="AA61" s="46" t="s">
        <v>69</v>
      </c>
      <c r="AB61" s="48">
        <v>1</v>
      </c>
      <c r="AC61" s="49">
        <f>+VLOOKUP(AA61,'PRECIO PROVEEDORES'!$A$2:$B$716,2,0)</f>
        <v>168.45510000000002</v>
      </c>
      <c r="AD61" s="50">
        <f t="shared" si="17"/>
        <v>168.45510000000002</v>
      </c>
      <c r="AE61" s="37"/>
      <c r="AF61" s="13" t="s">
        <v>37</v>
      </c>
      <c r="AG61" s="10">
        <v>0.02</v>
      </c>
      <c r="AH61" s="11">
        <f>+VLOOKUP(AF61,'PRECIO PROVEEDORES'!$A$2:$B$716,2,0)</f>
        <v>17587.349999999999</v>
      </c>
      <c r="AI61" s="12">
        <f t="shared" si="18"/>
        <v>351.74699999999996</v>
      </c>
      <c r="AJ61" s="15"/>
      <c r="AK61" s="15"/>
      <c r="AL61" s="15"/>
      <c r="AM61" s="15"/>
      <c r="AN61" s="15"/>
      <c r="AO61" s="15"/>
      <c r="AP61" s="15"/>
      <c r="AQ61" s="15"/>
    </row>
    <row r="62" spans="2:43" ht="15.75" customHeight="1" x14ac:dyDescent="0.2">
      <c r="B62" s="5"/>
      <c r="C62" s="7"/>
      <c r="D62" s="11"/>
      <c r="E62" s="12"/>
      <c r="G62" s="5"/>
      <c r="H62" s="7"/>
      <c r="I62" s="11"/>
      <c r="J62" s="12"/>
      <c r="L62" s="7" t="s">
        <v>153</v>
      </c>
      <c r="M62" s="7">
        <v>0.5</v>
      </c>
      <c r="N62" s="11">
        <f>+VLOOKUP(L62,'PRECIO PROVEEDORES'!$A$2:$B$716,2,0)</f>
        <v>160.5</v>
      </c>
      <c r="O62" s="12">
        <f t="shared" si="14"/>
        <v>80.25</v>
      </c>
      <c r="Q62" s="13" t="s">
        <v>37</v>
      </c>
      <c r="R62" s="10">
        <v>0.02</v>
      </c>
      <c r="S62" s="11">
        <f>+VLOOKUP(Q62,'PRECIO PROVEEDORES'!$A$2:$B$716,2,0)</f>
        <v>17587.349999999999</v>
      </c>
      <c r="T62" s="12">
        <f t="shared" si="15"/>
        <v>351.74699999999996</v>
      </c>
      <c r="V62" s="13" t="s">
        <v>31</v>
      </c>
      <c r="W62" s="36">
        <v>0.04</v>
      </c>
      <c r="X62" s="11">
        <f>+VLOOKUP(V62,'PRECIO PROVEEDORES'!$A$2:$B$716,2,0)</f>
        <v>9316</v>
      </c>
      <c r="Y62" s="12">
        <f t="shared" si="16"/>
        <v>372.64</v>
      </c>
      <c r="AA62" s="46" t="s">
        <v>40</v>
      </c>
      <c r="AB62" s="48">
        <v>0.01</v>
      </c>
      <c r="AC62" s="49">
        <f>+VLOOKUP(AA62,'PRECIO PROVEEDORES'!$A$2:$B$716,2,0)</f>
        <v>18256.349999999999</v>
      </c>
      <c r="AD62" s="50">
        <f t="shared" si="17"/>
        <v>182.56349999999998</v>
      </c>
      <c r="AE62" s="37"/>
      <c r="AF62" s="13" t="s">
        <v>32</v>
      </c>
      <c r="AG62" s="10">
        <v>0.01</v>
      </c>
      <c r="AH62" s="11">
        <f>+VLOOKUP(AF62,'PRECIO PROVEEDORES'!$A$2:$B$716,2,0)</f>
        <v>12206</v>
      </c>
      <c r="AI62" s="12">
        <f t="shared" si="18"/>
        <v>122.06</v>
      </c>
      <c r="AJ62" s="15"/>
      <c r="AK62" s="15"/>
      <c r="AL62" s="15"/>
      <c r="AM62" s="15"/>
      <c r="AN62" s="15"/>
      <c r="AO62" s="15"/>
      <c r="AP62" s="15"/>
      <c r="AQ62" s="15"/>
    </row>
    <row r="63" spans="2:43" ht="15.75" customHeight="1" x14ac:dyDescent="0.2">
      <c r="B63" s="5"/>
      <c r="C63" s="7"/>
      <c r="D63" s="11"/>
      <c r="E63" s="12"/>
      <c r="G63" s="5"/>
      <c r="H63" s="7"/>
      <c r="I63" s="11"/>
      <c r="J63" s="12"/>
      <c r="L63" s="5"/>
      <c r="M63" s="7"/>
      <c r="N63" s="11"/>
      <c r="O63" s="12"/>
      <c r="Q63" s="13" t="s">
        <v>103</v>
      </c>
      <c r="R63" s="10">
        <v>5.0000000000000001E-3</v>
      </c>
      <c r="S63" s="11">
        <f>+VLOOKUP(Q63,'PRECIO PROVEEDORES'!$A$2:$B$716,2,0)</f>
        <v>10601.56</v>
      </c>
      <c r="T63" s="12">
        <f t="shared" si="15"/>
        <v>53.007799999999996</v>
      </c>
      <c r="V63" s="20" t="s">
        <v>104</v>
      </c>
      <c r="W63" s="10">
        <v>3.5000000000000003E-2</v>
      </c>
      <c r="X63" s="11">
        <f>+VLOOKUP(V63,'PRECIO PROVEEDORES'!$A$2:$B$716,2,0)</f>
        <v>2972.2272727272725</v>
      </c>
      <c r="Y63" s="12">
        <f t="shared" si="16"/>
        <v>104.02795454545455</v>
      </c>
      <c r="AA63" s="51" t="s">
        <v>48</v>
      </c>
      <c r="AB63" s="48">
        <v>0.15</v>
      </c>
      <c r="AC63" s="49">
        <f>+VLOOKUP(AA63,'PRECIO PROVEEDORES'!$A$2:$B$716,2,0)</f>
        <v>1685.0214999999996</v>
      </c>
      <c r="AD63" s="50">
        <f t="shared" si="17"/>
        <v>252.75322499999993</v>
      </c>
      <c r="AE63" s="37"/>
      <c r="AF63" s="13" t="s">
        <v>48</v>
      </c>
      <c r="AG63" s="10">
        <v>0.15</v>
      </c>
      <c r="AH63" s="11">
        <f>+VLOOKUP(AF63,'PRECIO PROVEEDORES'!$A$2:$B$716,2,0)</f>
        <v>1685.0214999999996</v>
      </c>
      <c r="AI63" s="12">
        <f t="shared" si="18"/>
        <v>252.75322499999993</v>
      </c>
      <c r="AJ63" s="15"/>
      <c r="AK63" s="15"/>
      <c r="AL63" s="15"/>
      <c r="AM63" s="15"/>
      <c r="AN63" s="15"/>
      <c r="AO63" s="15"/>
      <c r="AP63" s="15"/>
      <c r="AQ63" s="15"/>
    </row>
    <row r="64" spans="2:43" ht="15.75" customHeight="1" x14ac:dyDescent="0.2">
      <c r="B64" s="5"/>
      <c r="C64" s="7"/>
      <c r="D64" s="11"/>
      <c r="E64" s="12"/>
      <c r="G64" s="5"/>
      <c r="H64" s="7"/>
      <c r="I64" s="11"/>
      <c r="J64" s="12"/>
      <c r="L64" s="5"/>
      <c r="M64" s="7"/>
      <c r="N64" s="11"/>
      <c r="O64" s="12"/>
      <c r="Q64" s="7" t="s">
        <v>153</v>
      </c>
      <c r="R64" s="7">
        <v>0.5</v>
      </c>
      <c r="S64" s="11">
        <f>+VLOOKUP(Q64,'PRECIO PROVEEDORES'!$A$2:$B$716,2,0)</f>
        <v>160.5</v>
      </c>
      <c r="T64" s="12">
        <f t="shared" si="15"/>
        <v>80.25</v>
      </c>
      <c r="V64" s="5" t="s">
        <v>20</v>
      </c>
      <c r="W64" s="7">
        <v>0.15</v>
      </c>
      <c r="X64" s="11">
        <f>+VLOOKUP(V64,'PRECIO PROVEEDORES'!$A$2:$B$716,2,0)</f>
        <v>7700</v>
      </c>
      <c r="Y64" s="12">
        <f t="shared" si="16"/>
        <v>1155</v>
      </c>
      <c r="AA64" s="52" t="s">
        <v>50</v>
      </c>
      <c r="AB64" s="48">
        <v>0.04</v>
      </c>
      <c r="AC64" s="49">
        <f>+VLOOKUP(AA64,'PRECIO PROVEEDORES'!$A$2:$B$716,2,0)</f>
        <v>3891.9110000000001</v>
      </c>
      <c r="AD64" s="50">
        <f t="shared" si="17"/>
        <v>155.67644000000001</v>
      </c>
      <c r="AE64" s="37"/>
      <c r="AF64" s="20" t="s">
        <v>50</v>
      </c>
      <c r="AG64" s="10">
        <v>0.04</v>
      </c>
      <c r="AH64" s="11">
        <f>+VLOOKUP(AF64,'PRECIO PROVEEDORES'!$A$2:$B$716,2,0)</f>
        <v>3891.9110000000001</v>
      </c>
      <c r="AI64" s="12">
        <f t="shared" si="18"/>
        <v>155.67644000000001</v>
      </c>
      <c r="AJ64" s="15"/>
      <c r="AK64" s="15"/>
      <c r="AL64" s="15"/>
      <c r="AM64" s="15"/>
      <c r="AN64" s="15"/>
      <c r="AO64" s="15"/>
      <c r="AP64" s="15"/>
      <c r="AQ64" s="15"/>
    </row>
    <row r="65" spans="2:43" ht="15.75" customHeight="1" x14ac:dyDescent="0.2">
      <c r="B65" s="5"/>
      <c r="C65" s="7"/>
      <c r="D65" s="11"/>
      <c r="E65" s="12"/>
      <c r="G65" s="5"/>
      <c r="H65" s="7"/>
      <c r="I65" s="11"/>
      <c r="J65" s="12"/>
      <c r="L65" s="5"/>
      <c r="M65" s="7"/>
      <c r="N65" s="11"/>
      <c r="O65" s="12"/>
      <c r="Q65" s="5"/>
      <c r="R65" s="7"/>
      <c r="S65" s="11"/>
      <c r="T65" s="12"/>
      <c r="V65" s="7" t="s">
        <v>155</v>
      </c>
      <c r="W65" s="18">
        <v>0.5</v>
      </c>
      <c r="X65" s="11">
        <f>+VLOOKUP(V65,'PRECIO PROVEEDORES'!$A$2:$B$716,2,0)</f>
        <v>974</v>
      </c>
      <c r="Y65" s="12">
        <f t="shared" si="16"/>
        <v>487</v>
      </c>
      <c r="AA65" s="46"/>
      <c r="AB65" s="46"/>
      <c r="AC65" s="49"/>
      <c r="AD65" s="50"/>
      <c r="AE65" s="37"/>
      <c r="AF65" s="7" t="s">
        <v>153</v>
      </c>
      <c r="AG65" s="7">
        <v>0.5</v>
      </c>
      <c r="AH65" s="11">
        <f>+VLOOKUP(AF65,'PRECIO PROVEEDORES'!$A$2:$B$716,2,0)</f>
        <v>160.5</v>
      </c>
      <c r="AI65" s="12">
        <f t="shared" si="18"/>
        <v>80.25</v>
      </c>
      <c r="AJ65" s="15"/>
      <c r="AK65" s="15"/>
      <c r="AL65" s="15"/>
      <c r="AM65" s="15"/>
      <c r="AN65" s="15"/>
      <c r="AO65" s="15"/>
      <c r="AP65" s="15"/>
      <c r="AQ65" s="15"/>
    </row>
    <row r="66" spans="2:43" ht="15.75" customHeight="1" x14ac:dyDescent="0.2">
      <c r="B66" s="19"/>
      <c r="C66" s="7"/>
      <c r="D66" s="11"/>
      <c r="E66" s="12"/>
      <c r="G66" s="19"/>
      <c r="H66" s="7"/>
      <c r="I66" s="11"/>
      <c r="J66" s="12"/>
      <c r="L66" s="19"/>
      <c r="M66" s="7"/>
      <c r="N66" s="11"/>
      <c r="O66" s="12"/>
      <c r="Q66" s="19"/>
      <c r="R66" s="7"/>
      <c r="S66" s="11"/>
      <c r="T66" s="12"/>
      <c r="V66" s="19"/>
      <c r="W66" s="7"/>
      <c r="X66" s="11"/>
      <c r="Y66" s="12"/>
      <c r="AA66" s="44"/>
      <c r="AB66" s="46"/>
      <c r="AC66" s="49"/>
      <c r="AD66" s="50"/>
      <c r="AE66" s="37"/>
      <c r="AF66" s="7" t="s">
        <v>156</v>
      </c>
      <c r="AG66" s="7">
        <v>0.5</v>
      </c>
      <c r="AH66" s="11">
        <f>+VLOOKUP(AF66,'PRECIO PROVEEDORES'!$A$2:$B$716,2,0)</f>
        <v>155</v>
      </c>
      <c r="AI66" s="12">
        <f t="shared" si="18"/>
        <v>77.5</v>
      </c>
      <c r="AJ66" s="15"/>
      <c r="AK66" s="15"/>
      <c r="AL66" s="15"/>
      <c r="AM66" s="15"/>
      <c r="AN66" s="15"/>
      <c r="AO66" s="15"/>
      <c r="AP66" s="15"/>
      <c r="AQ66" s="15"/>
    </row>
    <row r="67" spans="2:43" ht="15.75" customHeight="1" x14ac:dyDescent="0.2">
      <c r="B67" s="19"/>
      <c r="C67" s="7"/>
      <c r="D67" s="11"/>
      <c r="E67" s="12"/>
      <c r="G67" s="19"/>
      <c r="H67" s="7"/>
      <c r="I67" s="11"/>
      <c r="J67" s="12"/>
      <c r="L67" s="19"/>
      <c r="M67" s="7"/>
      <c r="N67" s="11"/>
      <c r="O67" s="12"/>
      <c r="Q67" s="19"/>
      <c r="R67" s="7"/>
      <c r="S67" s="11"/>
      <c r="T67" s="12"/>
      <c r="V67" s="19"/>
      <c r="W67" s="7"/>
      <c r="X67" s="11"/>
      <c r="Y67" s="12"/>
      <c r="AA67" s="44"/>
      <c r="AB67" s="46"/>
      <c r="AC67" s="49"/>
      <c r="AD67" s="50"/>
      <c r="AE67" s="37"/>
      <c r="AF67" s="7" t="s">
        <v>157</v>
      </c>
      <c r="AG67" s="7">
        <v>0.5</v>
      </c>
      <c r="AH67" s="11">
        <f>+VLOOKUP(AF67,'PRECIO PROVEEDORES'!$A$2:$B$716,2,0)</f>
        <v>86</v>
      </c>
      <c r="AI67" s="12">
        <f t="shared" si="18"/>
        <v>43</v>
      </c>
      <c r="AJ67" s="15"/>
      <c r="AK67" s="15"/>
      <c r="AL67" s="15"/>
      <c r="AM67" s="15"/>
      <c r="AN67" s="15"/>
      <c r="AO67" s="15"/>
      <c r="AP67" s="15"/>
      <c r="AQ67" s="15"/>
    </row>
    <row r="68" spans="2:43" ht="15.75" customHeight="1" x14ac:dyDescent="0.2">
      <c r="B68" s="19"/>
      <c r="C68" s="7"/>
      <c r="D68" s="11"/>
      <c r="E68" s="12"/>
      <c r="G68" s="19"/>
      <c r="H68" s="7"/>
      <c r="I68" s="11"/>
      <c r="J68" s="12"/>
      <c r="L68" s="19"/>
      <c r="M68" s="7"/>
      <c r="N68" s="11"/>
      <c r="O68" s="12"/>
      <c r="Q68" s="19"/>
      <c r="R68" s="7"/>
      <c r="S68" s="11"/>
      <c r="T68" s="12"/>
      <c r="V68" s="19"/>
      <c r="W68" s="7"/>
      <c r="X68" s="11"/>
      <c r="Y68" s="12"/>
      <c r="AA68" s="44"/>
      <c r="AB68" s="46"/>
      <c r="AC68" s="49"/>
      <c r="AD68" s="50"/>
      <c r="AE68" s="37"/>
      <c r="AF68" s="19"/>
      <c r="AG68" s="7"/>
      <c r="AH68" s="11"/>
      <c r="AI68" s="12"/>
      <c r="AJ68" s="15"/>
      <c r="AK68" s="15"/>
      <c r="AL68" s="15"/>
      <c r="AM68" s="15"/>
      <c r="AN68" s="15"/>
      <c r="AO68" s="15"/>
      <c r="AP68" s="15"/>
      <c r="AQ68" s="15"/>
    </row>
    <row r="69" spans="2:43" ht="15.75" customHeight="1" x14ac:dyDescent="0.2">
      <c r="B69" s="19"/>
      <c r="C69" s="7"/>
      <c r="D69" s="11"/>
      <c r="E69" s="12"/>
      <c r="G69" s="19"/>
      <c r="H69" s="7"/>
      <c r="I69" s="11"/>
      <c r="J69" s="12"/>
      <c r="L69" s="19"/>
      <c r="M69" s="7"/>
      <c r="N69" s="11"/>
      <c r="O69" s="12"/>
      <c r="Q69" s="19"/>
      <c r="R69" s="7"/>
      <c r="S69" s="11"/>
      <c r="T69" s="12"/>
      <c r="V69" s="19"/>
      <c r="W69" s="7"/>
      <c r="X69" s="11"/>
      <c r="Y69" s="12"/>
      <c r="AA69" s="44"/>
      <c r="AB69" s="46"/>
      <c r="AC69" s="49"/>
      <c r="AD69" s="50"/>
      <c r="AE69" s="37"/>
      <c r="AF69" s="19"/>
      <c r="AG69" s="7"/>
      <c r="AH69" s="11"/>
      <c r="AI69" s="12"/>
      <c r="AJ69" s="15"/>
      <c r="AK69" s="15"/>
      <c r="AL69" s="15"/>
      <c r="AM69" s="15"/>
      <c r="AN69" s="15"/>
      <c r="AO69" s="15"/>
      <c r="AP69" s="15"/>
      <c r="AQ69" s="15"/>
    </row>
    <row r="70" spans="2:43" ht="15.75" customHeight="1" x14ac:dyDescent="0.2">
      <c r="B70" s="5"/>
      <c r="C70" s="7"/>
      <c r="D70" s="11"/>
      <c r="E70" s="12"/>
      <c r="G70" s="5"/>
      <c r="H70" s="7"/>
      <c r="I70" s="11"/>
      <c r="J70" s="12"/>
      <c r="L70" s="5"/>
      <c r="M70" s="7"/>
      <c r="N70" s="11"/>
      <c r="O70" s="12"/>
      <c r="Q70" s="5"/>
      <c r="R70" s="7"/>
      <c r="S70" s="11"/>
      <c r="T70" s="12"/>
      <c r="V70" s="5"/>
      <c r="W70" s="7"/>
      <c r="X70" s="11"/>
      <c r="Y70" s="12"/>
      <c r="AA70" s="44"/>
      <c r="AB70" s="46"/>
      <c r="AC70" s="49"/>
      <c r="AD70" s="50"/>
      <c r="AE70" s="37"/>
      <c r="AF70" s="5"/>
      <c r="AG70" s="7"/>
      <c r="AH70" s="11"/>
      <c r="AI70" s="12"/>
      <c r="AJ70" s="15"/>
      <c r="AK70" s="15"/>
      <c r="AL70" s="15"/>
      <c r="AM70" s="15"/>
      <c r="AN70" s="15"/>
      <c r="AO70" s="15"/>
      <c r="AP70" s="15"/>
      <c r="AQ70" s="15"/>
    </row>
    <row r="71" spans="2:43" ht="15.75" customHeight="1" x14ac:dyDescent="0.2">
      <c r="B71" s="5"/>
      <c r="C71" s="7"/>
      <c r="D71" s="11"/>
      <c r="E71" s="12"/>
      <c r="G71" s="5"/>
      <c r="H71" s="7"/>
      <c r="I71" s="11"/>
      <c r="J71" s="12"/>
      <c r="L71" s="5"/>
      <c r="M71" s="7"/>
      <c r="N71" s="11"/>
      <c r="O71" s="12"/>
      <c r="Q71" s="5"/>
      <c r="R71" s="7"/>
      <c r="S71" s="11"/>
      <c r="T71" s="12"/>
      <c r="V71" s="5"/>
      <c r="W71" s="7"/>
      <c r="X71" s="11"/>
      <c r="Y71" s="12"/>
      <c r="AA71" s="44"/>
      <c r="AB71" s="46"/>
      <c r="AC71" s="49"/>
      <c r="AD71" s="50"/>
      <c r="AE71" s="15"/>
      <c r="AF71" s="5"/>
      <c r="AG71" s="7"/>
      <c r="AH71" s="11"/>
      <c r="AI71" s="12"/>
      <c r="AJ71" s="15"/>
      <c r="AK71" s="15"/>
      <c r="AL71" s="15"/>
      <c r="AM71" s="15"/>
      <c r="AN71" s="15"/>
      <c r="AO71" s="15"/>
      <c r="AP71" s="15"/>
      <c r="AQ71" s="15"/>
    </row>
    <row r="72" spans="2:43" ht="15.75" customHeight="1" x14ac:dyDescent="0.2">
      <c r="B72" s="5"/>
      <c r="C72" s="7"/>
      <c r="D72" s="11"/>
      <c r="E72" s="12"/>
      <c r="G72" s="5"/>
      <c r="H72" s="7"/>
      <c r="I72" s="11"/>
      <c r="J72" s="12"/>
      <c r="L72" s="5"/>
      <c r="M72" s="7"/>
      <c r="N72" s="11"/>
      <c r="O72" s="12"/>
      <c r="Q72" s="5"/>
      <c r="R72" s="7"/>
      <c r="S72" s="11"/>
      <c r="T72" s="12"/>
      <c r="V72" s="5"/>
      <c r="W72" s="7"/>
      <c r="X72" s="11"/>
      <c r="Y72" s="12"/>
      <c r="AA72" s="44"/>
      <c r="AB72" s="46"/>
      <c r="AC72" s="49"/>
      <c r="AD72" s="50"/>
      <c r="AE72" s="15"/>
      <c r="AF72" s="5"/>
      <c r="AG72" s="7"/>
      <c r="AH72" s="11"/>
      <c r="AI72" s="12"/>
      <c r="AJ72" s="15"/>
      <c r="AK72" s="15"/>
      <c r="AL72" s="15"/>
      <c r="AM72" s="15"/>
      <c r="AN72" s="15"/>
      <c r="AO72" s="15"/>
      <c r="AP72" s="15"/>
      <c r="AQ72" s="15"/>
    </row>
    <row r="73" spans="2:43" ht="15.75" customHeight="1" x14ac:dyDescent="0.2">
      <c r="B73" s="21" t="s">
        <v>52</v>
      </c>
      <c r="C73" s="22"/>
      <c r="D73" s="23"/>
      <c r="E73" s="24">
        <f>SUM(E58:E72)</f>
        <v>2048.1849999999999</v>
      </c>
      <c r="G73" s="21" t="s">
        <v>52</v>
      </c>
      <c r="H73" s="22"/>
      <c r="I73" s="23"/>
      <c r="J73" s="24">
        <f>SUM(J58:J72)</f>
        <v>1814.1599999999999</v>
      </c>
      <c r="L73" s="21" t="s">
        <v>52</v>
      </c>
      <c r="M73" s="22"/>
      <c r="N73" s="23"/>
      <c r="O73" s="24">
        <f>SUM(O58:O72)</f>
        <v>2423.5792783999996</v>
      </c>
      <c r="Q73" s="21" t="s">
        <v>52</v>
      </c>
      <c r="R73" s="22"/>
      <c r="S73" s="23"/>
      <c r="T73" s="24">
        <f>SUM(T58:T72)</f>
        <v>4015.7547999999997</v>
      </c>
      <c r="V73" s="21" t="s">
        <v>52</v>
      </c>
      <c r="W73" s="22"/>
      <c r="X73" s="23"/>
      <c r="Y73" s="24">
        <f>SUM(Y58:Y72)</f>
        <v>3563.4520245454546</v>
      </c>
      <c r="AA73" s="53" t="s">
        <v>52</v>
      </c>
      <c r="AB73" s="54"/>
      <c r="AC73" s="55"/>
      <c r="AD73" s="56">
        <f>SUM(AD58:AD72)</f>
        <v>2356.4979650000005</v>
      </c>
      <c r="AE73" s="25"/>
      <c r="AF73" s="21" t="s">
        <v>52</v>
      </c>
      <c r="AG73" s="22"/>
      <c r="AH73" s="23"/>
      <c r="AI73" s="24">
        <f>SUM(AI58:AI72)</f>
        <v>5112.7466650000015</v>
      </c>
      <c r="AJ73" s="25"/>
      <c r="AK73" s="25"/>
      <c r="AL73" s="25"/>
      <c r="AM73" s="25"/>
      <c r="AN73" s="25"/>
      <c r="AO73" s="25"/>
      <c r="AP73" s="25"/>
      <c r="AQ73" s="25"/>
    </row>
    <row r="74" spans="2:43" ht="15.75" customHeight="1" x14ac:dyDescent="0.2">
      <c r="B74" s="19" t="s">
        <v>53</v>
      </c>
      <c r="C74" s="27"/>
      <c r="D74" s="28"/>
      <c r="E74" s="29">
        <f>SUM(E73)</f>
        <v>2048.1849999999999</v>
      </c>
      <c r="G74" s="19" t="s">
        <v>53</v>
      </c>
      <c r="H74" s="27"/>
      <c r="I74" s="28"/>
      <c r="J74" s="29">
        <f>SUM(J73)</f>
        <v>1814.1599999999999</v>
      </c>
      <c r="L74" s="19" t="s">
        <v>53</v>
      </c>
      <c r="M74" s="27"/>
      <c r="N74" s="28"/>
      <c r="O74" s="29">
        <f>SUM(O73)</f>
        <v>2423.5792783999996</v>
      </c>
      <c r="Q74" s="19" t="s">
        <v>53</v>
      </c>
      <c r="R74" s="27"/>
      <c r="S74" s="28"/>
      <c r="T74" s="29">
        <f>SUM(T73)</f>
        <v>4015.7547999999997</v>
      </c>
      <c r="V74" s="19" t="s">
        <v>53</v>
      </c>
      <c r="W74" s="27"/>
      <c r="X74" s="28"/>
      <c r="Y74" s="29">
        <f>SUM(Y73)</f>
        <v>3563.4520245454546</v>
      </c>
      <c r="AA74" s="44" t="s">
        <v>53</v>
      </c>
      <c r="AB74" s="46"/>
      <c r="AC74" s="57"/>
      <c r="AD74" s="58">
        <f>SUM(AD73)</f>
        <v>2356.4979650000005</v>
      </c>
      <c r="AE74" s="30"/>
      <c r="AF74" s="19" t="s">
        <v>53</v>
      </c>
      <c r="AG74" s="27"/>
      <c r="AH74" s="28"/>
      <c r="AI74" s="29">
        <f>SUM(AI73)</f>
        <v>5112.7466650000015</v>
      </c>
      <c r="AJ74" s="30"/>
      <c r="AK74" s="30"/>
      <c r="AL74" s="30"/>
      <c r="AM74" s="30"/>
      <c r="AN74" s="30"/>
      <c r="AO74" s="30"/>
      <c r="AP74" s="30"/>
      <c r="AQ74" s="30"/>
    </row>
    <row r="75" spans="2:43" ht="15.75" customHeight="1" x14ac:dyDescent="0.2">
      <c r="B75" s="19" t="s">
        <v>54</v>
      </c>
      <c r="C75" s="27"/>
      <c r="D75" s="28"/>
      <c r="E75" s="29">
        <f>+E74</f>
        <v>2048.1849999999999</v>
      </c>
      <c r="G75" s="19" t="s">
        <v>54</v>
      </c>
      <c r="H75" s="27"/>
      <c r="I75" s="28"/>
      <c r="J75" s="29">
        <f>+J74</f>
        <v>1814.1599999999999</v>
      </c>
      <c r="L75" s="19" t="s">
        <v>54</v>
      </c>
      <c r="M75" s="27"/>
      <c r="N75" s="28"/>
      <c r="O75" s="29">
        <f>+O74</f>
        <v>2423.5792783999996</v>
      </c>
      <c r="Q75" s="19" t="s">
        <v>54</v>
      </c>
      <c r="R75" s="27"/>
      <c r="S75" s="28"/>
      <c r="T75" s="29">
        <f>+T74</f>
        <v>4015.7547999999997</v>
      </c>
      <c r="V75" s="19" t="s">
        <v>54</v>
      </c>
      <c r="W75" s="27"/>
      <c r="X75" s="28"/>
      <c r="Y75" s="29">
        <f>+Y74</f>
        <v>3563.4520245454546</v>
      </c>
      <c r="AA75" s="44" t="s">
        <v>54</v>
      </c>
      <c r="AB75" s="46"/>
      <c r="AC75" s="57"/>
      <c r="AD75" s="58">
        <f>+AD74</f>
        <v>2356.4979650000005</v>
      </c>
      <c r="AE75" s="30"/>
      <c r="AF75" s="19" t="s">
        <v>54</v>
      </c>
      <c r="AG75" s="27"/>
      <c r="AH75" s="28"/>
      <c r="AI75" s="29">
        <f>+AI74</f>
        <v>5112.7466650000015</v>
      </c>
      <c r="AJ75" s="30"/>
      <c r="AK75" s="30"/>
      <c r="AL75" s="30"/>
      <c r="AM75" s="30"/>
      <c r="AN75" s="30"/>
      <c r="AO75" s="30"/>
      <c r="AP75" s="30"/>
      <c r="AQ75" s="30"/>
    </row>
    <row r="76" spans="2:43" ht="15.75" customHeight="1" x14ac:dyDescent="0.2">
      <c r="B76" s="19" t="s">
        <v>55</v>
      </c>
      <c r="C76" s="27"/>
      <c r="D76" s="31">
        <v>0.3</v>
      </c>
      <c r="E76" s="29"/>
      <c r="G76" s="19" t="s">
        <v>55</v>
      </c>
      <c r="H76" s="27"/>
      <c r="I76" s="31">
        <v>0.3</v>
      </c>
      <c r="J76" s="29"/>
      <c r="L76" s="19" t="s">
        <v>55</v>
      </c>
      <c r="M76" s="27"/>
      <c r="N76" s="31">
        <v>0.3</v>
      </c>
      <c r="O76" s="29"/>
      <c r="Q76" s="19" t="s">
        <v>55</v>
      </c>
      <c r="R76" s="27"/>
      <c r="S76" s="31">
        <v>0.3</v>
      </c>
      <c r="T76" s="29"/>
      <c r="V76" s="19" t="s">
        <v>55</v>
      </c>
      <c r="W76" s="27"/>
      <c r="X76" s="31">
        <v>0.3</v>
      </c>
      <c r="Y76" s="29"/>
      <c r="AA76" s="44" t="s">
        <v>55</v>
      </c>
      <c r="AB76" s="46"/>
      <c r="AC76" s="59">
        <v>0.3</v>
      </c>
      <c r="AD76" s="58"/>
      <c r="AE76" s="30"/>
      <c r="AF76" s="19" t="s">
        <v>55</v>
      </c>
      <c r="AG76" s="27"/>
      <c r="AH76" s="31">
        <v>0.3</v>
      </c>
      <c r="AI76" s="29"/>
      <c r="AJ76" s="30"/>
      <c r="AK76" s="30"/>
      <c r="AL76" s="30"/>
      <c r="AM76" s="30"/>
      <c r="AN76" s="30"/>
      <c r="AO76" s="30"/>
      <c r="AP76" s="30"/>
      <c r="AQ76" s="30"/>
    </row>
    <row r="77" spans="2:43" ht="15.75" customHeight="1" x14ac:dyDescent="0.2">
      <c r="B77" s="19" t="s">
        <v>56</v>
      </c>
      <c r="C77" s="27"/>
      <c r="D77" s="31"/>
      <c r="E77" s="29">
        <f>+E75*3.33333333333333</f>
        <v>6827.2833333333265</v>
      </c>
      <c r="G77" s="19" t="s">
        <v>56</v>
      </c>
      <c r="H77" s="27"/>
      <c r="I77" s="31"/>
      <c r="J77" s="29">
        <f>+J75*3.33333333333333</f>
        <v>6047.1999999999935</v>
      </c>
      <c r="L77" s="19" t="s">
        <v>56</v>
      </c>
      <c r="M77" s="27"/>
      <c r="N77" s="31"/>
      <c r="O77" s="29">
        <f>+O75*3.33333333333333</f>
        <v>8078.5975946666567</v>
      </c>
      <c r="Q77" s="19" t="s">
        <v>56</v>
      </c>
      <c r="R77" s="27"/>
      <c r="S77" s="31"/>
      <c r="T77" s="29">
        <f>+T75*3.33333333333333</f>
        <v>13385.849333333319</v>
      </c>
      <c r="V77" s="19" t="s">
        <v>56</v>
      </c>
      <c r="W77" s="27"/>
      <c r="X77" s="31"/>
      <c r="Y77" s="29">
        <f>+Y75*3.33333333333333</f>
        <v>11878.173415151503</v>
      </c>
      <c r="AA77" s="44" t="s">
        <v>56</v>
      </c>
      <c r="AB77" s="46"/>
      <c r="AC77" s="59"/>
      <c r="AD77" s="58">
        <f>+AD75*3.33333333333333</f>
        <v>7854.9932166666604</v>
      </c>
      <c r="AE77" s="30"/>
      <c r="AF77" s="19" t="s">
        <v>56</v>
      </c>
      <c r="AG77" s="27"/>
      <c r="AH77" s="31"/>
      <c r="AI77" s="29">
        <f>+AI75*3.33333333333333</f>
        <v>17042.488883333321</v>
      </c>
      <c r="AJ77" s="30"/>
      <c r="AK77" s="30"/>
      <c r="AL77" s="30"/>
      <c r="AM77" s="30"/>
      <c r="AN77" s="30"/>
      <c r="AO77" s="30"/>
      <c r="AP77" s="30"/>
      <c r="AQ77" s="30"/>
    </row>
    <row r="78" spans="2:43" ht="15.75" customHeight="1" x14ac:dyDescent="0.2">
      <c r="B78" s="19" t="s">
        <v>158</v>
      </c>
      <c r="C78" s="27">
        <v>7800</v>
      </c>
      <c r="D78" s="43">
        <v>0.35</v>
      </c>
      <c r="E78" s="29">
        <v>10500</v>
      </c>
      <c r="G78" s="19" t="s">
        <v>158</v>
      </c>
      <c r="H78" s="27">
        <v>7800</v>
      </c>
      <c r="I78" s="43">
        <v>0.35</v>
      </c>
      <c r="J78" s="29">
        <v>10500</v>
      </c>
      <c r="L78" s="19" t="s">
        <v>158</v>
      </c>
      <c r="M78" s="27">
        <v>10000</v>
      </c>
      <c r="N78" s="43">
        <v>0.35</v>
      </c>
      <c r="O78" s="29">
        <v>13500</v>
      </c>
      <c r="Q78" s="19" t="s">
        <v>158</v>
      </c>
      <c r="R78" s="27">
        <v>13500</v>
      </c>
      <c r="S78" s="43">
        <v>0.35</v>
      </c>
      <c r="T78" s="29">
        <v>18225</v>
      </c>
      <c r="V78" s="19" t="s">
        <v>158</v>
      </c>
      <c r="W78" s="27">
        <v>13000</v>
      </c>
      <c r="X78" s="43">
        <v>0.35</v>
      </c>
      <c r="Y78" s="29">
        <v>18000</v>
      </c>
      <c r="AA78" s="44" t="s">
        <v>158</v>
      </c>
      <c r="AB78" s="46"/>
      <c r="AC78" s="60">
        <v>0.35</v>
      </c>
      <c r="AD78" s="58">
        <v>15500</v>
      </c>
      <c r="AE78" s="30"/>
      <c r="AF78" s="19" t="s">
        <v>158</v>
      </c>
      <c r="AG78" s="27">
        <v>17800</v>
      </c>
      <c r="AH78" s="43">
        <v>0.35</v>
      </c>
      <c r="AI78" s="29">
        <v>24000</v>
      </c>
      <c r="AJ78" s="30"/>
      <c r="AK78" s="30"/>
      <c r="AL78" s="30"/>
      <c r="AM78" s="30"/>
      <c r="AN78" s="30"/>
      <c r="AO78" s="30"/>
      <c r="AP78" s="30"/>
      <c r="AQ78" s="30"/>
    </row>
    <row r="79" spans="2:43" ht="15.75" customHeight="1" x14ac:dyDescent="0.2">
      <c r="B79" s="19"/>
      <c r="C79" s="27"/>
      <c r="D79" s="28"/>
      <c r="E79" s="24">
        <f>+E78-E77</f>
        <v>3672.7166666666735</v>
      </c>
      <c r="G79" s="19"/>
      <c r="H79" s="27"/>
      <c r="I79" s="28"/>
      <c r="J79" s="24">
        <f>+J78-J77</f>
        <v>4452.8000000000065</v>
      </c>
      <c r="L79" s="19"/>
      <c r="M79" s="27"/>
      <c r="N79" s="28"/>
      <c r="O79" s="24">
        <f>+O78-O77</f>
        <v>5421.4024053333433</v>
      </c>
      <c r="Q79" s="19"/>
      <c r="R79" s="27"/>
      <c r="S79" s="28"/>
      <c r="T79" s="24">
        <f>+T78-T77</f>
        <v>4839.150666666681</v>
      </c>
      <c r="V79" s="19"/>
      <c r="W79" s="27"/>
      <c r="X79" s="28"/>
      <c r="Y79" s="24">
        <f>+Y78-Y77</f>
        <v>6121.8265848484971</v>
      </c>
      <c r="AA79" s="44"/>
      <c r="AB79" s="46"/>
      <c r="AC79" s="57"/>
      <c r="AD79" s="56">
        <f>+AD78-AD77</f>
        <v>7645.0067833333396</v>
      </c>
      <c r="AE79" s="25"/>
      <c r="AF79" s="19"/>
      <c r="AG79" s="27"/>
      <c r="AH79" s="28"/>
      <c r="AI79" s="24">
        <f>+AI78-AI77</f>
        <v>6957.5111166666793</v>
      </c>
      <c r="AJ79" s="25"/>
      <c r="AK79" s="25"/>
      <c r="AL79" s="25"/>
      <c r="AM79" s="25"/>
      <c r="AN79" s="25"/>
      <c r="AO79" s="25"/>
      <c r="AP79" s="25"/>
      <c r="AQ79" s="25"/>
    </row>
    <row r="80" spans="2:43" ht="15.75" customHeight="1" x14ac:dyDescent="0.2">
      <c r="B80" s="32" t="s">
        <v>58</v>
      </c>
      <c r="C80" s="33"/>
      <c r="D80" s="33"/>
      <c r="E80" s="34">
        <f>E75/E78</f>
        <v>0.1950652380952381</v>
      </c>
      <c r="G80" s="32" t="s">
        <v>58</v>
      </c>
      <c r="H80" s="33"/>
      <c r="I80" s="33"/>
      <c r="J80" s="34">
        <f>J75/J78</f>
        <v>0.17277714285714285</v>
      </c>
      <c r="L80" s="32" t="s">
        <v>58</v>
      </c>
      <c r="M80" s="33"/>
      <c r="N80" s="33"/>
      <c r="O80" s="34">
        <f>O75/O78</f>
        <v>0.17952439099259257</v>
      </c>
      <c r="Q80" s="32" t="s">
        <v>58</v>
      </c>
      <c r="R80" s="33"/>
      <c r="S80" s="33"/>
      <c r="T80" s="34">
        <f>T75/T78</f>
        <v>0.22034319890260629</v>
      </c>
      <c r="V80" s="32" t="s">
        <v>58</v>
      </c>
      <c r="W80" s="33"/>
      <c r="X80" s="33"/>
      <c r="Y80" s="34">
        <f>Y75/Y78</f>
        <v>0.19796955691919194</v>
      </c>
      <c r="AA80" s="61" t="s">
        <v>58</v>
      </c>
      <c r="AB80" s="62"/>
      <c r="AC80" s="62"/>
      <c r="AD80" s="63">
        <f>AD75/AD78</f>
        <v>0.15203212677419359</v>
      </c>
      <c r="AE80" s="35"/>
      <c r="AF80" s="32" t="s">
        <v>58</v>
      </c>
      <c r="AG80" s="33"/>
      <c r="AH80" s="33"/>
      <c r="AI80" s="34">
        <f>AI75/AI78</f>
        <v>0.21303111104166672</v>
      </c>
      <c r="AJ80" s="35"/>
      <c r="AK80" s="35"/>
      <c r="AL80" s="35"/>
      <c r="AM80" s="35"/>
      <c r="AN80" s="35"/>
      <c r="AO80" s="35"/>
      <c r="AP80" s="35"/>
      <c r="AQ80" s="35"/>
    </row>
    <row r="81" spans="2:43" ht="15.75" customHeight="1" x14ac:dyDescent="0.15">
      <c r="AE81" s="3"/>
      <c r="AF81" s="3"/>
      <c r="AG81" s="3"/>
      <c r="AH81" s="3"/>
      <c r="AI81" s="3"/>
      <c r="AJ81" s="3"/>
      <c r="AK81" s="3"/>
      <c r="AL81" s="3"/>
      <c r="AM81" s="3"/>
      <c r="AN81" s="3"/>
      <c r="AO81" s="3"/>
      <c r="AP81" s="3"/>
      <c r="AQ81" s="3"/>
    </row>
    <row r="82" spans="2:43" ht="15.75" customHeight="1" x14ac:dyDescent="0.15">
      <c r="AE82" s="3"/>
      <c r="AF82" s="3"/>
      <c r="AG82" s="3"/>
      <c r="AH82" s="3"/>
      <c r="AI82" s="3"/>
      <c r="AJ82" s="3"/>
      <c r="AK82" s="3"/>
      <c r="AL82" s="3"/>
      <c r="AM82" s="3"/>
      <c r="AN82" s="3"/>
      <c r="AO82" s="3"/>
      <c r="AP82" s="3"/>
      <c r="AQ82" s="3"/>
    </row>
    <row r="83" spans="2:43" ht="15.75" customHeight="1" x14ac:dyDescent="0.15">
      <c r="B83" s="215" t="s">
        <v>105</v>
      </c>
      <c r="C83" s="213"/>
      <c r="D83" s="213"/>
      <c r="E83" s="214"/>
      <c r="G83" s="215" t="s">
        <v>106</v>
      </c>
      <c r="H83" s="213"/>
      <c r="I83" s="213"/>
      <c r="J83" s="214"/>
      <c r="L83" s="215" t="s">
        <v>107</v>
      </c>
      <c r="M83" s="213"/>
      <c r="N83" s="213"/>
      <c r="O83" s="214"/>
      <c r="Q83" s="215" t="s">
        <v>108</v>
      </c>
      <c r="R83" s="213"/>
      <c r="S83" s="213"/>
      <c r="T83" s="214"/>
      <c r="V83" s="215" t="s">
        <v>109</v>
      </c>
      <c r="W83" s="213"/>
      <c r="X83" s="213"/>
      <c r="Y83" s="214"/>
      <c r="AA83" s="215" t="s">
        <v>110</v>
      </c>
      <c r="AB83" s="213"/>
      <c r="AC83" s="213"/>
      <c r="AD83" s="214"/>
      <c r="AE83" s="4"/>
      <c r="AF83" s="212" t="s">
        <v>111</v>
      </c>
      <c r="AG83" s="213"/>
      <c r="AH83" s="213"/>
      <c r="AI83" s="214"/>
      <c r="AJ83" s="4"/>
      <c r="AK83" s="4"/>
      <c r="AL83" s="4"/>
      <c r="AM83" s="4"/>
      <c r="AN83" s="4"/>
      <c r="AO83" s="4"/>
      <c r="AP83" s="4"/>
      <c r="AQ83" s="4"/>
    </row>
    <row r="84" spans="2:43" ht="15.75" customHeight="1" x14ac:dyDescent="0.2">
      <c r="B84" s="5"/>
      <c r="C84" s="6" t="s">
        <v>8</v>
      </c>
      <c r="D84" s="7" t="s">
        <v>9</v>
      </c>
      <c r="E84" s="8" t="s">
        <v>10</v>
      </c>
      <c r="G84" s="5"/>
      <c r="H84" s="6" t="s">
        <v>8</v>
      </c>
      <c r="I84" s="7" t="s">
        <v>9</v>
      </c>
      <c r="J84" s="8" t="s">
        <v>10</v>
      </c>
      <c r="L84" s="5"/>
      <c r="M84" s="6" t="s">
        <v>8</v>
      </c>
      <c r="N84" s="7" t="s">
        <v>9</v>
      </c>
      <c r="O84" s="8" t="s">
        <v>10</v>
      </c>
      <c r="Q84" s="5"/>
      <c r="R84" s="6" t="s">
        <v>8</v>
      </c>
      <c r="S84" s="7" t="s">
        <v>9</v>
      </c>
      <c r="T84" s="8" t="s">
        <v>10</v>
      </c>
      <c r="V84" s="5"/>
      <c r="W84" s="6" t="s">
        <v>8</v>
      </c>
      <c r="X84" s="7" t="s">
        <v>9</v>
      </c>
      <c r="Y84" s="8" t="s">
        <v>10</v>
      </c>
      <c r="AA84" s="5"/>
      <c r="AB84" s="6" t="s">
        <v>8</v>
      </c>
      <c r="AC84" s="7" t="s">
        <v>9</v>
      </c>
      <c r="AD84" s="8" t="s">
        <v>10</v>
      </c>
      <c r="AE84" s="9"/>
      <c r="AF84" s="5"/>
      <c r="AG84" s="6" t="s">
        <v>8</v>
      </c>
      <c r="AH84" s="7" t="s">
        <v>9</v>
      </c>
      <c r="AI84" s="8" t="s">
        <v>10</v>
      </c>
      <c r="AJ84" s="9"/>
      <c r="AK84" s="9"/>
      <c r="AL84" s="9"/>
      <c r="AM84" s="9"/>
      <c r="AN84" s="9"/>
      <c r="AO84" s="9"/>
      <c r="AP84" s="9"/>
      <c r="AQ84" s="9"/>
    </row>
    <row r="85" spans="2:43" ht="15.75" customHeight="1" x14ac:dyDescent="0.2">
      <c r="B85" s="13" t="s">
        <v>23</v>
      </c>
      <c r="C85" s="10">
        <v>0.1</v>
      </c>
      <c r="D85" s="11">
        <f>+VLOOKUP(B85,'PRECIO PROVEEDORES'!$A$2:$B$716,2,0)</f>
        <v>3360</v>
      </c>
      <c r="E85" s="12">
        <f t="shared" ref="E85:E94" si="19">+C85*D85</f>
        <v>336</v>
      </c>
      <c r="G85" s="7" t="s">
        <v>112</v>
      </c>
      <c r="H85" s="10">
        <v>1</v>
      </c>
      <c r="I85" s="11">
        <f>+VLOOKUP(G85,'PRECIO PROVEEDORES'!$A$2:$B$716,2,0)</f>
        <v>1100</v>
      </c>
      <c r="J85" s="12">
        <f t="shared" ref="J85:J90" si="20">+H85*I85</f>
        <v>1100</v>
      </c>
      <c r="L85" s="13" t="s">
        <v>113</v>
      </c>
      <c r="M85" s="10">
        <v>0.15</v>
      </c>
      <c r="N85" s="11">
        <f>+VLOOKUP(L85,'PRECIO PROVEEDORES'!$A$2:$B$716,2,0)</f>
        <v>15760</v>
      </c>
      <c r="O85" s="12">
        <f t="shared" ref="O85:O90" si="21">+M85*N85</f>
        <v>2364</v>
      </c>
      <c r="Q85" s="7" t="s">
        <v>93</v>
      </c>
      <c r="R85" s="10">
        <v>1</v>
      </c>
      <c r="S85" s="11">
        <f>+VLOOKUP(Q85,'PRECIO PROVEEDORES'!$A$2:$B$716,2,0)</f>
        <v>1307</v>
      </c>
      <c r="T85" s="12">
        <f t="shared" ref="T85:T88" si="22">+R85*S85</f>
        <v>1307</v>
      </c>
      <c r="V85" s="7" t="s">
        <v>93</v>
      </c>
      <c r="W85" s="10">
        <v>1</v>
      </c>
      <c r="X85" s="11">
        <f>+VLOOKUP(V85,'PRECIO PROVEEDORES'!$A$2:$B$716,2,0)</f>
        <v>1307</v>
      </c>
      <c r="Y85" s="12">
        <f t="shared" ref="Y85:Y88" si="23">+W85*X85</f>
        <v>1307</v>
      </c>
      <c r="AA85" s="13" t="s">
        <v>66</v>
      </c>
      <c r="AB85" s="10">
        <v>1</v>
      </c>
      <c r="AC85" s="11">
        <f>+VLOOKUP(AA85,'PRECIO PROVEEDORES'!$A$2:$B$716,2,0)</f>
        <v>1252.8</v>
      </c>
      <c r="AD85" s="12">
        <f t="shared" ref="AD85:AD92" si="24">+AB85*AC85</f>
        <v>1252.8</v>
      </c>
      <c r="AE85" s="15"/>
      <c r="AF85" s="13" t="s">
        <v>16</v>
      </c>
      <c r="AG85" s="10">
        <v>0.3</v>
      </c>
      <c r="AH85" s="11">
        <f>+VLOOKUP(AF85,'PRECIO PROVEEDORES'!$A$2:$B$716,2,0)</f>
        <v>8954.3189333333339</v>
      </c>
      <c r="AI85" s="12">
        <f t="shared" ref="AI85:AI86" si="25">+AG85*AH85</f>
        <v>2686.2956800000002</v>
      </c>
      <c r="AJ85" s="15"/>
      <c r="AK85" s="15"/>
      <c r="AL85" s="15"/>
      <c r="AM85" s="15"/>
      <c r="AN85" s="15"/>
      <c r="AO85" s="15"/>
      <c r="AP85" s="15"/>
      <c r="AQ85" s="15"/>
    </row>
    <row r="86" spans="2:43" ht="15.75" customHeight="1" x14ac:dyDescent="0.2">
      <c r="B86" s="13" t="s">
        <v>44</v>
      </c>
      <c r="C86" s="10">
        <v>0.05</v>
      </c>
      <c r="D86" s="11">
        <f>+VLOOKUP(B86,'PRECIO PROVEEDORES'!$A$2:$B$716,2,0)</f>
        <v>10450</v>
      </c>
      <c r="E86" s="12">
        <f t="shared" si="19"/>
        <v>522.5</v>
      </c>
      <c r="G86" s="7" t="s">
        <v>12</v>
      </c>
      <c r="H86" s="10">
        <v>1</v>
      </c>
      <c r="I86" s="11">
        <f>+VLOOKUP(G86,'PRECIO PROVEEDORES'!$A$2:$B$716,2,0)</f>
        <v>243.1</v>
      </c>
      <c r="J86" s="12">
        <f t="shared" si="20"/>
        <v>243.1</v>
      </c>
      <c r="L86" s="13" t="s">
        <v>16</v>
      </c>
      <c r="M86" s="10">
        <v>0.05</v>
      </c>
      <c r="N86" s="11">
        <f>+VLOOKUP(L86,'PRECIO PROVEEDORES'!$A$2:$B$716,2,0)</f>
        <v>8954.3189333333339</v>
      </c>
      <c r="O86" s="12">
        <f t="shared" si="21"/>
        <v>447.7159466666667</v>
      </c>
      <c r="Q86" s="7" t="s">
        <v>21</v>
      </c>
      <c r="R86" s="10">
        <v>0.08</v>
      </c>
      <c r="S86" s="11">
        <f>+VLOOKUP(Q86,'PRECIO PROVEEDORES'!$A$2:$B$716,2,0)</f>
        <v>11881</v>
      </c>
      <c r="T86" s="12">
        <f t="shared" si="22"/>
        <v>950.48</v>
      </c>
      <c r="V86" s="7" t="s">
        <v>28</v>
      </c>
      <c r="W86" s="10">
        <v>0.08</v>
      </c>
      <c r="X86" s="11">
        <f>+VLOOKUP(V86,'PRECIO PROVEEDORES'!$A$2:$B$716,2,0)</f>
        <v>10697</v>
      </c>
      <c r="Y86" s="12">
        <f t="shared" si="23"/>
        <v>855.76</v>
      </c>
      <c r="AA86" s="38" t="s">
        <v>114</v>
      </c>
      <c r="AB86" s="10">
        <v>0.02</v>
      </c>
      <c r="AC86" s="11">
        <f>+VLOOKUP(AA86,'PRECIO PROVEEDORES'!$A$2:$B$716,2,0)</f>
        <v>28695</v>
      </c>
      <c r="AD86" s="12">
        <f t="shared" si="24"/>
        <v>573.9</v>
      </c>
      <c r="AE86" s="37"/>
      <c r="AF86" s="7" t="s">
        <v>159</v>
      </c>
      <c r="AG86" s="10">
        <v>0.5</v>
      </c>
      <c r="AH86" s="11">
        <f>+VLOOKUP(AF86,'PRECIO PROVEEDORES'!$A$2:$B$716,2,0)</f>
        <v>392</v>
      </c>
      <c r="AI86" s="12">
        <f t="shared" si="25"/>
        <v>196</v>
      </c>
      <c r="AJ86" s="15"/>
      <c r="AK86" s="15"/>
      <c r="AL86" s="15"/>
      <c r="AM86" s="15"/>
      <c r="AN86" s="15"/>
      <c r="AO86" s="15"/>
      <c r="AP86" s="15"/>
      <c r="AQ86" s="15"/>
    </row>
    <row r="87" spans="2:43" ht="15.75" customHeight="1" x14ac:dyDescent="0.2">
      <c r="B87" s="13" t="s">
        <v>30</v>
      </c>
      <c r="C87" s="10">
        <v>0.05</v>
      </c>
      <c r="D87" s="11">
        <f>+VLOOKUP(B87,'PRECIO PROVEEDORES'!$A$2:$B$716,2,0)</f>
        <v>26000</v>
      </c>
      <c r="E87" s="12">
        <f t="shared" si="19"/>
        <v>1300</v>
      </c>
      <c r="G87" s="7" t="s">
        <v>66</v>
      </c>
      <c r="H87" s="10">
        <v>1</v>
      </c>
      <c r="I87" s="11">
        <f>+VLOOKUP(G87,'PRECIO PROVEEDORES'!$A$2:$B$716,2,0)</f>
        <v>1252.8</v>
      </c>
      <c r="J87" s="12">
        <f t="shared" si="20"/>
        <v>1252.8</v>
      </c>
      <c r="L87" s="13" t="s">
        <v>23</v>
      </c>
      <c r="M87" s="10">
        <v>0.05</v>
      </c>
      <c r="N87" s="11">
        <f>+VLOOKUP(L87,'PRECIO PROVEEDORES'!$A$2:$B$716,2,0)</f>
        <v>3360</v>
      </c>
      <c r="O87" s="12">
        <f t="shared" si="21"/>
        <v>168</v>
      </c>
      <c r="Q87" s="7" t="s">
        <v>28</v>
      </c>
      <c r="R87" s="10">
        <v>0.08</v>
      </c>
      <c r="S87" s="11">
        <f>+VLOOKUP(Q87,'PRECIO PROVEEDORES'!$A$2:$B$716,2,0)</f>
        <v>10697</v>
      </c>
      <c r="T87" s="12">
        <f t="shared" si="22"/>
        <v>855.76</v>
      </c>
      <c r="V87" s="7" t="s">
        <v>96</v>
      </c>
      <c r="W87" s="10">
        <v>0.06</v>
      </c>
      <c r="X87" s="11">
        <f>+VLOOKUP(V87,'PRECIO PROVEEDORES'!$A$2:$B$716,2,0)</f>
        <v>1800</v>
      </c>
      <c r="Y87" s="12">
        <f t="shared" si="23"/>
        <v>108</v>
      </c>
      <c r="AA87" s="13" t="s">
        <v>115</v>
      </c>
      <c r="AB87" s="10">
        <v>0.06</v>
      </c>
      <c r="AC87" s="11">
        <f>+VLOOKUP(AA87,'PRECIO PROVEEDORES'!$A$2:$B$716,2,0)</f>
        <v>4299.01</v>
      </c>
      <c r="AD87" s="12">
        <f t="shared" si="24"/>
        <v>257.94060000000002</v>
      </c>
      <c r="AE87" s="37"/>
      <c r="AF87" s="13"/>
      <c r="AG87" s="10"/>
      <c r="AH87" s="11"/>
      <c r="AI87" s="12"/>
      <c r="AJ87" s="15"/>
      <c r="AK87" s="15"/>
      <c r="AL87" s="15"/>
      <c r="AM87" s="15"/>
      <c r="AN87" s="15"/>
      <c r="AO87" s="15"/>
      <c r="AP87" s="15"/>
      <c r="AQ87" s="15"/>
    </row>
    <row r="88" spans="2:43" ht="15.75" customHeight="1" x14ac:dyDescent="0.2">
      <c r="B88" s="13" t="s">
        <v>14</v>
      </c>
      <c r="C88" s="10">
        <v>0.02</v>
      </c>
      <c r="D88" s="11">
        <f>+VLOOKUP(B88,'PRECIO PROVEEDORES'!$A$2:$B$716,2,0)</f>
        <v>2332</v>
      </c>
      <c r="E88" s="12">
        <f t="shared" si="19"/>
        <v>46.64</v>
      </c>
      <c r="G88" s="13" t="s">
        <v>116</v>
      </c>
      <c r="H88" s="10">
        <v>0.04</v>
      </c>
      <c r="I88" s="11">
        <f>+VLOOKUP(G88,'PRECIO PROVEEDORES'!$A$2:$B$716,2,0)</f>
        <v>14000</v>
      </c>
      <c r="J88" s="12">
        <f t="shared" si="20"/>
        <v>560</v>
      </c>
      <c r="L88" s="13" t="s">
        <v>30</v>
      </c>
      <c r="M88" s="10">
        <v>0.04</v>
      </c>
      <c r="N88" s="11">
        <f>+VLOOKUP(L88,'PRECIO PROVEEDORES'!$A$2:$B$716,2,0)</f>
        <v>26000</v>
      </c>
      <c r="O88" s="12">
        <f t="shared" si="21"/>
        <v>1040</v>
      </c>
      <c r="Q88" s="7" t="s">
        <v>153</v>
      </c>
      <c r="R88" s="7">
        <v>0.5</v>
      </c>
      <c r="S88" s="11">
        <f>+VLOOKUP(Q88,'PRECIO PROVEEDORES'!$A$2:$B$716,2,0)</f>
        <v>160.5</v>
      </c>
      <c r="T88" s="12">
        <f t="shared" si="22"/>
        <v>80.25</v>
      </c>
      <c r="V88" s="7" t="s">
        <v>153</v>
      </c>
      <c r="W88" s="7">
        <v>0.5</v>
      </c>
      <c r="X88" s="11">
        <f>+VLOOKUP(V88,'PRECIO PROVEEDORES'!$A$2:$B$716,2,0)</f>
        <v>160.5</v>
      </c>
      <c r="Y88" s="12">
        <f t="shared" si="23"/>
        <v>80.25</v>
      </c>
      <c r="AA88" s="38" t="s">
        <v>117</v>
      </c>
      <c r="AB88" s="10">
        <v>0.04</v>
      </c>
      <c r="AC88" s="11">
        <f>+VLOOKUP(AA88,'PRECIO PROVEEDORES'!$A$2:$B$716,2,0)</f>
        <v>26900</v>
      </c>
      <c r="AD88" s="12">
        <f t="shared" si="24"/>
        <v>1076</v>
      </c>
      <c r="AE88" s="37"/>
      <c r="AF88" s="13"/>
      <c r="AG88" s="10"/>
      <c r="AH88" s="11"/>
      <c r="AI88" s="12"/>
      <c r="AJ88" s="15"/>
      <c r="AK88" s="15"/>
      <c r="AL88" s="15"/>
      <c r="AM88" s="15"/>
      <c r="AN88" s="15"/>
      <c r="AO88" s="15"/>
      <c r="AP88" s="15"/>
      <c r="AQ88" s="15"/>
    </row>
    <row r="89" spans="2:43" ht="15.75" customHeight="1" x14ac:dyDescent="0.2">
      <c r="B89" s="13" t="s">
        <v>34</v>
      </c>
      <c r="C89" s="10">
        <v>1.4999999999999999E-2</v>
      </c>
      <c r="D89" s="11">
        <f>+VLOOKUP(B89,'PRECIO PROVEEDORES'!$A$2:$B$716,2,0)</f>
        <v>5917</v>
      </c>
      <c r="E89" s="12">
        <f t="shared" si="19"/>
        <v>88.754999999999995</v>
      </c>
      <c r="G89" s="13" t="s">
        <v>26</v>
      </c>
      <c r="H89" s="10">
        <v>0.04</v>
      </c>
      <c r="I89" s="11">
        <f>+VLOOKUP(G89,'PRECIO PROVEEDORES'!$A$2:$B$716,2,0)</f>
        <v>6000</v>
      </c>
      <c r="J89" s="12">
        <f t="shared" si="20"/>
        <v>240</v>
      </c>
      <c r="L89" s="13" t="s">
        <v>34</v>
      </c>
      <c r="M89" s="10">
        <v>0.01</v>
      </c>
      <c r="N89" s="11">
        <f>+VLOOKUP(L89,'PRECIO PROVEEDORES'!$A$2:$B$716,2,0)</f>
        <v>5917</v>
      </c>
      <c r="O89" s="12">
        <f t="shared" si="21"/>
        <v>59.17</v>
      </c>
      <c r="Q89" s="5"/>
      <c r="R89" s="7"/>
      <c r="S89" s="11"/>
      <c r="T89" s="12"/>
      <c r="V89" s="5"/>
      <c r="W89" s="7"/>
      <c r="X89" s="11"/>
      <c r="Y89" s="12"/>
      <c r="AA89" s="7" t="s">
        <v>102</v>
      </c>
      <c r="AB89" s="10">
        <v>0.05</v>
      </c>
      <c r="AC89" s="11">
        <f>+VLOOKUP(AA89,'PRECIO PROVEEDORES'!$A$2:$B$716,2,0)</f>
        <v>6130.5563999999995</v>
      </c>
      <c r="AD89" s="12">
        <f t="shared" si="24"/>
        <v>306.52781999999996</v>
      </c>
      <c r="AE89" s="37"/>
      <c r="AF89" s="13"/>
      <c r="AG89" s="10"/>
      <c r="AH89" s="11"/>
      <c r="AI89" s="12"/>
      <c r="AJ89" s="15"/>
      <c r="AK89" s="15"/>
      <c r="AL89" s="15"/>
      <c r="AM89" s="15"/>
      <c r="AN89" s="15"/>
      <c r="AO89" s="15"/>
      <c r="AP89" s="15"/>
      <c r="AQ89" s="15"/>
    </row>
    <row r="90" spans="2:43" ht="15.75" customHeight="1" x14ac:dyDescent="0.2">
      <c r="B90" s="13" t="s">
        <v>99</v>
      </c>
      <c r="C90" s="10">
        <v>0.03</v>
      </c>
      <c r="D90" s="11">
        <f>+VLOOKUP(B90,'PRECIO PROVEEDORES'!$A$2:$B$716,2,0)</f>
        <v>19455.208333333332</v>
      </c>
      <c r="E90" s="12">
        <f t="shared" si="19"/>
        <v>583.65624999999989</v>
      </c>
      <c r="G90" s="7" t="s">
        <v>156</v>
      </c>
      <c r="H90" s="7">
        <v>1</v>
      </c>
      <c r="I90" s="11">
        <f>+VLOOKUP(G90,'PRECIO PROVEEDORES'!$A$2:$B$716,2,0)</f>
        <v>155</v>
      </c>
      <c r="J90" s="12">
        <f t="shared" si="20"/>
        <v>155</v>
      </c>
      <c r="L90" s="7" t="s">
        <v>155</v>
      </c>
      <c r="M90" s="18">
        <v>0.5</v>
      </c>
      <c r="N90" s="11">
        <f>+VLOOKUP(L90,'PRECIO PROVEEDORES'!$A$2:$B$716,2,0)</f>
        <v>974</v>
      </c>
      <c r="O90" s="12">
        <f t="shared" si="21"/>
        <v>487</v>
      </c>
      <c r="Q90" s="5"/>
      <c r="R90" s="7"/>
      <c r="S90" s="11"/>
      <c r="T90" s="12"/>
      <c r="V90" s="5"/>
      <c r="W90" s="7"/>
      <c r="X90" s="11"/>
      <c r="Y90" s="12"/>
      <c r="AA90" s="39" t="s">
        <v>76</v>
      </c>
      <c r="AB90" s="10">
        <v>1.4999999999999999E-2</v>
      </c>
      <c r="AC90" s="11">
        <f>+VLOOKUP(AA90,'PRECIO PROVEEDORES'!$A$2:$B$716,2,0)</f>
        <v>16260</v>
      </c>
      <c r="AD90" s="12">
        <f t="shared" si="24"/>
        <v>243.89999999999998</v>
      </c>
      <c r="AE90" s="37"/>
      <c r="AF90" s="13"/>
      <c r="AG90" s="10"/>
      <c r="AH90" s="11"/>
      <c r="AI90" s="12"/>
      <c r="AJ90" s="15"/>
      <c r="AK90" s="15"/>
      <c r="AL90" s="15"/>
      <c r="AM90" s="15"/>
      <c r="AN90" s="15"/>
      <c r="AO90" s="15"/>
      <c r="AP90" s="15"/>
      <c r="AQ90" s="15"/>
    </row>
    <row r="91" spans="2:43" ht="15.75" customHeight="1" x14ac:dyDescent="0.2">
      <c r="B91" s="13" t="s">
        <v>118</v>
      </c>
      <c r="C91" s="10">
        <v>0.03</v>
      </c>
      <c r="D91" s="11">
        <f>+VLOOKUP(B91,'PRECIO PROVEEDORES'!$A$2:$B$716,2,0)</f>
        <v>5595</v>
      </c>
      <c r="E91" s="12">
        <f t="shared" si="19"/>
        <v>167.85</v>
      </c>
      <c r="G91" s="5"/>
      <c r="H91" s="7"/>
      <c r="I91" s="11"/>
      <c r="J91" s="12"/>
      <c r="L91" s="13"/>
      <c r="M91" s="10"/>
      <c r="N91" s="11"/>
      <c r="O91" s="12"/>
      <c r="Q91" s="5"/>
      <c r="R91" s="7"/>
      <c r="S91" s="11"/>
      <c r="T91" s="12"/>
      <c r="V91" s="5"/>
      <c r="W91" s="7"/>
      <c r="X91" s="11"/>
      <c r="Y91" s="12"/>
      <c r="AA91" s="7" t="s">
        <v>119</v>
      </c>
      <c r="AB91" s="10">
        <v>0.1</v>
      </c>
      <c r="AC91" s="11">
        <f>+VLOOKUP(AA91,'PRECIO PROVEEDORES'!$A$2:$B$716,2,0)</f>
        <v>4160</v>
      </c>
      <c r="AD91" s="12">
        <f t="shared" si="24"/>
        <v>416</v>
      </c>
      <c r="AE91" s="37"/>
      <c r="AF91" s="13"/>
      <c r="AG91" s="10"/>
      <c r="AH91" s="11"/>
      <c r="AI91" s="12"/>
      <c r="AJ91" s="15"/>
      <c r="AK91" s="15"/>
      <c r="AL91" s="15"/>
      <c r="AM91" s="15"/>
      <c r="AN91" s="15"/>
      <c r="AO91" s="15"/>
      <c r="AP91" s="15"/>
      <c r="AQ91" s="15"/>
    </row>
    <row r="92" spans="2:43" ht="15.75" customHeight="1" x14ac:dyDescent="0.2">
      <c r="B92" s="13" t="s">
        <v>120</v>
      </c>
      <c r="C92" s="10">
        <v>0.05</v>
      </c>
      <c r="D92" s="11">
        <f>+VLOOKUP(B92,'PRECIO PROVEEDORES'!$A$2:$B$716,2,0)</f>
        <v>2185</v>
      </c>
      <c r="E92" s="12">
        <f t="shared" si="19"/>
        <v>109.25</v>
      </c>
      <c r="G92" s="5"/>
      <c r="H92" s="7"/>
      <c r="I92" s="11"/>
      <c r="J92" s="12"/>
      <c r="L92" s="5"/>
      <c r="M92" s="7"/>
      <c r="N92" s="11"/>
      <c r="O92" s="12"/>
      <c r="Q92" s="5"/>
      <c r="R92" s="7"/>
      <c r="S92" s="11"/>
      <c r="T92" s="12"/>
      <c r="V92" s="5"/>
      <c r="W92" s="7"/>
      <c r="X92" s="11"/>
      <c r="Y92" s="12"/>
      <c r="AA92" s="7" t="s">
        <v>157</v>
      </c>
      <c r="AB92" s="7">
        <v>0.5</v>
      </c>
      <c r="AC92" s="11">
        <f>+VLOOKUP(AA92,'PRECIO PROVEEDORES'!$A$2:$B$716,2,0)</f>
        <v>86</v>
      </c>
      <c r="AD92" s="12">
        <f t="shared" si="24"/>
        <v>43</v>
      </c>
      <c r="AE92" s="37"/>
      <c r="AF92" s="7"/>
      <c r="AG92" s="7"/>
      <c r="AH92" s="11"/>
      <c r="AI92" s="12"/>
      <c r="AJ92" s="15"/>
      <c r="AK92" s="15"/>
      <c r="AL92" s="15"/>
      <c r="AM92" s="15"/>
      <c r="AN92" s="15"/>
      <c r="AO92" s="15"/>
      <c r="AP92" s="15"/>
      <c r="AQ92" s="15"/>
    </row>
    <row r="93" spans="2:43" ht="15.75" customHeight="1" x14ac:dyDescent="0.2">
      <c r="B93" s="7" t="s">
        <v>155</v>
      </c>
      <c r="C93" s="18">
        <v>0.5</v>
      </c>
      <c r="D93" s="11">
        <f>+VLOOKUP(B93,'PRECIO PROVEEDORES'!$A$2:$B$716,2,0)</f>
        <v>974</v>
      </c>
      <c r="E93" s="12">
        <f t="shared" si="19"/>
        <v>487</v>
      </c>
      <c r="G93" s="19"/>
      <c r="H93" s="7"/>
      <c r="I93" s="11"/>
      <c r="J93" s="12"/>
      <c r="L93" s="19"/>
      <c r="M93" s="7"/>
      <c r="N93" s="11"/>
      <c r="O93" s="12"/>
      <c r="Q93" s="19"/>
      <c r="R93" s="7"/>
      <c r="S93" s="11"/>
      <c r="T93" s="12"/>
      <c r="V93" s="19"/>
      <c r="W93" s="7"/>
      <c r="X93" s="11"/>
      <c r="Y93" s="12"/>
      <c r="AA93" s="19"/>
      <c r="AB93" s="7"/>
      <c r="AC93" s="11"/>
      <c r="AD93" s="12"/>
      <c r="AE93" s="37"/>
      <c r="AF93" s="19"/>
      <c r="AG93" s="7"/>
      <c r="AH93" s="11"/>
      <c r="AI93" s="12"/>
      <c r="AJ93" s="15"/>
      <c r="AK93" s="15"/>
      <c r="AL93" s="15"/>
      <c r="AM93" s="15"/>
      <c r="AN93" s="15"/>
      <c r="AO93" s="15"/>
      <c r="AP93" s="15"/>
      <c r="AQ93" s="15"/>
    </row>
    <row r="94" spans="2:43" ht="15.75" customHeight="1" x14ac:dyDescent="0.2">
      <c r="B94" s="7" t="s">
        <v>156</v>
      </c>
      <c r="C94" s="7">
        <v>0.5</v>
      </c>
      <c r="D94" s="11">
        <f>+VLOOKUP(B94,'PRECIO PROVEEDORES'!$A$2:$B$716,2,0)</f>
        <v>155</v>
      </c>
      <c r="E94" s="12">
        <f t="shared" si="19"/>
        <v>77.5</v>
      </c>
      <c r="G94" s="19"/>
      <c r="H94" s="7"/>
      <c r="I94" s="11"/>
      <c r="J94" s="12"/>
      <c r="L94" s="19"/>
      <c r="M94" s="7"/>
      <c r="N94" s="11"/>
      <c r="O94" s="12"/>
      <c r="Q94" s="19"/>
      <c r="R94" s="7"/>
      <c r="S94" s="11"/>
      <c r="T94" s="12"/>
      <c r="V94" s="19"/>
      <c r="W94" s="7"/>
      <c r="X94" s="11"/>
      <c r="Y94" s="12"/>
      <c r="AA94" s="19"/>
      <c r="AB94" s="7"/>
      <c r="AC94" s="11"/>
      <c r="AD94" s="12"/>
      <c r="AE94" s="37"/>
      <c r="AF94" s="19"/>
      <c r="AG94" s="7"/>
      <c r="AH94" s="11"/>
      <c r="AI94" s="12"/>
      <c r="AJ94" s="15"/>
      <c r="AK94" s="15"/>
      <c r="AL94" s="15"/>
      <c r="AM94" s="15"/>
      <c r="AN94" s="15"/>
      <c r="AO94" s="15"/>
      <c r="AP94" s="15"/>
      <c r="AQ94" s="15"/>
    </row>
    <row r="95" spans="2:43" ht="15.75" customHeight="1" x14ac:dyDescent="0.2">
      <c r="B95" s="19"/>
      <c r="C95" s="7"/>
      <c r="D95" s="11"/>
      <c r="E95" s="12"/>
      <c r="G95" s="19"/>
      <c r="H95" s="7"/>
      <c r="I95" s="11"/>
      <c r="J95" s="12"/>
      <c r="L95" s="19"/>
      <c r="M95" s="7"/>
      <c r="N95" s="11"/>
      <c r="O95" s="12"/>
      <c r="Q95" s="19"/>
      <c r="R95" s="7"/>
      <c r="S95" s="11"/>
      <c r="T95" s="12"/>
      <c r="V95" s="19"/>
      <c r="W95" s="7"/>
      <c r="X95" s="11"/>
      <c r="Y95" s="12"/>
      <c r="AA95" s="19"/>
      <c r="AB95" s="7"/>
      <c r="AC95" s="11"/>
      <c r="AD95" s="12"/>
      <c r="AE95" s="37"/>
      <c r="AF95" s="19"/>
      <c r="AG95" s="7"/>
      <c r="AH95" s="11"/>
      <c r="AI95" s="12"/>
      <c r="AJ95" s="15"/>
      <c r="AK95" s="15"/>
      <c r="AL95" s="15"/>
      <c r="AM95" s="15"/>
      <c r="AN95" s="15"/>
      <c r="AO95" s="15"/>
      <c r="AP95" s="15"/>
      <c r="AQ95" s="15"/>
    </row>
    <row r="96" spans="2:43" ht="15.75" customHeight="1" x14ac:dyDescent="0.2">
      <c r="B96" s="19"/>
      <c r="C96" s="7"/>
      <c r="D96" s="11"/>
      <c r="E96" s="12"/>
      <c r="G96" s="19"/>
      <c r="H96" s="7"/>
      <c r="I96" s="11"/>
      <c r="J96" s="12"/>
      <c r="L96" s="19"/>
      <c r="M96" s="7"/>
      <c r="N96" s="11"/>
      <c r="O96" s="12"/>
      <c r="Q96" s="19"/>
      <c r="R96" s="7"/>
      <c r="S96" s="11"/>
      <c r="T96" s="12"/>
      <c r="V96" s="19"/>
      <c r="W96" s="7"/>
      <c r="X96" s="11"/>
      <c r="Y96" s="12"/>
      <c r="AA96" s="19"/>
      <c r="AB96" s="7"/>
      <c r="AC96" s="11"/>
      <c r="AD96" s="12"/>
      <c r="AE96" s="37"/>
      <c r="AF96" s="19"/>
      <c r="AG96" s="7"/>
      <c r="AH96" s="11"/>
      <c r="AI96" s="12"/>
      <c r="AJ96" s="15"/>
      <c r="AK96" s="15"/>
      <c r="AL96" s="15"/>
      <c r="AM96" s="15"/>
      <c r="AN96" s="15"/>
      <c r="AO96" s="15"/>
      <c r="AP96" s="15"/>
      <c r="AQ96" s="15"/>
    </row>
    <row r="97" spans="2:43" ht="15.75" customHeight="1" x14ac:dyDescent="0.2">
      <c r="B97" s="5"/>
      <c r="C97" s="7"/>
      <c r="D97" s="11"/>
      <c r="E97" s="12"/>
      <c r="G97" s="5"/>
      <c r="H97" s="7"/>
      <c r="I97" s="11"/>
      <c r="J97" s="12"/>
      <c r="L97" s="5"/>
      <c r="M97" s="7"/>
      <c r="N97" s="11"/>
      <c r="O97" s="12"/>
      <c r="Q97" s="5"/>
      <c r="R97" s="7"/>
      <c r="S97" s="11"/>
      <c r="T97" s="12"/>
      <c r="V97" s="5"/>
      <c r="W97" s="7"/>
      <c r="X97" s="11"/>
      <c r="Y97" s="12"/>
      <c r="AA97" s="5"/>
      <c r="AB97" s="7"/>
      <c r="AC97" s="11"/>
      <c r="AD97" s="12"/>
      <c r="AE97" s="37"/>
      <c r="AF97" s="5"/>
      <c r="AG97" s="7"/>
      <c r="AH97" s="11"/>
      <c r="AI97" s="12"/>
      <c r="AJ97" s="15"/>
      <c r="AK97" s="15"/>
      <c r="AL97" s="15"/>
      <c r="AM97" s="15"/>
      <c r="AN97" s="15"/>
      <c r="AO97" s="15"/>
      <c r="AP97" s="15"/>
      <c r="AQ97" s="15"/>
    </row>
    <row r="98" spans="2:43" ht="15.75" customHeight="1" x14ac:dyDescent="0.2">
      <c r="B98" s="5"/>
      <c r="C98" s="7"/>
      <c r="D98" s="11"/>
      <c r="E98" s="12"/>
      <c r="G98" s="5"/>
      <c r="H98" s="7"/>
      <c r="I98" s="11"/>
      <c r="J98" s="12"/>
      <c r="L98" s="5"/>
      <c r="M98" s="7"/>
      <c r="N98" s="11"/>
      <c r="O98" s="12"/>
      <c r="Q98" s="5"/>
      <c r="R98" s="7"/>
      <c r="S98" s="11"/>
      <c r="T98" s="12"/>
      <c r="V98" s="5"/>
      <c r="W98" s="7"/>
      <c r="X98" s="11"/>
      <c r="Y98" s="12"/>
      <c r="AA98" s="5"/>
      <c r="AB98" s="7"/>
      <c r="AC98" s="11"/>
      <c r="AD98" s="12"/>
      <c r="AE98" s="15"/>
      <c r="AF98" s="5"/>
      <c r="AG98" s="7"/>
      <c r="AH98" s="11"/>
      <c r="AI98" s="12"/>
      <c r="AJ98" s="15"/>
      <c r="AK98" s="15"/>
      <c r="AL98" s="15"/>
      <c r="AM98" s="15"/>
      <c r="AN98" s="15"/>
      <c r="AO98" s="15"/>
      <c r="AP98" s="15"/>
      <c r="AQ98" s="15"/>
    </row>
    <row r="99" spans="2:43" ht="15.75" customHeight="1" x14ac:dyDescent="0.2">
      <c r="B99" s="5"/>
      <c r="C99" s="7"/>
      <c r="D99" s="11"/>
      <c r="E99" s="12"/>
      <c r="G99" s="5"/>
      <c r="H99" s="7"/>
      <c r="I99" s="11"/>
      <c r="J99" s="12"/>
      <c r="L99" s="5"/>
      <c r="M99" s="7"/>
      <c r="N99" s="11"/>
      <c r="O99" s="12"/>
      <c r="Q99" s="5"/>
      <c r="R99" s="7"/>
      <c r="S99" s="11"/>
      <c r="T99" s="12"/>
      <c r="V99" s="5"/>
      <c r="W99" s="7"/>
      <c r="X99" s="11"/>
      <c r="Y99" s="12"/>
      <c r="AA99" s="5"/>
      <c r="AB99" s="7"/>
      <c r="AC99" s="11"/>
      <c r="AD99" s="12"/>
      <c r="AE99" s="15"/>
      <c r="AF99" s="5"/>
      <c r="AG99" s="7"/>
      <c r="AH99" s="11"/>
      <c r="AI99" s="12"/>
      <c r="AJ99" s="15"/>
      <c r="AK99" s="15"/>
      <c r="AL99" s="15"/>
      <c r="AM99" s="15"/>
      <c r="AN99" s="15"/>
      <c r="AO99" s="15"/>
      <c r="AP99" s="15"/>
      <c r="AQ99" s="15"/>
    </row>
    <row r="100" spans="2:43" ht="15.75" customHeight="1" x14ac:dyDescent="0.2">
      <c r="B100" s="21" t="s">
        <v>52</v>
      </c>
      <c r="C100" s="22"/>
      <c r="D100" s="23"/>
      <c r="E100" s="24">
        <f>SUM(E85:E99)</f>
        <v>3719.1512499999999</v>
      </c>
      <c r="G100" s="21" t="s">
        <v>52</v>
      </c>
      <c r="H100" s="22"/>
      <c r="I100" s="23"/>
      <c r="J100" s="24">
        <f>SUM(J85:J99)</f>
        <v>3550.8999999999996</v>
      </c>
      <c r="L100" s="21" t="s">
        <v>52</v>
      </c>
      <c r="M100" s="22"/>
      <c r="N100" s="23"/>
      <c r="O100" s="24">
        <f>SUM(O85:O99)</f>
        <v>4565.8859466666672</v>
      </c>
      <c r="Q100" s="21" t="s">
        <v>52</v>
      </c>
      <c r="R100" s="22"/>
      <c r="S100" s="23"/>
      <c r="T100" s="24">
        <f>SUM(T85:T99)</f>
        <v>3193.49</v>
      </c>
      <c r="V100" s="21" t="s">
        <v>52</v>
      </c>
      <c r="W100" s="22"/>
      <c r="X100" s="23"/>
      <c r="Y100" s="24">
        <f>SUM(Y85:Y99)</f>
        <v>2351.0100000000002</v>
      </c>
      <c r="AA100" s="21" t="s">
        <v>52</v>
      </c>
      <c r="AB100" s="22"/>
      <c r="AC100" s="23"/>
      <c r="AD100" s="24">
        <f>SUM(AD85:AD99)</f>
        <v>4170.0684199999996</v>
      </c>
      <c r="AE100" s="25"/>
      <c r="AF100" s="21" t="s">
        <v>52</v>
      </c>
      <c r="AG100" s="22"/>
      <c r="AH100" s="23"/>
      <c r="AI100" s="24">
        <f>SUM(AI85:AI99)</f>
        <v>2882.2956800000002</v>
      </c>
      <c r="AJ100" s="25"/>
      <c r="AK100" s="25"/>
      <c r="AL100" s="25"/>
      <c r="AM100" s="25"/>
      <c r="AN100" s="25"/>
      <c r="AO100" s="25"/>
      <c r="AP100" s="25"/>
      <c r="AQ100" s="25"/>
    </row>
    <row r="101" spans="2:43" ht="15.75" customHeight="1" x14ac:dyDescent="0.2">
      <c r="B101" s="19" t="s">
        <v>53</v>
      </c>
      <c r="C101" s="27"/>
      <c r="D101" s="28"/>
      <c r="E101" s="29">
        <f>SUM(E100)</f>
        <v>3719.1512499999999</v>
      </c>
      <c r="G101" s="19" t="s">
        <v>53</v>
      </c>
      <c r="H101" s="27"/>
      <c r="I101" s="28"/>
      <c r="J101" s="29">
        <f>SUM(J100)</f>
        <v>3550.8999999999996</v>
      </c>
      <c r="L101" s="19" t="s">
        <v>53</v>
      </c>
      <c r="M101" s="27"/>
      <c r="N101" s="28"/>
      <c r="O101" s="29">
        <f>SUM(O100)</f>
        <v>4565.8859466666672</v>
      </c>
      <c r="Q101" s="19" t="s">
        <v>53</v>
      </c>
      <c r="R101" s="27"/>
      <c r="S101" s="28"/>
      <c r="T101" s="29">
        <f>SUM(T100)</f>
        <v>3193.49</v>
      </c>
      <c r="V101" s="19" t="s">
        <v>53</v>
      </c>
      <c r="W101" s="27"/>
      <c r="X101" s="28"/>
      <c r="Y101" s="29">
        <f>SUM(Y100)</f>
        <v>2351.0100000000002</v>
      </c>
      <c r="AA101" s="19" t="s">
        <v>53</v>
      </c>
      <c r="AB101" s="27"/>
      <c r="AC101" s="28"/>
      <c r="AD101" s="29">
        <f>SUM(AD100)</f>
        <v>4170.0684199999996</v>
      </c>
      <c r="AE101" s="30"/>
      <c r="AF101" s="19" t="s">
        <v>53</v>
      </c>
      <c r="AG101" s="27"/>
      <c r="AH101" s="28"/>
      <c r="AI101" s="29">
        <f>SUM(AI100)</f>
        <v>2882.2956800000002</v>
      </c>
      <c r="AJ101" s="30"/>
      <c r="AK101" s="30"/>
      <c r="AL101" s="30"/>
      <c r="AM101" s="30"/>
      <c r="AN101" s="30"/>
      <c r="AO101" s="30"/>
      <c r="AP101" s="30"/>
      <c r="AQ101" s="30"/>
    </row>
    <row r="102" spans="2:43" ht="15.75" customHeight="1" x14ac:dyDescent="0.2">
      <c r="B102" s="19" t="s">
        <v>54</v>
      </c>
      <c r="C102" s="27"/>
      <c r="D102" s="28"/>
      <c r="E102" s="29">
        <f>+E101</f>
        <v>3719.1512499999999</v>
      </c>
      <c r="G102" s="19" t="s">
        <v>54</v>
      </c>
      <c r="H102" s="27"/>
      <c r="I102" s="28"/>
      <c r="J102" s="29">
        <f>+J101</f>
        <v>3550.8999999999996</v>
      </c>
      <c r="L102" s="19" t="s">
        <v>54</v>
      </c>
      <c r="M102" s="27"/>
      <c r="N102" s="28"/>
      <c r="O102" s="29">
        <f>+O101</f>
        <v>4565.8859466666672</v>
      </c>
      <c r="Q102" s="19" t="s">
        <v>54</v>
      </c>
      <c r="R102" s="27"/>
      <c r="S102" s="28"/>
      <c r="T102" s="29">
        <f>+T101</f>
        <v>3193.49</v>
      </c>
      <c r="V102" s="19" t="s">
        <v>54</v>
      </c>
      <c r="W102" s="27"/>
      <c r="X102" s="28"/>
      <c r="Y102" s="29">
        <f>+Y101</f>
        <v>2351.0100000000002</v>
      </c>
      <c r="AA102" s="19" t="s">
        <v>54</v>
      </c>
      <c r="AB102" s="27"/>
      <c r="AC102" s="28"/>
      <c r="AD102" s="29">
        <f>+AD101</f>
        <v>4170.0684199999996</v>
      </c>
      <c r="AE102" s="30"/>
      <c r="AF102" s="19" t="s">
        <v>54</v>
      </c>
      <c r="AG102" s="27"/>
      <c r="AH102" s="28"/>
      <c r="AI102" s="29">
        <f>+AI101</f>
        <v>2882.2956800000002</v>
      </c>
      <c r="AJ102" s="30"/>
      <c r="AK102" s="30"/>
      <c r="AL102" s="30"/>
      <c r="AM102" s="30"/>
      <c r="AN102" s="30"/>
      <c r="AO102" s="30"/>
      <c r="AP102" s="30"/>
      <c r="AQ102" s="30"/>
    </row>
    <row r="103" spans="2:43" ht="15.75" customHeight="1" x14ac:dyDescent="0.2">
      <c r="B103" s="19" t="s">
        <v>55</v>
      </c>
      <c r="C103" s="27"/>
      <c r="D103" s="31">
        <v>0.3</v>
      </c>
      <c r="E103" s="29"/>
      <c r="G103" s="19" t="s">
        <v>55</v>
      </c>
      <c r="H103" s="27"/>
      <c r="I103" s="31">
        <v>0.3</v>
      </c>
      <c r="J103" s="29"/>
      <c r="L103" s="19" t="s">
        <v>55</v>
      </c>
      <c r="M103" s="27"/>
      <c r="N103" s="31">
        <v>0.3</v>
      </c>
      <c r="O103" s="29"/>
      <c r="Q103" s="19" t="s">
        <v>55</v>
      </c>
      <c r="R103" s="27"/>
      <c r="S103" s="31">
        <v>0.3</v>
      </c>
      <c r="T103" s="29"/>
      <c r="V103" s="19" t="s">
        <v>55</v>
      </c>
      <c r="W103" s="27"/>
      <c r="X103" s="31">
        <v>0.3</v>
      </c>
      <c r="Y103" s="29"/>
      <c r="AA103" s="19" t="s">
        <v>55</v>
      </c>
      <c r="AB103" s="27"/>
      <c r="AC103" s="31">
        <v>0.3</v>
      </c>
      <c r="AD103" s="29"/>
      <c r="AE103" s="30"/>
      <c r="AF103" s="19" t="s">
        <v>55</v>
      </c>
      <c r="AG103" s="27"/>
      <c r="AH103" s="31">
        <v>0.3</v>
      </c>
      <c r="AI103" s="29"/>
      <c r="AJ103" s="30"/>
      <c r="AK103" s="30"/>
      <c r="AL103" s="30"/>
      <c r="AM103" s="30"/>
      <c r="AN103" s="30"/>
      <c r="AO103" s="30"/>
      <c r="AP103" s="30"/>
      <c r="AQ103" s="30"/>
    </row>
    <row r="104" spans="2:43" ht="15.75" customHeight="1" x14ac:dyDescent="0.2">
      <c r="B104" s="19" t="s">
        <v>56</v>
      </c>
      <c r="C104" s="27"/>
      <c r="D104" s="31"/>
      <c r="E104" s="29">
        <f>+E102*3.33333333333333</f>
        <v>12397.170833333321</v>
      </c>
      <c r="G104" s="19" t="s">
        <v>56</v>
      </c>
      <c r="H104" s="27"/>
      <c r="I104" s="31"/>
      <c r="J104" s="29">
        <f>+J102*3.33333333333333</f>
        <v>11836.333333333319</v>
      </c>
      <c r="L104" s="19" t="s">
        <v>56</v>
      </c>
      <c r="M104" s="27"/>
      <c r="N104" s="31"/>
      <c r="O104" s="29">
        <f>+O102*3.33333333333333</f>
        <v>15219.619822222208</v>
      </c>
      <c r="Q104" s="19" t="s">
        <v>56</v>
      </c>
      <c r="R104" s="27"/>
      <c r="S104" s="31"/>
      <c r="T104" s="29">
        <f>+T102*3.33333333333333</f>
        <v>10644.966666666654</v>
      </c>
      <c r="V104" s="19" t="s">
        <v>56</v>
      </c>
      <c r="W104" s="27"/>
      <c r="X104" s="31"/>
      <c r="Y104" s="29">
        <f>+Y102*3.33333333333333</f>
        <v>7836.6999999999925</v>
      </c>
      <c r="AA104" s="19" t="s">
        <v>56</v>
      </c>
      <c r="AB104" s="27"/>
      <c r="AC104" s="31"/>
      <c r="AD104" s="29">
        <f>+AD102*3.33333333333333</f>
        <v>13900.228066666652</v>
      </c>
      <c r="AE104" s="30"/>
      <c r="AF104" s="19" t="s">
        <v>56</v>
      </c>
      <c r="AG104" s="27"/>
      <c r="AH104" s="31"/>
      <c r="AI104" s="29">
        <f>+AI102*3.33333333333333</f>
        <v>9607.6522666666569</v>
      </c>
      <c r="AJ104" s="30"/>
      <c r="AK104" s="30"/>
      <c r="AL104" s="30"/>
      <c r="AM104" s="30"/>
      <c r="AN104" s="30"/>
      <c r="AO104" s="30"/>
      <c r="AP104" s="30"/>
      <c r="AQ104" s="30"/>
    </row>
    <row r="105" spans="2:43" ht="15.75" customHeight="1" x14ac:dyDescent="0.2">
      <c r="B105" s="19" t="s">
        <v>158</v>
      </c>
      <c r="C105" s="27">
        <v>13000</v>
      </c>
      <c r="D105" s="43">
        <v>0.35</v>
      </c>
      <c r="E105" s="29">
        <v>17550</v>
      </c>
      <c r="G105" s="19" t="s">
        <v>158</v>
      </c>
      <c r="H105" s="27">
        <v>12000</v>
      </c>
      <c r="I105" s="43">
        <v>0.35</v>
      </c>
      <c r="J105" s="29">
        <v>16200</v>
      </c>
      <c r="L105" s="19" t="s">
        <v>158</v>
      </c>
      <c r="M105" s="27">
        <v>16000</v>
      </c>
      <c r="N105" s="43">
        <v>0.35</v>
      </c>
      <c r="O105" s="29">
        <v>21600</v>
      </c>
      <c r="Q105" s="19" t="s">
        <v>158</v>
      </c>
      <c r="R105" s="27">
        <v>11200</v>
      </c>
      <c r="S105" s="43">
        <v>0.35</v>
      </c>
      <c r="T105" s="29">
        <v>15200</v>
      </c>
      <c r="V105" s="19" t="s">
        <v>158</v>
      </c>
      <c r="W105" s="27">
        <v>11200</v>
      </c>
      <c r="X105" s="43">
        <v>0.35</v>
      </c>
      <c r="Y105" s="29">
        <v>15000</v>
      </c>
      <c r="AA105" s="19" t="s">
        <v>158</v>
      </c>
      <c r="AB105" s="27">
        <v>15000</v>
      </c>
      <c r="AC105" s="43">
        <v>0.35</v>
      </c>
      <c r="AD105" s="29">
        <v>20250</v>
      </c>
      <c r="AE105" s="30"/>
      <c r="AF105" s="19" t="s">
        <v>158</v>
      </c>
      <c r="AG105" s="27">
        <v>10000</v>
      </c>
      <c r="AH105" s="43">
        <v>0.35</v>
      </c>
      <c r="AI105" s="29">
        <v>13500</v>
      </c>
      <c r="AJ105" s="30"/>
      <c r="AK105" s="30"/>
      <c r="AL105" s="30"/>
      <c r="AM105" s="30"/>
      <c r="AN105" s="30"/>
      <c r="AO105" s="30"/>
      <c r="AP105" s="30"/>
      <c r="AQ105" s="30"/>
    </row>
    <row r="106" spans="2:43" ht="15.75" customHeight="1" x14ac:dyDescent="0.2">
      <c r="B106" s="19"/>
      <c r="C106" s="27"/>
      <c r="D106" s="28"/>
      <c r="E106" s="24">
        <f>+E105-E104</f>
        <v>5152.8291666666792</v>
      </c>
      <c r="G106" s="19"/>
      <c r="H106" s="27"/>
      <c r="I106" s="28"/>
      <c r="J106" s="24">
        <f>+J105-J104</f>
        <v>4363.6666666666806</v>
      </c>
      <c r="L106" s="19"/>
      <c r="M106" s="27"/>
      <c r="N106" s="28"/>
      <c r="O106" s="24">
        <f>+O105-O104</f>
        <v>6380.3801777777917</v>
      </c>
      <c r="Q106" s="19"/>
      <c r="R106" s="27"/>
      <c r="S106" s="28"/>
      <c r="T106" s="24">
        <f>+T105-T104</f>
        <v>4555.0333333333456</v>
      </c>
      <c r="V106" s="19"/>
      <c r="W106" s="27"/>
      <c r="X106" s="28"/>
      <c r="Y106" s="24">
        <f>+Y105-Y104</f>
        <v>7163.3000000000075</v>
      </c>
      <c r="AA106" s="19"/>
      <c r="AB106" s="27"/>
      <c r="AC106" s="28"/>
      <c r="AD106" s="24">
        <f>+AD105-AD104</f>
        <v>6349.771933333348</v>
      </c>
      <c r="AE106" s="25"/>
      <c r="AF106" s="19"/>
      <c r="AG106" s="27"/>
      <c r="AH106" s="28"/>
      <c r="AI106" s="24">
        <f>+AI105-AI104</f>
        <v>3892.3477333333431</v>
      </c>
      <c r="AJ106" s="25"/>
      <c r="AK106" s="25"/>
      <c r="AL106" s="25"/>
      <c r="AM106" s="25"/>
      <c r="AN106" s="25"/>
      <c r="AO106" s="25"/>
      <c r="AP106" s="25"/>
      <c r="AQ106" s="25"/>
    </row>
    <row r="107" spans="2:43" ht="15.75" customHeight="1" x14ac:dyDescent="0.2">
      <c r="B107" s="32" t="s">
        <v>58</v>
      </c>
      <c r="C107" s="33"/>
      <c r="D107" s="33"/>
      <c r="E107" s="34">
        <f>E102/E105</f>
        <v>0.21191745014245014</v>
      </c>
      <c r="G107" s="32" t="s">
        <v>58</v>
      </c>
      <c r="H107" s="33"/>
      <c r="I107" s="33"/>
      <c r="J107" s="34">
        <f>J102/J105</f>
        <v>0.21919135802469134</v>
      </c>
      <c r="L107" s="32" t="s">
        <v>58</v>
      </c>
      <c r="M107" s="33"/>
      <c r="N107" s="33"/>
      <c r="O107" s="34">
        <f>O102/O105</f>
        <v>0.21138360864197533</v>
      </c>
      <c r="Q107" s="32" t="s">
        <v>58</v>
      </c>
      <c r="R107" s="33"/>
      <c r="S107" s="33"/>
      <c r="T107" s="34">
        <f>T102/T105</f>
        <v>0.21009802631578947</v>
      </c>
      <c r="V107" s="32" t="s">
        <v>58</v>
      </c>
      <c r="W107" s="33"/>
      <c r="X107" s="33"/>
      <c r="Y107" s="34">
        <f>Y102/Y105</f>
        <v>0.15673400000000001</v>
      </c>
      <c r="AA107" s="32" t="s">
        <v>58</v>
      </c>
      <c r="AB107" s="33"/>
      <c r="AC107" s="33"/>
      <c r="AD107" s="34">
        <f>AD102/AD105</f>
        <v>0.20592930469135801</v>
      </c>
      <c r="AE107" s="35"/>
      <c r="AF107" s="32" t="s">
        <v>58</v>
      </c>
      <c r="AG107" s="33"/>
      <c r="AH107" s="33"/>
      <c r="AI107" s="34">
        <f>AI102/AI105</f>
        <v>0.21350338370370373</v>
      </c>
      <c r="AJ107" s="35"/>
      <c r="AK107" s="35"/>
      <c r="AL107" s="35"/>
      <c r="AM107" s="35"/>
      <c r="AN107" s="35"/>
      <c r="AO107" s="35"/>
      <c r="AP107" s="35"/>
      <c r="AQ107" s="35"/>
    </row>
    <row r="108" spans="2:43" ht="15.75" customHeight="1" x14ac:dyDescent="0.15">
      <c r="AE108" s="3"/>
      <c r="AF108" s="3"/>
      <c r="AG108" s="3"/>
      <c r="AH108" s="3"/>
      <c r="AI108" s="3"/>
      <c r="AJ108" s="3"/>
      <c r="AK108" s="3"/>
      <c r="AL108" s="3"/>
      <c r="AM108" s="3"/>
      <c r="AN108" s="3"/>
      <c r="AO108" s="3"/>
      <c r="AP108" s="3"/>
      <c r="AQ108" s="3"/>
    </row>
    <row r="109" spans="2:43" ht="15.75" customHeight="1" x14ac:dyDescent="0.15">
      <c r="AE109" s="3"/>
      <c r="AF109" s="3"/>
      <c r="AG109" s="3"/>
      <c r="AH109" s="3"/>
      <c r="AI109" s="3"/>
      <c r="AJ109" s="3"/>
      <c r="AK109" s="3"/>
      <c r="AL109" s="3"/>
      <c r="AM109" s="3"/>
      <c r="AN109" s="3"/>
      <c r="AO109" s="3"/>
      <c r="AP109" s="3"/>
      <c r="AQ109" s="3"/>
    </row>
    <row r="110" spans="2:43" ht="15.75" customHeight="1" x14ac:dyDescent="0.2">
      <c r="B110" s="218" t="s">
        <v>123</v>
      </c>
      <c r="C110" s="213"/>
      <c r="D110" s="213"/>
      <c r="E110" s="214"/>
      <c r="G110" s="218" t="s">
        <v>124</v>
      </c>
      <c r="H110" s="213"/>
      <c r="I110" s="213"/>
      <c r="J110" s="214"/>
      <c r="L110" s="212" t="s">
        <v>125</v>
      </c>
      <c r="M110" s="213"/>
      <c r="N110" s="213"/>
      <c r="O110" s="214"/>
      <c r="Q110" s="212" t="s">
        <v>126</v>
      </c>
      <c r="R110" s="213"/>
      <c r="S110" s="213"/>
      <c r="T110" s="214"/>
      <c r="V110" s="212" t="s">
        <v>127</v>
      </c>
      <c r="W110" s="213"/>
      <c r="X110" s="213"/>
      <c r="Y110" s="214"/>
      <c r="AA110" s="212" t="s">
        <v>142</v>
      </c>
      <c r="AB110" s="213"/>
      <c r="AC110" s="213"/>
      <c r="AD110" s="214"/>
      <c r="AF110" s="212" t="s">
        <v>141</v>
      </c>
      <c r="AG110" s="213"/>
      <c r="AH110" s="213"/>
      <c r="AI110" s="214"/>
      <c r="AJ110" s="3"/>
      <c r="AK110" s="3"/>
      <c r="AL110" s="3"/>
      <c r="AM110" s="3"/>
      <c r="AN110" s="3"/>
      <c r="AO110" s="3"/>
      <c r="AP110" s="3"/>
      <c r="AQ110" s="3"/>
    </row>
    <row r="111" spans="2:43" ht="15.75" customHeight="1" x14ac:dyDescent="0.2">
      <c r="B111" s="64"/>
      <c r="C111" s="65" t="s">
        <v>8</v>
      </c>
      <c r="D111" s="7" t="s">
        <v>9</v>
      </c>
      <c r="E111" s="8" t="s">
        <v>10</v>
      </c>
      <c r="F111" s="2"/>
      <c r="G111" s="64"/>
      <c r="H111" s="65" t="s">
        <v>8</v>
      </c>
      <c r="I111" s="7" t="s">
        <v>9</v>
      </c>
      <c r="J111" s="8" t="s">
        <v>10</v>
      </c>
      <c r="L111" s="5"/>
      <c r="M111" s="6" t="s">
        <v>8</v>
      </c>
      <c r="N111" s="7" t="s">
        <v>9</v>
      </c>
      <c r="O111" s="8" t="s">
        <v>10</v>
      </c>
      <c r="Q111" s="5"/>
      <c r="R111" s="6" t="s">
        <v>8</v>
      </c>
      <c r="S111" s="7" t="s">
        <v>9</v>
      </c>
      <c r="T111" s="8" t="s">
        <v>10</v>
      </c>
      <c r="V111" s="5"/>
      <c r="W111" s="6" t="s">
        <v>8</v>
      </c>
      <c r="X111" s="7" t="s">
        <v>9</v>
      </c>
      <c r="Y111" s="8" t="s">
        <v>10</v>
      </c>
      <c r="AA111" s="5"/>
      <c r="AB111" s="6" t="s">
        <v>8</v>
      </c>
      <c r="AC111" s="7" t="s">
        <v>9</v>
      </c>
      <c r="AD111" s="8" t="s">
        <v>10</v>
      </c>
      <c r="AF111" s="5"/>
      <c r="AG111" s="6" t="s">
        <v>8</v>
      </c>
      <c r="AH111" s="7" t="s">
        <v>9</v>
      </c>
      <c r="AI111" s="8" t="s">
        <v>10</v>
      </c>
      <c r="AJ111" s="3"/>
      <c r="AK111" s="3"/>
      <c r="AL111" s="3"/>
      <c r="AM111" s="3"/>
      <c r="AN111" s="3"/>
      <c r="AO111" s="3"/>
      <c r="AP111" s="3"/>
      <c r="AQ111" s="3"/>
    </row>
    <row r="112" spans="2:43" ht="15.75" customHeight="1" x14ac:dyDescent="0.2">
      <c r="B112" s="66" t="s">
        <v>129</v>
      </c>
      <c r="C112" s="10">
        <v>1</v>
      </c>
      <c r="D112" s="67">
        <f>+VLOOKUP(B112,'PRECIO PROVEEDORES'!$A$2:$B$716,2,0)</f>
        <v>447.7276</v>
      </c>
      <c r="E112" s="12">
        <f t="shared" ref="E112:E115" si="26">+C112*D112</f>
        <v>447.7276</v>
      </c>
      <c r="G112" s="66" t="s">
        <v>129</v>
      </c>
      <c r="H112" s="10">
        <v>1</v>
      </c>
      <c r="I112" s="67">
        <f>+VLOOKUP(G112,'PRECIO PROVEEDORES'!$A$2:$B$716,2,0)</f>
        <v>447.7276</v>
      </c>
      <c r="J112" s="12">
        <f t="shared" ref="J112:J116" si="27">+H112*I112</f>
        <v>447.7276</v>
      </c>
      <c r="L112" s="7" t="s">
        <v>130</v>
      </c>
      <c r="M112" s="10">
        <v>0.14000000000000001</v>
      </c>
      <c r="N112" s="11">
        <f>+VLOOKUP(L112,'PRECIO PROVEEDORES'!$A$2:$B$716,2,0)</f>
        <v>15378.580952380953</v>
      </c>
      <c r="O112" s="12">
        <f t="shared" ref="O112:O120" si="28">+M112*N112</f>
        <v>2153.0013333333336</v>
      </c>
      <c r="Q112" s="13" t="s">
        <v>20</v>
      </c>
      <c r="R112" s="10">
        <v>0.15</v>
      </c>
      <c r="S112" s="11">
        <f>+VLOOKUP(Q112,'PRECIO PROVEEDORES'!$A$2:$B$716,2,0)</f>
        <v>7700</v>
      </c>
      <c r="T112" s="12">
        <f t="shared" ref="T112:T123" si="29">+R112*S112</f>
        <v>1155</v>
      </c>
      <c r="V112" s="7" t="s">
        <v>112</v>
      </c>
      <c r="W112" s="10">
        <v>2</v>
      </c>
      <c r="X112" s="11">
        <f>+VLOOKUP(V112,'PRECIO PROVEEDORES'!$A$2:$B$716,2,0)</f>
        <v>1100</v>
      </c>
      <c r="Y112" s="12">
        <f t="shared" ref="Y112:Y119" si="30">+W112*X112</f>
        <v>2200</v>
      </c>
      <c r="AA112" s="13" t="s">
        <v>146</v>
      </c>
      <c r="AB112" s="10">
        <v>0.25</v>
      </c>
      <c r="AC112" s="11">
        <f>+VLOOKUP(AA112,'PRECIO PROVEEDORES'!$A$2:$B$716,2,0)</f>
        <v>9771</v>
      </c>
      <c r="AD112" s="12">
        <f t="shared" ref="AD112:AD122" si="31">+AB112*AC112</f>
        <v>2442.75</v>
      </c>
      <c r="AF112" s="13" t="s">
        <v>145</v>
      </c>
      <c r="AG112" s="10">
        <v>0.09</v>
      </c>
      <c r="AH112" s="11">
        <f>+VLOOKUP(AF112,'PRECIO PROVEEDORES'!$A$2:$B$716,2,0)</f>
        <v>5953.4142857142861</v>
      </c>
      <c r="AI112" s="12">
        <f t="shared" ref="AI112:AI124" si="32">+AG112*AH112</f>
        <v>535.80728571428574</v>
      </c>
      <c r="AJ112" s="3"/>
      <c r="AK112" s="3"/>
      <c r="AL112" s="3"/>
      <c r="AM112" s="3"/>
      <c r="AN112" s="3"/>
      <c r="AO112" s="3"/>
      <c r="AP112" s="3"/>
      <c r="AQ112" s="3"/>
    </row>
    <row r="113" spans="2:43" ht="15.75" customHeight="1" x14ac:dyDescent="0.2">
      <c r="B113" s="7" t="s">
        <v>28</v>
      </c>
      <c r="C113" s="10">
        <v>7.0000000000000007E-2</v>
      </c>
      <c r="D113" s="67">
        <f>+VLOOKUP(B113,'PRECIO PROVEEDORES'!$A$2:$B$716,2,0)</f>
        <v>10697</v>
      </c>
      <c r="E113" s="12">
        <f t="shared" si="26"/>
        <v>748.79000000000008</v>
      </c>
      <c r="G113" s="7" t="s">
        <v>28</v>
      </c>
      <c r="H113" s="10">
        <v>7.0000000000000007E-2</v>
      </c>
      <c r="I113" s="67">
        <f>+VLOOKUP(G113,'PRECIO PROVEEDORES'!$A$2:$B$716,2,0)</f>
        <v>10697</v>
      </c>
      <c r="J113" s="12">
        <f t="shared" si="27"/>
        <v>748.79000000000008</v>
      </c>
      <c r="L113" s="38" t="s">
        <v>132</v>
      </c>
      <c r="M113" s="10">
        <v>0.1</v>
      </c>
      <c r="N113" s="11">
        <f>+VLOOKUP(L113,'PRECIO PROVEEDORES'!$A$2:$B$716,2,0)</f>
        <v>17376</v>
      </c>
      <c r="O113" s="12">
        <f t="shared" si="28"/>
        <v>1737.6000000000001</v>
      </c>
      <c r="Q113" s="7" t="s">
        <v>133</v>
      </c>
      <c r="R113" s="10">
        <v>0.05</v>
      </c>
      <c r="S113" s="11">
        <f>+VLOOKUP(Q113,'PRECIO PROVEEDORES'!$A$2:$B$716,2,0)</f>
        <v>2025</v>
      </c>
      <c r="T113" s="12">
        <f t="shared" si="29"/>
        <v>101.25</v>
      </c>
      <c r="V113" s="20" t="s">
        <v>134</v>
      </c>
      <c r="W113" s="10">
        <v>0.31</v>
      </c>
      <c r="X113" s="11">
        <f>+VLOOKUP(V113,'PRECIO PROVEEDORES'!$A$2:$B$716,2,0)</f>
        <v>11952.354838709678</v>
      </c>
      <c r="Y113" s="12">
        <f t="shared" si="30"/>
        <v>3705.23</v>
      </c>
      <c r="AA113" s="13" t="s">
        <v>28</v>
      </c>
      <c r="AB113" s="10">
        <v>0.13</v>
      </c>
      <c r="AC113" s="11">
        <f>+VLOOKUP(AA113,'PRECIO PROVEEDORES'!$A$2:$B$716,2,0)</f>
        <v>10697</v>
      </c>
      <c r="AD113" s="12">
        <f t="shared" si="31"/>
        <v>1390.6100000000001</v>
      </c>
      <c r="AF113" s="13" t="s">
        <v>104</v>
      </c>
      <c r="AG113" s="10">
        <v>0.15</v>
      </c>
      <c r="AH113" s="11">
        <f>+VLOOKUP(AF113,'PRECIO PROVEEDORES'!$A$2:$B$716,2,0)</f>
        <v>2972.2272727272725</v>
      </c>
      <c r="AI113" s="12">
        <f t="shared" si="32"/>
        <v>445.83409090909089</v>
      </c>
      <c r="AJ113" s="3"/>
      <c r="AK113" s="3"/>
      <c r="AL113" s="3"/>
      <c r="AM113" s="3"/>
      <c r="AN113" s="3"/>
      <c r="AO113" s="3"/>
      <c r="AP113" s="3"/>
      <c r="AQ113" s="3"/>
    </row>
    <row r="114" spans="2:43" ht="15.75" customHeight="1" x14ac:dyDescent="0.2">
      <c r="B114" s="7" t="s">
        <v>21</v>
      </c>
      <c r="C114" s="10">
        <v>7.0000000000000007E-2</v>
      </c>
      <c r="D114" s="67">
        <f>+VLOOKUP(B114,'PRECIO PROVEEDORES'!$A$2:$B$716,2,0)</f>
        <v>11881</v>
      </c>
      <c r="E114" s="12">
        <f t="shared" si="26"/>
        <v>831.67000000000007</v>
      </c>
      <c r="G114" s="7" t="s">
        <v>119</v>
      </c>
      <c r="H114" s="10">
        <v>0.02</v>
      </c>
      <c r="I114" s="67">
        <f>+VLOOKUP(G114,'PRECIO PROVEEDORES'!$A$2:$B$716,2,0)</f>
        <v>4160</v>
      </c>
      <c r="J114" s="12">
        <f t="shared" si="27"/>
        <v>83.2</v>
      </c>
      <c r="L114" s="20" t="s">
        <v>136</v>
      </c>
      <c r="M114" s="10">
        <v>0.15</v>
      </c>
      <c r="N114" s="11">
        <f>+VLOOKUP(L114,'PRECIO PROVEEDORES'!$A$2:$B$716,2,0)</f>
        <v>2112.0855999999999</v>
      </c>
      <c r="O114" s="12">
        <f t="shared" si="28"/>
        <v>316.81283999999999</v>
      </c>
      <c r="Q114" s="7" t="s">
        <v>137</v>
      </c>
      <c r="R114" s="10">
        <v>0.05</v>
      </c>
      <c r="S114" s="11">
        <f>+VLOOKUP(Q114,'PRECIO PROVEEDORES'!$A$2:$B$716,2,0)</f>
        <v>2700</v>
      </c>
      <c r="T114" s="12">
        <f t="shared" si="29"/>
        <v>135</v>
      </c>
      <c r="V114" s="7" t="s">
        <v>29</v>
      </c>
      <c r="W114" s="10">
        <v>0.03</v>
      </c>
      <c r="X114" s="11">
        <f>+VLOOKUP(V114,'PRECIO PROVEEDORES'!$A$2:$B$716,2,0)</f>
        <v>9900</v>
      </c>
      <c r="Y114" s="12">
        <f t="shared" si="30"/>
        <v>297</v>
      </c>
      <c r="AA114" s="13" t="s">
        <v>40</v>
      </c>
      <c r="AB114" s="10">
        <v>4.4999999999999998E-2</v>
      </c>
      <c r="AC114" s="11">
        <f>+VLOOKUP(AA114,'PRECIO PROVEEDORES'!$A$2:$B$716,2,0)</f>
        <v>18256.349999999999</v>
      </c>
      <c r="AD114" s="12">
        <f t="shared" si="31"/>
        <v>821.53574999999989</v>
      </c>
      <c r="AF114" s="7" t="s">
        <v>29</v>
      </c>
      <c r="AG114" s="10">
        <v>0.03</v>
      </c>
      <c r="AH114" s="11">
        <f>+VLOOKUP(AF114,'PRECIO PROVEEDORES'!$A$2:$B$716,2,0)</f>
        <v>9900</v>
      </c>
      <c r="AI114" s="12">
        <f t="shared" si="32"/>
        <v>297</v>
      </c>
      <c r="AJ114" s="3"/>
      <c r="AK114" s="3"/>
      <c r="AL114" s="3"/>
      <c r="AM114" s="3"/>
      <c r="AN114" s="3"/>
      <c r="AO114" s="3"/>
      <c r="AP114" s="3"/>
      <c r="AQ114" s="3"/>
    </row>
    <row r="115" spans="2:43" ht="15.75" customHeight="1" x14ac:dyDescent="0.2">
      <c r="B115" s="7" t="s">
        <v>153</v>
      </c>
      <c r="C115" s="7">
        <v>0.5</v>
      </c>
      <c r="D115" s="11">
        <f>+VLOOKUP(B115,'PRECIO PROVEEDORES'!$A$2:$B$716,2,0)</f>
        <v>160.5</v>
      </c>
      <c r="E115" s="12">
        <f t="shared" si="26"/>
        <v>80.25</v>
      </c>
      <c r="G115" s="13" t="s">
        <v>96</v>
      </c>
      <c r="H115" s="10">
        <v>0.04</v>
      </c>
      <c r="I115" s="67">
        <f>+VLOOKUP(G115,'PRECIO PROVEEDORES'!$A$2:$B$716,2,0)</f>
        <v>1800</v>
      </c>
      <c r="J115" s="12">
        <f t="shared" si="27"/>
        <v>72</v>
      </c>
      <c r="L115" s="13" t="s">
        <v>139</v>
      </c>
      <c r="M115" s="10">
        <v>1</v>
      </c>
      <c r="N115" s="11">
        <f>+VLOOKUP(L115,'PRECIO PROVEEDORES'!$A$2:$B$716,2,0)</f>
        <v>1574</v>
      </c>
      <c r="O115" s="12">
        <f t="shared" si="28"/>
        <v>1574</v>
      </c>
      <c r="Q115" s="7" t="s">
        <v>29</v>
      </c>
      <c r="R115" s="10">
        <v>0.03</v>
      </c>
      <c r="S115" s="11">
        <f>+VLOOKUP(Q115,'PRECIO PROVEEDORES'!$A$2:$B$716,2,0)</f>
        <v>9900</v>
      </c>
      <c r="T115" s="12">
        <f t="shared" si="29"/>
        <v>297</v>
      </c>
      <c r="V115" s="13" t="s">
        <v>48</v>
      </c>
      <c r="W115" s="10">
        <v>0.15</v>
      </c>
      <c r="X115" s="11">
        <f>+VLOOKUP(V115,'PRECIO PROVEEDORES'!$A$2:$B$716,2,0)</f>
        <v>1685.0214999999996</v>
      </c>
      <c r="Y115" s="12">
        <f t="shared" si="30"/>
        <v>252.75322499999993</v>
      </c>
      <c r="AA115" s="13" t="s">
        <v>22</v>
      </c>
      <c r="AB115" s="10">
        <v>0.06</v>
      </c>
      <c r="AC115" s="11">
        <f>+VLOOKUP(AA115,'PRECIO PROVEEDORES'!$A$2:$B$716,2,0)</f>
        <v>4788</v>
      </c>
      <c r="AD115" s="12">
        <f t="shared" si="31"/>
        <v>287.27999999999997</v>
      </c>
      <c r="AF115" s="13" t="s">
        <v>102</v>
      </c>
      <c r="AG115" s="10">
        <v>0.04</v>
      </c>
      <c r="AH115" s="11">
        <f>+VLOOKUP(AF115,'PRECIO PROVEEDORES'!$A$2:$B$716,2,0)</f>
        <v>6130.5563999999995</v>
      </c>
      <c r="AI115" s="12">
        <f t="shared" si="32"/>
        <v>245.22225599999999</v>
      </c>
      <c r="AJ115" s="3"/>
      <c r="AK115" s="3"/>
      <c r="AL115" s="3"/>
      <c r="AM115" s="3"/>
      <c r="AN115" s="3"/>
      <c r="AO115" s="3"/>
      <c r="AP115" s="3"/>
      <c r="AQ115" s="3"/>
    </row>
    <row r="116" spans="2:43" ht="15.75" customHeight="1" x14ac:dyDescent="0.2">
      <c r="B116" s="66"/>
      <c r="C116" s="68"/>
      <c r="D116" s="69"/>
      <c r="E116" s="70"/>
      <c r="G116" s="7" t="s">
        <v>153</v>
      </c>
      <c r="H116" s="7">
        <v>0.5</v>
      </c>
      <c r="I116" s="11">
        <f>+VLOOKUP(G116,'PRECIO PROVEEDORES'!$A$2:$B$716,2,0)</f>
        <v>160.5</v>
      </c>
      <c r="J116" s="12">
        <f t="shared" si="27"/>
        <v>80.25</v>
      </c>
      <c r="L116" s="13" t="s">
        <v>48</v>
      </c>
      <c r="M116" s="10">
        <v>0.15</v>
      </c>
      <c r="N116" s="11">
        <f>+VLOOKUP(L116,'PRECIO PROVEEDORES'!$A$2:$B$716,2,0)</f>
        <v>1685.0214999999996</v>
      </c>
      <c r="O116" s="12">
        <f t="shared" si="28"/>
        <v>252.75322499999993</v>
      </c>
      <c r="Q116" s="13" t="s">
        <v>11</v>
      </c>
      <c r="R116" s="10">
        <v>0.08</v>
      </c>
      <c r="S116" s="11">
        <f>+VLOOKUP(Q116,'PRECIO PROVEEDORES'!$A$2:$B$716,2,0)</f>
        <v>7449.2</v>
      </c>
      <c r="T116" s="12">
        <f t="shared" si="29"/>
        <v>595.93600000000004</v>
      </c>
      <c r="V116" s="20" t="s">
        <v>50</v>
      </c>
      <c r="W116" s="7">
        <v>0.04</v>
      </c>
      <c r="X116" s="11">
        <f>+VLOOKUP(V116,'PRECIO PROVEEDORES'!$A$2:$B$716,2,0)</f>
        <v>3891.9110000000001</v>
      </c>
      <c r="Y116" s="12">
        <f t="shared" si="30"/>
        <v>155.67644000000001</v>
      </c>
      <c r="AA116" s="13" t="s">
        <v>33</v>
      </c>
      <c r="AB116" s="10">
        <v>1.4999999999999999E-2</v>
      </c>
      <c r="AC116" s="11">
        <f>+VLOOKUP(AA116,'PRECIO PROVEEDORES'!$A$2:$B$716,2,0)</f>
        <v>0</v>
      </c>
      <c r="AD116" s="12">
        <f t="shared" si="31"/>
        <v>0</v>
      </c>
      <c r="AF116" s="13" t="s">
        <v>149</v>
      </c>
      <c r="AG116" s="10">
        <v>0.05</v>
      </c>
      <c r="AH116" s="11">
        <f>+VLOOKUP(AF116,'PRECIO PROVEEDORES'!$A$2:$B$716,2,0)</f>
        <v>9125.6666666666661</v>
      </c>
      <c r="AI116" s="12">
        <f t="shared" si="32"/>
        <v>456.2833333333333</v>
      </c>
      <c r="AJ116" s="3"/>
      <c r="AK116" s="3"/>
      <c r="AL116" s="3"/>
      <c r="AM116" s="3"/>
      <c r="AN116" s="3"/>
      <c r="AO116" s="3"/>
      <c r="AP116" s="3"/>
      <c r="AQ116" s="3"/>
    </row>
    <row r="117" spans="2:43" ht="15.75" customHeight="1" x14ac:dyDescent="0.2">
      <c r="B117" s="66"/>
      <c r="C117" s="68"/>
      <c r="D117" s="69"/>
      <c r="E117" s="70"/>
      <c r="G117" s="66"/>
      <c r="H117" s="68"/>
      <c r="I117" s="69"/>
      <c r="J117" s="70"/>
      <c r="L117" s="20" t="s">
        <v>50</v>
      </c>
      <c r="M117" s="7">
        <v>0.04</v>
      </c>
      <c r="N117" s="11">
        <f>+VLOOKUP(L117,'PRECIO PROVEEDORES'!$A$2:$B$716,2,0)</f>
        <v>3891.9110000000001</v>
      </c>
      <c r="O117" s="12">
        <f t="shared" si="28"/>
        <v>155.67644000000001</v>
      </c>
      <c r="Q117" s="38" t="s">
        <v>132</v>
      </c>
      <c r="R117" s="10">
        <v>0.1</v>
      </c>
      <c r="S117" s="11">
        <f>+VLOOKUP(Q117,'PRECIO PROVEEDORES'!$A$2:$B$716,2,0)</f>
        <v>17376</v>
      </c>
      <c r="T117" s="12">
        <f t="shared" si="29"/>
        <v>1737.6000000000001</v>
      </c>
      <c r="V117" s="7" t="s">
        <v>153</v>
      </c>
      <c r="W117" s="7">
        <v>0.5</v>
      </c>
      <c r="X117" s="11">
        <f>+VLOOKUP(V117,'PRECIO PROVEEDORES'!$A$2:$B$716,2,0)</f>
        <v>160.5</v>
      </c>
      <c r="Y117" s="12">
        <f t="shared" si="30"/>
        <v>80.25</v>
      </c>
      <c r="AA117" s="13" t="s">
        <v>150</v>
      </c>
      <c r="AB117" s="10">
        <v>0.01</v>
      </c>
      <c r="AC117" s="11">
        <f>+VLOOKUP(AA117,'PRECIO PROVEEDORES'!$A$2:$B$716,2,0)</f>
        <v>16595</v>
      </c>
      <c r="AD117" s="12">
        <f t="shared" si="31"/>
        <v>165.95000000000002</v>
      </c>
      <c r="AF117" s="13" t="s">
        <v>140</v>
      </c>
      <c r="AG117" s="10">
        <v>1</v>
      </c>
      <c r="AH117" s="11">
        <f>+VLOOKUP(AF117,'PRECIO PROVEEDORES'!$A$2:$B$716,2,0)</f>
        <v>253</v>
      </c>
      <c r="AI117" s="12">
        <f t="shared" si="32"/>
        <v>253</v>
      </c>
    </row>
    <row r="118" spans="2:43" ht="15.75" customHeight="1" x14ac:dyDescent="0.2">
      <c r="B118" s="66"/>
      <c r="C118" s="68"/>
      <c r="D118" s="69"/>
      <c r="E118" s="70"/>
      <c r="G118" s="66"/>
      <c r="H118" s="68"/>
      <c r="I118" s="69"/>
      <c r="J118" s="70"/>
      <c r="L118" s="7" t="s">
        <v>153</v>
      </c>
      <c r="M118" s="7">
        <v>0.5</v>
      </c>
      <c r="N118" s="11">
        <f>+VLOOKUP(L118,'PRECIO PROVEEDORES'!$A$2:$B$716,2,0)</f>
        <v>160.5</v>
      </c>
      <c r="O118" s="12">
        <f t="shared" si="28"/>
        <v>80.25</v>
      </c>
      <c r="Q118" s="13" t="s">
        <v>140</v>
      </c>
      <c r="R118" s="10">
        <v>1</v>
      </c>
      <c r="S118" s="11">
        <f>+VLOOKUP(Q118,'PRECIO PROVEEDORES'!$A$2:$B$716,2,0)</f>
        <v>253</v>
      </c>
      <c r="T118" s="12">
        <f t="shared" si="29"/>
        <v>253</v>
      </c>
      <c r="V118" s="7" t="s">
        <v>156</v>
      </c>
      <c r="W118" s="7">
        <v>0.5</v>
      </c>
      <c r="X118" s="11">
        <f>+VLOOKUP(V118,'PRECIO PROVEEDORES'!$A$2:$B$716,2,0)</f>
        <v>155</v>
      </c>
      <c r="Y118" s="12">
        <f t="shared" si="30"/>
        <v>77.5</v>
      </c>
      <c r="AA118" s="13" t="s">
        <v>48</v>
      </c>
      <c r="AB118" s="10">
        <v>0.15</v>
      </c>
      <c r="AC118" s="11">
        <f>+VLOOKUP(AA118,'PRECIO PROVEEDORES'!$A$2:$B$716,2,0)</f>
        <v>1685.0214999999996</v>
      </c>
      <c r="AD118" s="12">
        <f t="shared" si="31"/>
        <v>252.75322499999993</v>
      </c>
      <c r="AF118" s="7" t="s">
        <v>29</v>
      </c>
      <c r="AG118" s="10">
        <v>0.04</v>
      </c>
      <c r="AH118" s="11">
        <f>+VLOOKUP(AF118,'PRECIO PROVEEDORES'!$A$2:$B$716,2,0)</f>
        <v>9900</v>
      </c>
      <c r="AI118" s="12">
        <f t="shared" si="32"/>
        <v>396</v>
      </c>
    </row>
    <row r="119" spans="2:43" ht="15.75" customHeight="1" x14ac:dyDescent="0.2">
      <c r="B119" s="66"/>
      <c r="C119" s="66"/>
      <c r="D119" s="69"/>
      <c r="E119" s="70"/>
      <c r="G119" s="66"/>
      <c r="H119" s="66"/>
      <c r="I119" s="69"/>
      <c r="J119" s="70"/>
      <c r="L119" s="7" t="s">
        <v>156</v>
      </c>
      <c r="M119" s="7">
        <v>0.5</v>
      </c>
      <c r="N119" s="11">
        <f>+VLOOKUP(L119,'PRECIO PROVEEDORES'!$A$2:$B$716,2,0)</f>
        <v>155</v>
      </c>
      <c r="O119" s="12">
        <f t="shared" si="28"/>
        <v>77.5</v>
      </c>
      <c r="Q119" s="7" t="s">
        <v>48</v>
      </c>
      <c r="R119" s="7">
        <v>0.15</v>
      </c>
      <c r="S119" s="11">
        <f>+VLOOKUP(Q119,'PRECIO PROVEEDORES'!$A$2:$B$716,2,0)</f>
        <v>1685.0214999999996</v>
      </c>
      <c r="T119" s="12">
        <f t="shared" si="29"/>
        <v>252.75322499999993</v>
      </c>
      <c r="V119" s="7" t="s">
        <v>157</v>
      </c>
      <c r="W119" s="7">
        <v>0.5</v>
      </c>
      <c r="X119" s="11">
        <f>+VLOOKUP(V119,'PRECIO PROVEEDORES'!$A$2:$B$716,2,0)</f>
        <v>86</v>
      </c>
      <c r="Y119" s="12">
        <f t="shared" si="30"/>
        <v>43</v>
      </c>
      <c r="AA119" s="13" t="s">
        <v>50</v>
      </c>
      <c r="AB119" s="7">
        <v>0.04</v>
      </c>
      <c r="AC119" s="11">
        <f>+VLOOKUP(AA119,'PRECIO PROVEEDORES'!$A$2:$B$716,2,0)</f>
        <v>3891.9110000000001</v>
      </c>
      <c r="AD119" s="12">
        <f t="shared" si="31"/>
        <v>155.67644000000001</v>
      </c>
      <c r="AF119" s="7" t="s">
        <v>35</v>
      </c>
      <c r="AG119" s="7">
        <v>0.04</v>
      </c>
      <c r="AH119" s="11">
        <f>+VLOOKUP(AF119,'PRECIO PROVEEDORES'!$A$2:$B$716,2,0)</f>
        <v>4095</v>
      </c>
      <c r="AI119" s="12">
        <f t="shared" si="32"/>
        <v>163.80000000000001</v>
      </c>
    </row>
    <row r="120" spans="2:43" ht="15.75" customHeight="1" x14ac:dyDescent="0.2">
      <c r="B120" s="71"/>
      <c r="C120" s="66"/>
      <c r="D120" s="69"/>
      <c r="E120" s="70"/>
      <c r="G120" s="71"/>
      <c r="H120" s="66"/>
      <c r="I120" s="69"/>
      <c r="J120" s="70"/>
      <c r="L120" s="7" t="s">
        <v>157</v>
      </c>
      <c r="M120" s="7">
        <v>0.5</v>
      </c>
      <c r="N120" s="11">
        <f>+VLOOKUP(L120,'PRECIO PROVEEDORES'!$A$2:$B$716,2,0)</f>
        <v>86</v>
      </c>
      <c r="O120" s="12">
        <f t="shared" si="28"/>
        <v>43</v>
      </c>
      <c r="Q120" s="20" t="s">
        <v>50</v>
      </c>
      <c r="R120" s="7">
        <v>0.04</v>
      </c>
      <c r="S120" s="11">
        <f>+VLOOKUP(Q120,'PRECIO PROVEEDORES'!$A$2:$B$716,2,0)</f>
        <v>3891.9110000000001</v>
      </c>
      <c r="T120" s="12">
        <f t="shared" si="29"/>
        <v>155.67644000000001</v>
      </c>
      <c r="V120" s="19"/>
      <c r="W120" s="7"/>
      <c r="X120" s="11"/>
      <c r="Y120" s="12"/>
      <c r="AA120" s="13" t="s">
        <v>153</v>
      </c>
      <c r="AB120" s="7">
        <v>0.5</v>
      </c>
      <c r="AC120" s="11">
        <f>+VLOOKUP(AA120,'PRECIO PROVEEDORES'!$A$2:$B$716,2,0)</f>
        <v>160.5</v>
      </c>
      <c r="AD120" s="12">
        <f t="shared" si="31"/>
        <v>80.25</v>
      </c>
      <c r="AF120" s="19" t="s">
        <v>48</v>
      </c>
      <c r="AG120" s="7">
        <v>0.15</v>
      </c>
      <c r="AH120" s="11">
        <f>+VLOOKUP(AF120,'PRECIO PROVEEDORES'!$A$2:$B$716,2,0)</f>
        <v>1685.0214999999996</v>
      </c>
      <c r="AI120" s="12">
        <f t="shared" si="32"/>
        <v>252.75322499999993</v>
      </c>
    </row>
    <row r="121" spans="2:43" ht="15.75" customHeight="1" x14ac:dyDescent="0.2">
      <c r="B121" s="71"/>
      <c r="C121" s="66"/>
      <c r="D121" s="69"/>
      <c r="E121" s="70"/>
      <c r="G121" s="71"/>
      <c r="H121" s="66"/>
      <c r="I121" s="69"/>
      <c r="J121" s="70"/>
      <c r="L121" s="19"/>
      <c r="M121" s="7"/>
      <c r="N121" s="11"/>
      <c r="O121" s="12"/>
      <c r="Q121" s="7" t="s">
        <v>153</v>
      </c>
      <c r="R121" s="7">
        <v>0.5</v>
      </c>
      <c r="S121" s="11">
        <f>+VLOOKUP(Q121,'PRECIO PROVEEDORES'!$A$2:$B$716,2,0)</f>
        <v>160.5</v>
      </c>
      <c r="T121" s="12">
        <f t="shared" si="29"/>
        <v>80.25</v>
      </c>
      <c r="V121" s="19"/>
      <c r="W121" s="7"/>
      <c r="X121" s="11"/>
      <c r="Y121" s="12"/>
      <c r="AA121" s="13" t="s">
        <v>156</v>
      </c>
      <c r="AB121" s="7">
        <v>0.5</v>
      </c>
      <c r="AC121" s="11">
        <f>+VLOOKUP(AA121,'PRECIO PROVEEDORES'!$A$2:$B$716,2,0)</f>
        <v>155</v>
      </c>
      <c r="AD121" s="12">
        <f t="shared" si="31"/>
        <v>77.5</v>
      </c>
      <c r="AF121" s="19" t="s">
        <v>50</v>
      </c>
      <c r="AG121" s="7">
        <v>0.04</v>
      </c>
      <c r="AH121" s="11">
        <f>+VLOOKUP(AF121,'PRECIO PROVEEDORES'!$A$2:$B$716,2,0)</f>
        <v>3891.9110000000001</v>
      </c>
      <c r="AI121" s="12">
        <f t="shared" si="32"/>
        <v>155.67644000000001</v>
      </c>
    </row>
    <row r="122" spans="2:43" ht="15.75" customHeight="1" x14ac:dyDescent="0.2">
      <c r="B122" s="71"/>
      <c r="C122" s="66"/>
      <c r="D122" s="69"/>
      <c r="E122" s="70"/>
      <c r="G122" s="71"/>
      <c r="H122" s="66"/>
      <c r="I122" s="69"/>
      <c r="J122" s="70"/>
      <c r="L122" s="19"/>
      <c r="M122" s="7"/>
      <c r="N122" s="11"/>
      <c r="O122" s="12"/>
      <c r="Q122" s="7" t="s">
        <v>156</v>
      </c>
      <c r="R122" s="7">
        <v>0.5</v>
      </c>
      <c r="S122" s="11">
        <f>+VLOOKUP(Q122,'PRECIO PROVEEDORES'!$A$2:$B$716,2,0)</f>
        <v>155</v>
      </c>
      <c r="T122" s="12">
        <f t="shared" si="29"/>
        <v>77.5</v>
      </c>
      <c r="V122" s="19"/>
      <c r="W122" s="7"/>
      <c r="X122" s="11"/>
      <c r="Y122" s="12"/>
      <c r="AA122" s="13" t="s">
        <v>157</v>
      </c>
      <c r="AB122" s="7">
        <v>0.5</v>
      </c>
      <c r="AC122" s="11">
        <f>+VLOOKUP(AA122,'PRECIO PROVEEDORES'!$A$2:$B$716,2,0)</f>
        <v>86</v>
      </c>
      <c r="AD122" s="12">
        <f t="shared" si="31"/>
        <v>43</v>
      </c>
      <c r="AF122" s="7" t="s">
        <v>153</v>
      </c>
      <c r="AG122" s="7">
        <v>0.5</v>
      </c>
      <c r="AH122" s="11">
        <f>+VLOOKUP(AF122,'PRECIO PROVEEDORES'!$A$2:$B$716,2,0)</f>
        <v>160.5</v>
      </c>
      <c r="AI122" s="12">
        <f t="shared" si="32"/>
        <v>80.25</v>
      </c>
    </row>
    <row r="123" spans="2:43" ht="15.75" customHeight="1" x14ac:dyDescent="0.2">
      <c r="B123" s="71"/>
      <c r="C123" s="66"/>
      <c r="D123" s="69"/>
      <c r="E123" s="70"/>
      <c r="G123" s="71"/>
      <c r="H123" s="66"/>
      <c r="I123" s="69"/>
      <c r="J123" s="70"/>
      <c r="L123" s="19"/>
      <c r="M123" s="7"/>
      <c r="N123" s="11"/>
      <c r="O123" s="12"/>
      <c r="Q123" s="7" t="s">
        <v>157</v>
      </c>
      <c r="R123" s="7">
        <v>0.5</v>
      </c>
      <c r="S123" s="11">
        <f>+VLOOKUP(Q123,'PRECIO PROVEEDORES'!$A$2:$B$716,2,0)</f>
        <v>86</v>
      </c>
      <c r="T123" s="12">
        <f t="shared" si="29"/>
        <v>43</v>
      </c>
      <c r="V123" s="19"/>
      <c r="W123" s="7"/>
      <c r="X123" s="11"/>
      <c r="Y123" s="12"/>
      <c r="AA123" s="5"/>
      <c r="AB123" s="7"/>
      <c r="AC123" s="11"/>
      <c r="AD123" s="12"/>
      <c r="AF123" s="7" t="s">
        <v>156</v>
      </c>
      <c r="AG123" s="7">
        <v>0.5</v>
      </c>
      <c r="AH123" s="11">
        <f>+VLOOKUP(AF123,'PRECIO PROVEEDORES'!$A$2:$B$716,2,0)</f>
        <v>155</v>
      </c>
      <c r="AI123" s="12">
        <f t="shared" si="32"/>
        <v>77.5</v>
      </c>
    </row>
    <row r="124" spans="2:43" ht="15.75" customHeight="1" x14ac:dyDescent="0.2">
      <c r="B124" s="64"/>
      <c r="C124" s="66"/>
      <c r="D124" s="69"/>
      <c r="E124" s="70"/>
      <c r="G124" s="64"/>
      <c r="H124" s="66"/>
      <c r="I124" s="69"/>
      <c r="J124" s="70"/>
      <c r="L124" s="5"/>
      <c r="M124" s="7"/>
      <c r="N124" s="11"/>
      <c r="O124" s="12"/>
      <c r="Q124" s="5"/>
      <c r="R124" s="7"/>
      <c r="S124" s="11"/>
      <c r="T124" s="12"/>
      <c r="V124" s="5"/>
      <c r="W124" s="7"/>
      <c r="X124" s="11"/>
      <c r="Y124" s="12"/>
      <c r="AA124" s="5"/>
      <c r="AB124" s="7"/>
      <c r="AC124" s="11"/>
      <c r="AD124" s="12"/>
      <c r="AF124" s="7" t="s">
        <v>157</v>
      </c>
      <c r="AG124" s="7">
        <v>0.5</v>
      </c>
      <c r="AH124" s="11">
        <f>+VLOOKUP(AF124,'PRECIO PROVEEDORES'!$A$2:$B$716,2,0)</f>
        <v>86</v>
      </c>
      <c r="AI124" s="12">
        <f t="shared" si="32"/>
        <v>43</v>
      </c>
    </row>
    <row r="125" spans="2:43" ht="15.75" customHeight="1" x14ac:dyDescent="0.2">
      <c r="B125" s="64"/>
      <c r="C125" s="66"/>
      <c r="D125" s="69"/>
      <c r="E125" s="70"/>
      <c r="G125" s="64"/>
      <c r="H125" s="66"/>
      <c r="I125" s="69"/>
      <c r="J125" s="70"/>
      <c r="L125" s="5"/>
      <c r="M125" s="7"/>
      <c r="N125" s="11"/>
      <c r="O125" s="12"/>
      <c r="Q125" s="5"/>
      <c r="R125" s="7"/>
      <c r="S125" s="11"/>
      <c r="T125" s="12"/>
      <c r="V125" s="5"/>
      <c r="W125" s="7"/>
      <c r="X125" s="11"/>
      <c r="Y125" s="12"/>
      <c r="AA125" s="5"/>
      <c r="AB125" s="7"/>
      <c r="AC125" s="11"/>
      <c r="AD125" s="12"/>
      <c r="AF125" s="5"/>
      <c r="AG125" s="7"/>
      <c r="AH125" s="11"/>
      <c r="AI125" s="12"/>
    </row>
    <row r="126" spans="2:43" ht="15.75" customHeight="1" x14ac:dyDescent="0.2">
      <c r="B126" s="64"/>
      <c r="C126" s="66"/>
      <c r="D126" s="69"/>
      <c r="E126" s="70"/>
      <c r="G126" s="64"/>
      <c r="H126" s="66"/>
      <c r="I126" s="69"/>
      <c r="J126" s="70"/>
      <c r="L126" s="5"/>
      <c r="M126" s="7"/>
      <c r="N126" s="11"/>
      <c r="O126" s="12"/>
      <c r="Q126" s="5"/>
      <c r="R126" s="7"/>
      <c r="S126" s="11"/>
      <c r="T126" s="12"/>
      <c r="V126" s="5"/>
      <c r="W126" s="7"/>
      <c r="X126" s="11"/>
      <c r="Y126" s="12"/>
      <c r="AA126" s="5"/>
      <c r="AB126" s="7"/>
      <c r="AC126" s="11"/>
      <c r="AD126" s="12"/>
      <c r="AF126" s="5"/>
      <c r="AG126" s="7"/>
      <c r="AH126" s="11"/>
      <c r="AI126" s="12"/>
    </row>
    <row r="127" spans="2:43" ht="15.75" customHeight="1" x14ac:dyDescent="0.2">
      <c r="B127" s="72" t="s">
        <v>52</v>
      </c>
      <c r="C127" s="73"/>
      <c r="D127" s="74"/>
      <c r="E127" s="75">
        <f>SUM(E112:E126)</f>
        <v>2108.4376000000002</v>
      </c>
      <c r="G127" s="72" t="s">
        <v>52</v>
      </c>
      <c r="H127" s="73"/>
      <c r="I127" s="74"/>
      <c r="J127" s="75">
        <f>SUM(J112:J126)</f>
        <v>1431.9676000000002</v>
      </c>
      <c r="L127" s="21" t="s">
        <v>52</v>
      </c>
      <c r="M127" s="22"/>
      <c r="N127" s="23"/>
      <c r="O127" s="24">
        <f>SUM(O112:O126)</f>
        <v>6390.5938383333332</v>
      </c>
      <c r="Q127" s="21" t="s">
        <v>52</v>
      </c>
      <c r="R127" s="22"/>
      <c r="S127" s="23"/>
      <c r="T127" s="24">
        <f>SUM(T112:T126)</f>
        <v>4883.9656650000006</v>
      </c>
      <c r="V127" s="21" t="s">
        <v>52</v>
      </c>
      <c r="W127" s="22"/>
      <c r="X127" s="23"/>
      <c r="Y127" s="24">
        <f>SUM(Y112:Y126)</f>
        <v>6811.4096650000001</v>
      </c>
      <c r="AA127" s="21" t="s">
        <v>52</v>
      </c>
      <c r="AB127" s="22"/>
      <c r="AC127" s="23"/>
      <c r="AD127" s="24">
        <f>SUM(AD112:AD126)</f>
        <v>5717.3054149999998</v>
      </c>
      <c r="AF127" s="21" t="s">
        <v>52</v>
      </c>
      <c r="AG127" s="22"/>
      <c r="AH127" s="23"/>
      <c r="AI127" s="24">
        <f>SUM(AI112:AI126)</f>
        <v>3402.1266309567104</v>
      </c>
    </row>
    <row r="128" spans="2:43" ht="15.75" customHeight="1" x14ac:dyDescent="0.2">
      <c r="B128" s="76" t="s">
        <v>53</v>
      </c>
      <c r="C128" s="77"/>
      <c r="D128" s="78"/>
      <c r="E128" s="79">
        <f>SUM(E127)</f>
        <v>2108.4376000000002</v>
      </c>
      <c r="G128" s="76" t="s">
        <v>53</v>
      </c>
      <c r="H128" s="77"/>
      <c r="I128" s="78"/>
      <c r="J128" s="79">
        <f>SUM(J127)</f>
        <v>1431.9676000000002</v>
      </c>
      <c r="L128" s="19" t="s">
        <v>53</v>
      </c>
      <c r="M128" s="27"/>
      <c r="N128" s="28"/>
      <c r="O128" s="29">
        <f>SUM(O127)</f>
        <v>6390.5938383333332</v>
      </c>
      <c r="Q128" s="19" t="s">
        <v>53</v>
      </c>
      <c r="R128" s="27"/>
      <c r="S128" s="28"/>
      <c r="T128" s="29">
        <f>SUM(T127)</f>
        <v>4883.9656650000006</v>
      </c>
      <c r="V128" s="19" t="s">
        <v>53</v>
      </c>
      <c r="W128" s="27"/>
      <c r="X128" s="28"/>
      <c r="Y128" s="29">
        <f>SUM(Y127)</f>
        <v>6811.4096650000001</v>
      </c>
      <c r="AA128" s="19" t="s">
        <v>53</v>
      </c>
      <c r="AB128" s="27"/>
      <c r="AC128" s="28"/>
      <c r="AD128" s="29">
        <f>SUM(AD127)</f>
        <v>5717.3054149999998</v>
      </c>
      <c r="AF128" s="19" t="s">
        <v>53</v>
      </c>
      <c r="AG128" s="27"/>
      <c r="AH128" s="28"/>
      <c r="AI128" s="29">
        <f>SUM(AI127)</f>
        <v>3402.1266309567104</v>
      </c>
    </row>
    <row r="129" spans="2:35" ht="15.75" customHeight="1" x14ac:dyDescent="0.2">
      <c r="B129" s="76" t="s">
        <v>54</v>
      </c>
      <c r="C129" s="77"/>
      <c r="D129" s="78"/>
      <c r="E129" s="79">
        <f>+E128</f>
        <v>2108.4376000000002</v>
      </c>
      <c r="G129" s="76" t="s">
        <v>54</v>
      </c>
      <c r="H129" s="77"/>
      <c r="I129" s="78"/>
      <c r="J129" s="79">
        <f>+J128</f>
        <v>1431.9676000000002</v>
      </c>
      <c r="L129" s="19" t="s">
        <v>54</v>
      </c>
      <c r="M129" s="27"/>
      <c r="N129" s="28"/>
      <c r="O129" s="29">
        <f>+O128</f>
        <v>6390.5938383333332</v>
      </c>
      <c r="Q129" s="19" t="s">
        <v>54</v>
      </c>
      <c r="R129" s="27"/>
      <c r="S129" s="28"/>
      <c r="T129" s="29">
        <f>+T128</f>
        <v>4883.9656650000006</v>
      </c>
      <c r="V129" s="19" t="s">
        <v>54</v>
      </c>
      <c r="W129" s="27"/>
      <c r="X129" s="28"/>
      <c r="Y129" s="29">
        <f>+Y128</f>
        <v>6811.4096650000001</v>
      </c>
      <c r="AA129" s="19" t="s">
        <v>54</v>
      </c>
      <c r="AB129" s="27"/>
      <c r="AC129" s="28"/>
      <c r="AD129" s="29">
        <f>+AD128</f>
        <v>5717.3054149999998</v>
      </c>
      <c r="AF129" s="19" t="s">
        <v>54</v>
      </c>
      <c r="AG129" s="27"/>
      <c r="AH129" s="28"/>
      <c r="AI129" s="29">
        <f>+AI128</f>
        <v>3402.1266309567104</v>
      </c>
    </row>
    <row r="130" spans="2:35" ht="15.75" customHeight="1" x14ac:dyDescent="0.2">
      <c r="B130" s="76" t="s">
        <v>55</v>
      </c>
      <c r="C130" s="77"/>
      <c r="D130" s="80">
        <v>0.3</v>
      </c>
      <c r="E130" s="81"/>
      <c r="G130" s="76" t="s">
        <v>55</v>
      </c>
      <c r="H130" s="77"/>
      <c r="I130" s="80">
        <v>0.3</v>
      </c>
      <c r="J130" s="81"/>
      <c r="L130" s="19" t="s">
        <v>55</v>
      </c>
      <c r="M130" s="27"/>
      <c r="N130" s="31">
        <v>0.3</v>
      </c>
      <c r="O130" s="29"/>
      <c r="Q130" s="19" t="s">
        <v>55</v>
      </c>
      <c r="R130" s="27"/>
      <c r="S130" s="31">
        <v>0.3</v>
      </c>
      <c r="T130" s="29"/>
      <c r="V130" s="19" t="s">
        <v>55</v>
      </c>
      <c r="W130" s="27"/>
      <c r="X130" s="31">
        <v>0.3</v>
      </c>
      <c r="Y130" s="29"/>
      <c r="AA130" s="19" t="s">
        <v>55</v>
      </c>
      <c r="AB130" s="27"/>
      <c r="AC130" s="31">
        <v>0.3</v>
      </c>
      <c r="AD130" s="29"/>
      <c r="AF130" s="19" t="s">
        <v>55</v>
      </c>
      <c r="AG130" s="27"/>
      <c r="AH130" s="31">
        <v>0.3</v>
      </c>
      <c r="AI130" s="29"/>
    </row>
    <row r="131" spans="2:35" ht="15.75" customHeight="1" x14ac:dyDescent="0.2">
      <c r="B131" s="76" t="s">
        <v>56</v>
      </c>
      <c r="C131" s="77"/>
      <c r="D131" s="82"/>
      <c r="E131" s="79">
        <f>+E129*3.33333333333333</f>
        <v>7028.125333333327</v>
      </c>
      <c r="G131" s="76" t="s">
        <v>56</v>
      </c>
      <c r="H131" s="77"/>
      <c r="I131" s="82"/>
      <c r="J131" s="79">
        <f>+J129*3.33333333333333</f>
        <v>4773.2253333333292</v>
      </c>
      <c r="L131" s="19" t="s">
        <v>56</v>
      </c>
      <c r="M131" s="27"/>
      <c r="N131" s="31"/>
      <c r="O131" s="29">
        <f>+O129*3.33333333333333</f>
        <v>21301.979461111088</v>
      </c>
      <c r="Q131" s="19" t="s">
        <v>56</v>
      </c>
      <c r="R131" s="27"/>
      <c r="S131" s="31"/>
      <c r="T131" s="29">
        <f>+T129*3.33333333333333</f>
        <v>16279.885549999986</v>
      </c>
      <c r="V131" s="19" t="s">
        <v>56</v>
      </c>
      <c r="W131" s="27"/>
      <c r="X131" s="31"/>
      <c r="Y131" s="29">
        <f>+Y129*3.33333333333333</f>
        <v>22704.698883333309</v>
      </c>
      <c r="AA131" s="19" t="s">
        <v>56</v>
      </c>
      <c r="AB131" s="27"/>
      <c r="AC131" s="31"/>
      <c r="AD131" s="29">
        <f>+AD129*3.33333333333333</f>
        <v>19057.684716666645</v>
      </c>
      <c r="AF131" s="19" t="s">
        <v>56</v>
      </c>
      <c r="AG131" s="27"/>
      <c r="AH131" s="31"/>
      <c r="AI131" s="29">
        <f>+AI129*3.33333333333333</f>
        <v>11340.422103189023</v>
      </c>
    </row>
    <row r="132" spans="2:35" ht="15.75" customHeight="1" x14ac:dyDescent="0.2">
      <c r="B132" s="19" t="s">
        <v>158</v>
      </c>
      <c r="C132" s="27">
        <v>8000</v>
      </c>
      <c r="D132" s="43">
        <v>0.35</v>
      </c>
      <c r="E132" s="79">
        <v>11000</v>
      </c>
      <c r="G132" s="19" t="s">
        <v>158</v>
      </c>
      <c r="H132" s="27">
        <v>8000</v>
      </c>
      <c r="I132" s="43">
        <v>0.35</v>
      </c>
      <c r="J132" s="79">
        <v>11000</v>
      </c>
      <c r="L132" s="19" t="s">
        <v>158</v>
      </c>
      <c r="M132" s="27">
        <v>21500</v>
      </c>
      <c r="N132" s="43">
        <v>0.35</v>
      </c>
      <c r="O132" s="41">
        <v>29000</v>
      </c>
      <c r="Q132" s="19" t="s">
        <v>158</v>
      </c>
      <c r="R132" s="27">
        <v>17000</v>
      </c>
      <c r="S132" s="43">
        <v>0.35</v>
      </c>
      <c r="T132" s="29">
        <v>23000</v>
      </c>
      <c r="V132" s="19" t="s">
        <v>158</v>
      </c>
      <c r="W132" s="27">
        <v>23200</v>
      </c>
      <c r="X132" s="43">
        <v>0.35</v>
      </c>
      <c r="Y132" s="29">
        <v>31000</v>
      </c>
      <c r="Z132" s="3"/>
      <c r="AA132" s="19" t="s">
        <v>158</v>
      </c>
      <c r="AB132" s="27">
        <v>20000</v>
      </c>
      <c r="AC132" s="43">
        <v>0.35</v>
      </c>
      <c r="AD132" s="29">
        <v>27000</v>
      </c>
      <c r="AF132" s="19" t="s">
        <v>158</v>
      </c>
      <c r="AG132" s="27">
        <v>13000</v>
      </c>
      <c r="AH132" s="43">
        <v>0.35</v>
      </c>
      <c r="AI132" s="29">
        <v>18000</v>
      </c>
    </row>
    <row r="133" spans="2:35" ht="15.75" customHeight="1" x14ac:dyDescent="0.2">
      <c r="B133" s="71"/>
      <c r="C133" s="77"/>
      <c r="D133" s="78"/>
      <c r="E133" s="75">
        <f>+E132-E131</f>
        <v>3971.874666666673</v>
      </c>
      <c r="G133" s="71"/>
      <c r="H133" s="77"/>
      <c r="I133" s="78"/>
      <c r="J133" s="75">
        <f>+J132-J131</f>
        <v>6226.7746666666708</v>
      </c>
      <c r="L133" s="19"/>
      <c r="M133" s="27"/>
      <c r="N133" s="28"/>
      <c r="O133" s="24">
        <f>+O132-O131</f>
        <v>7698.0205388889117</v>
      </c>
      <c r="Q133" s="19"/>
      <c r="R133" s="27"/>
      <c r="S133" s="28"/>
      <c r="T133" s="24">
        <f>+T132-T131</f>
        <v>6720.1144500000137</v>
      </c>
      <c r="V133" s="19"/>
      <c r="W133" s="27"/>
      <c r="X133" s="28"/>
      <c r="Y133" s="24">
        <f>+Y132-Y131</f>
        <v>8295.3011166666911</v>
      </c>
      <c r="AA133" s="19"/>
      <c r="AB133" s="27"/>
      <c r="AC133" s="28"/>
      <c r="AD133" s="24">
        <f>+AD132-AD131</f>
        <v>7942.3152833333552</v>
      </c>
      <c r="AF133" s="19"/>
      <c r="AG133" s="27"/>
      <c r="AH133" s="28"/>
      <c r="AI133" s="24">
        <f>+AI132-AI131</f>
        <v>6659.5778968109771</v>
      </c>
    </row>
    <row r="134" spans="2:35" ht="15.75" customHeight="1" x14ac:dyDescent="0.2">
      <c r="B134" s="32" t="s">
        <v>58</v>
      </c>
      <c r="C134" s="83"/>
      <c r="D134" s="83"/>
      <c r="E134" s="84">
        <f>E129/E132</f>
        <v>0.19167614545454548</v>
      </c>
      <c r="G134" s="32" t="s">
        <v>58</v>
      </c>
      <c r="H134" s="83"/>
      <c r="I134" s="83"/>
      <c r="J134" s="84">
        <f>J129/J132</f>
        <v>0.13017887272727274</v>
      </c>
      <c r="L134" s="32" t="s">
        <v>58</v>
      </c>
      <c r="M134" s="33"/>
      <c r="N134" s="33"/>
      <c r="O134" s="34">
        <f>O129/O132</f>
        <v>0.22036530477011493</v>
      </c>
      <c r="Q134" s="32" t="s">
        <v>58</v>
      </c>
      <c r="R134" s="33"/>
      <c r="S134" s="33"/>
      <c r="T134" s="34">
        <f>T129/T132</f>
        <v>0.2123463332608696</v>
      </c>
      <c r="V134" s="32" t="s">
        <v>58</v>
      </c>
      <c r="W134" s="33"/>
      <c r="X134" s="33"/>
      <c r="Y134" s="34">
        <f>Y129/Y132</f>
        <v>0.21972289241935483</v>
      </c>
      <c r="AA134" s="32" t="s">
        <v>58</v>
      </c>
      <c r="AB134" s="33"/>
      <c r="AC134" s="33"/>
      <c r="AD134" s="34">
        <f>AD129/AD132</f>
        <v>0.21175205240740741</v>
      </c>
      <c r="AF134" s="32" t="s">
        <v>58</v>
      </c>
      <c r="AG134" s="33"/>
      <c r="AH134" s="33"/>
      <c r="AI134" s="34">
        <f>AI129/AI132</f>
        <v>0.18900703505315058</v>
      </c>
    </row>
    <row r="135" spans="2:35" ht="15.75" customHeight="1" x14ac:dyDescent="0.15"/>
    <row r="136" spans="2:35" ht="15.75" customHeight="1" x14ac:dyDescent="0.15"/>
    <row r="137" spans="2:35" ht="15.75" customHeight="1" x14ac:dyDescent="0.15">
      <c r="B137" s="212" t="s">
        <v>143</v>
      </c>
      <c r="C137" s="213"/>
      <c r="D137" s="213"/>
      <c r="E137" s="214"/>
      <c r="G137" s="212" t="s">
        <v>144</v>
      </c>
      <c r="H137" s="213"/>
      <c r="I137" s="213"/>
      <c r="J137" s="214"/>
      <c r="L137" s="215"/>
      <c r="M137" s="213"/>
      <c r="N137" s="213"/>
      <c r="O137" s="214"/>
      <c r="Q137" s="215"/>
      <c r="R137" s="213"/>
      <c r="S137" s="213"/>
      <c r="T137" s="214"/>
      <c r="V137" s="215"/>
      <c r="W137" s="213"/>
      <c r="X137" s="213"/>
      <c r="Y137" s="214"/>
      <c r="AA137" s="215"/>
      <c r="AB137" s="213"/>
      <c r="AC137" s="213"/>
      <c r="AD137" s="214"/>
    </row>
    <row r="138" spans="2:35" ht="15.75" customHeight="1" x14ac:dyDescent="0.2">
      <c r="B138" s="5"/>
      <c r="C138" s="6" t="s">
        <v>8</v>
      </c>
      <c r="D138" s="7" t="s">
        <v>9</v>
      </c>
      <c r="E138" s="8" t="s">
        <v>10</v>
      </c>
      <c r="G138" s="5"/>
      <c r="H138" s="6" t="s">
        <v>8</v>
      </c>
      <c r="I138" s="7" t="s">
        <v>9</v>
      </c>
      <c r="J138" s="8" t="s">
        <v>10</v>
      </c>
      <c r="L138" s="5"/>
      <c r="M138" s="6" t="s">
        <v>8</v>
      </c>
      <c r="N138" s="7" t="s">
        <v>9</v>
      </c>
      <c r="O138" s="8" t="s">
        <v>10</v>
      </c>
      <c r="Q138" s="5"/>
      <c r="R138" s="6" t="s">
        <v>8</v>
      </c>
      <c r="S138" s="7" t="s">
        <v>9</v>
      </c>
      <c r="T138" s="8" t="s">
        <v>10</v>
      </c>
      <c r="V138" s="5"/>
      <c r="W138" s="6" t="s">
        <v>8</v>
      </c>
      <c r="X138" s="7" t="s">
        <v>9</v>
      </c>
      <c r="Y138" s="8" t="s">
        <v>10</v>
      </c>
      <c r="AA138" s="5"/>
      <c r="AB138" s="6" t="s">
        <v>8</v>
      </c>
      <c r="AC138" s="7" t="s">
        <v>9</v>
      </c>
      <c r="AD138" s="8" t="s">
        <v>10</v>
      </c>
    </row>
    <row r="139" spans="2:35" ht="15.75" customHeight="1" x14ac:dyDescent="0.2">
      <c r="B139" s="13" t="s">
        <v>140</v>
      </c>
      <c r="C139" s="10">
        <v>1</v>
      </c>
      <c r="D139" s="11">
        <f>+VLOOKUP(B139,'PRECIO PROVEEDORES'!$A$2:$B$716,2,0)</f>
        <v>253</v>
      </c>
      <c r="E139" s="12">
        <f t="shared" ref="E139:E152" si="33">+C139*D139</f>
        <v>253</v>
      </c>
      <c r="G139" s="13" t="s">
        <v>27</v>
      </c>
      <c r="H139" s="10">
        <v>0.04</v>
      </c>
      <c r="I139" s="11">
        <f>+VLOOKUP(G139,'PRECIO PROVEEDORES'!$A$2:$B$716,2,0)</f>
        <v>6440</v>
      </c>
      <c r="J139" s="12">
        <f t="shared" ref="J139:J147" si="34">+H139*I139</f>
        <v>257.60000000000002</v>
      </c>
      <c r="L139" s="13"/>
      <c r="M139" s="10"/>
      <c r="N139" s="11" t="e">
        <f>+VLOOKUP(L139,'PRECIO PROVEEDORES'!$A$2:$B$716,2,0)</f>
        <v>#N/A</v>
      </c>
      <c r="O139" s="12" t="e">
        <f t="shared" ref="O139:O145" si="35">+M139*N139</f>
        <v>#N/A</v>
      </c>
      <c r="Q139" s="13"/>
      <c r="R139" s="10"/>
      <c r="S139" s="11" t="e">
        <f>+VLOOKUP(Q139,'PRECIO PROVEEDORES'!$A$2:$B$716,2,0)</f>
        <v>#N/A</v>
      </c>
      <c r="T139" s="12" t="e">
        <f t="shared" ref="T139:T145" si="36">+R139*S139</f>
        <v>#N/A</v>
      </c>
      <c r="V139" s="13"/>
      <c r="W139" s="10"/>
      <c r="X139" s="11" t="e">
        <f>+VLOOKUP(V139,'PRECIO PROVEEDORES'!$A$2:$B$716,2,0)</f>
        <v>#N/A</v>
      </c>
      <c r="Y139" s="12" t="e">
        <f t="shared" ref="Y139:Y145" si="37">+W139*X139</f>
        <v>#N/A</v>
      </c>
      <c r="AA139" s="13"/>
      <c r="AB139" s="10"/>
      <c r="AC139" s="11" t="e">
        <f>+VLOOKUP(AA139,'PRECIO PROVEEDORES'!$A$2:$B$716,2,0)</f>
        <v>#N/A</v>
      </c>
      <c r="AD139" s="12" t="e">
        <f t="shared" ref="AD139:AD145" si="38">+AB139*AC139</f>
        <v>#N/A</v>
      </c>
    </row>
    <row r="140" spans="2:35" ht="15.75" customHeight="1" x14ac:dyDescent="0.2">
      <c r="B140" s="13" t="s">
        <v>27</v>
      </c>
      <c r="C140" s="10">
        <v>0.04</v>
      </c>
      <c r="D140" s="11">
        <f>+VLOOKUP(B140,'PRECIO PROVEEDORES'!$A$2:$B$716,2,0)</f>
        <v>6440</v>
      </c>
      <c r="E140" s="12">
        <f t="shared" si="33"/>
        <v>257.60000000000002</v>
      </c>
      <c r="G140" s="13" t="s">
        <v>132</v>
      </c>
      <c r="H140" s="10">
        <v>3.5000000000000003E-2</v>
      </c>
      <c r="I140" s="11">
        <f>+VLOOKUP(G140,'PRECIO PROVEEDORES'!$A$2:$B$716,2,0)</f>
        <v>17376</v>
      </c>
      <c r="J140" s="12">
        <f t="shared" si="34"/>
        <v>608.16000000000008</v>
      </c>
      <c r="L140" s="13"/>
      <c r="M140" s="10"/>
      <c r="N140" s="11" t="e">
        <f>+VLOOKUP(L140,'PRECIO PROVEEDORES'!$A$2:$B$716,2,0)</f>
        <v>#N/A</v>
      </c>
      <c r="O140" s="12" t="e">
        <f t="shared" si="35"/>
        <v>#N/A</v>
      </c>
      <c r="Q140" s="13"/>
      <c r="R140" s="10"/>
      <c r="S140" s="11" t="e">
        <f>+VLOOKUP(Q140,'PRECIO PROVEEDORES'!$A$2:$B$716,2,0)</f>
        <v>#N/A</v>
      </c>
      <c r="T140" s="12" t="e">
        <f t="shared" si="36"/>
        <v>#N/A</v>
      </c>
      <c r="V140" s="13"/>
      <c r="W140" s="10"/>
      <c r="X140" s="11" t="e">
        <f>+VLOOKUP(V140,'PRECIO PROVEEDORES'!$A$2:$B$716,2,0)</f>
        <v>#N/A</v>
      </c>
      <c r="Y140" s="12" t="e">
        <f t="shared" si="37"/>
        <v>#N/A</v>
      </c>
      <c r="AA140" s="13"/>
      <c r="AB140" s="10"/>
      <c r="AC140" s="11" t="e">
        <f>+VLOOKUP(AA140,'PRECIO PROVEEDORES'!$A$2:$B$716,2,0)</f>
        <v>#N/A</v>
      </c>
      <c r="AD140" s="12" t="e">
        <f t="shared" si="38"/>
        <v>#N/A</v>
      </c>
    </row>
    <row r="141" spans="2:35" ht="15.75" customHeight="1" x14ac:dyDescent="0.2">
      <c r="B141" s="13" t="s">
        <v>147</v>
      </c>
      <c r="C141" s="10">
        <v>0.15</v>
      </c>
      <c r="D141" s="11">
        <f>+VLOOKUP(B141,'PRECIO PROVEEDORES'!$A$2:$B$716,2,0)</f>
        <v>7700</v>
      </c>
      <c r="E141" s="12">
        <f t="shared" si="33"/>
        <v>1155</v>
      </c>
      <c r="G141" s="13" t="s">
        <v>147</v>
      </c>
      <c r="H141" s="10">
        <v>0.15</v>
      </c>
      <c r="I141" s="11">
        <f>+VLOOKUP(G141,'PRECIO PROVEEDORES'!$A$2:$B$716,2,0)</f>
        <v>7700</v>
      </c>
      <c r="J141" s="12">
        <f t="shared" si="34"/>
        <v>1155</v>
      </c>
      <c r="L141" s="13"/>
      <c r="M141" s="10"/>
      <c r="N141" s="11" t="e">
        <f>+VLOOKUP(L141,'PRECIO PROVEEDORES'!$A$2:$B$716,2,0)</f>
        <v>#N/A</v>
      </c>
      <c r="O141" s="12" t="e">
        <f t="shared" si="35"/>
        <v>#N/A</v>
      </c>
      <c r="Q141" s="13"/>
      <c r="R141" s="10"/>
      <c r="S141" s="11" t="e">
        <f>+VLOOKUP(Q141,'PRECIO PROVEEDORES'!$A$2:$B$716,2,0)</f>
        <v>#N/A</v>
      </c>
      <c r="T141" s="12" t="e">
        <f t="shared" si="36"/>
        <v>#N/A</v>
      </c>
      <c r="V141" s="13"/>
      <c r="W141" s="10"/>
      <c r="X141" s="11" t="e">
        <f>+VLOOKUP(V141,'PRECIO PROVEEDORES'!$A$2:$B$716,2,0)</f>
        <v>#N/A</v>
      </c>
      <c r="Y141" s="12" t="e">
        <f t="shared" si="37"/>
        <v>#N/A</v>
      </c>
      <c r="AA141" s="13"/>
      <c r="AB141" s="10"/>
      <c r="AC141" s="11" t="e">
        <f>+VLOOKUP(AA141,'PRECIO PROVEEDORES'!$A$2:$B$716,2,0)</f>
        <v>#N/A</v>
      </c>
      <c r="AD141" s="12" t="e">
        <f t="shared" si="38"/>
        <v>#N/A</v>
      </c>
    </row>
    <row r="142" spans="2:35" ht="15.75" customHeight="1" x14ac:dyDescent="0.2">
      <c r="B142" s="13" t="s">
        <v>148</v>
      </c>
      <c r="C142" s="10">
        <v>0.05</v>
      </c>
      <c r="D142" s="11">
        <f>+VLOOKUP(B142,'PRECIO PROVEEDORES'!$A$2:$B$716,2,0)</f>
        <v>9725</v>
      </c>
      <c r="E142" s="12">
        <f t="shared" si="33"/>
        <v>486.25</v>
      </c>
      <c r="G142" s="13" t="s">
        <v>12</v>
      </c>
      <c r="H142" s="10">
        <v>0.1</v>
      </c>
      <c r="I142" s="11">
        <f>+VLOOKUP(G142,'PRECIO PROVEEDORES'!$A$2:$B$716,2,0)</f>
        <v>243.1</v>
      </c>
      <c r="J142" s="12">
        <f t="shared" si="34"/>
        <v>24.310000000000002</v>
      </c>
      <c r="L142" s="13"/>
      <c r="M142" s="10"/>
      <c r="N142" s="11" t="e">
        <f>+VLOOKUP(L142,'PRECIO PROVEEDORES'!$A$2:$B$716,2,0)</f>
        <v>#N/A</v>
      </c>
      <c r="O142" s="12" t="e">
        <f t="shared" si="35"/>
        <v>#N/A</v>
      </c>
      <c r="Q142" s="13"/>
      <c r="R142" s="10"/>
      <c r="S142" s="11" t="e">
        <f>+VLOOKUP(Q142,'PRECIO PROVEEDORES'!$A$2:$B$716,2,0)</f>
        <v>#N/A</v>
      </c>
      <c r="T142" s="12" t="e">
        <f t="shared" si="36"/>
        <v>#N/A</v>
      </c>
      <c r="V142" s="13"/>
      <c r="W142" s="10"/>
      <c r="X142" s="11" t="e">
        <f>+VLOOKUP(V142,'PRECIO PROVEEDORES'!$A$2:$B$716,2,0)</f>
        <v>#N/A</v>
      </c>
      <c r="Y142" s="12" t="e">
        <f t="shared" si="37"/>
        <v>#N/A</v>
      </c>
      <c r="AA142" s="13"/>
      <c r="AB142" s="10"/>
      <c r="AC142" s="11" t="e">
        <f>+VLOOKUP(AA142,'PRECIO PROVEEDORES'!$A$2:$B$716,2,0)</f>
        <v>#N/A</v>
      </c>
      <c r="AD142" s="12" t="e">
        <f t="shared" si="38"/>
        <v>#N/A</v>
      </c>
    </row>
    <row r="143" spans="2:35" ht="15.75" customHeight="1" x14ac:dyDescent="0.2">
      <c r="B143" s="13" t="s">
        <v>12</v>
      </c>
      <c r="C143" s="10">
        <v>0.1</v>
      </c>
      <c r="D143" s="11">
        <f>+VLOOKUP(B143,'PRECIO PROVEEDORES'!$A$2:$B$716,2,0)</f>
        <v>243.1</v>
      </c>
      <c r="E143" s="12">
        <f t="shared" si="33"/>
        <v>24.310000000000002</v>
      </c>
      <c r="G143" s="13" t="s">
        <v>148</v>
      </c>
      <c r="H143" s="10">
        <v>0.05</v>
      </c>
      <c r="I143" s="11">
        <f>+VLOOKUP(G143,'PRECIO PROVEEDORES'!$A$2:$B$716,2,0)</f>
        <v>9725</v>
      </c>
      <c r="J143" s="12">
        <f t="shared" si="34"/>
        <v>486.25</v>
      </c>
      <c r="L143" s="13"/>
      <c r="M143" s="10"/>
      <c r="N143" s="11" t="e">
        <f>+VLOOKUP(L143,'PRECIO PROVEEDORES'!$A$2:$B$716,2,0)</f>
        <v>#N/A</v>
      </c>
      <c r="O143" s="12" t="e">
        <f t="shared" si="35"/>
        <v>#N/A</v>
      </c>
      <c r="Q143" s="13"/>
      <c r="R143" s="10"/>
      <c r="S143" s="11" t="e">
        <f>+VLOOKUP(Q143,'PRECIO PROVEEDORES'!$A$2:$B$716,2,0)</f>
        <v>#N/A</v>
      </c>
      <c r="T143" s="12" t="e">
        <f t="shared" si="36"/>
        <v>#N/A</v>
      </c>
      <c r="V143" s="13"/>
      <c r="W143" s="10"/>
      <c r="X143" s="11" t="e">
        <f>+VLOOKUP(V143,'PRECIO PROVEEDORES'!$A$2:$B$716,2,0)</f>
        <v>#N/A</v>
      </c>
      <c r="Y143" s="12" t="e">
        <f t="shared" si="37"/>
        <v>#N/A</v>
      </c>
      <c r="AA143" s="13"/>
      <c r="AB143" s="10"/>
      <c r="AC143" s="11" t="e">
        <f>+VLOOKUP(AA143,'PRECIO PROVEEDORES'!$A$2:$B$716,2,0)</f>
        <v>#N/A</v>
      </c>
      <c r="AD143" s="12" t="e">
        <f t="shared" si="38"/>
        <v>#N/A</v>
      </c>
    </row>
    <row r="144" spans="2:35" ht="15.75" customHeight="1" x14ac:dyDescent="0.2">
      <c r="B144" s="13" t="s">
        <v>132</v>
      </c>
      <c r="C144" s="10">
        <v>3.5000000000000003E-2</v>
      </c>
      <c r="D144" s="11">
        <f>+VLOOKUP(B144,'PRECIO PROVEEDORES'!$A$2:$B$716,2,0)</f>
        <v>17376</v>
      </c>
      <c r="E144" s="12">
        <f t="shared" si="33"/>
        <v>608.16000000000008</v>
      </c>
      <c r="G144" s="13" t="s">
        <v>151</v>
      </c>
      <c r="H144" s="10">
        <v>3.0000000000000001E-3</v>
      </c>
      <c r="I144" s="11">
        <f>+VLOOKUP(G144,'PRECIO PROVEEDORES'!$A$2:$B$716,2,0)</f>
        <v>1633</v>
      </c>
      <c r="J144" s="12">
        <f t="shared" si="34"/>
        <v>4.899</v>
      </c>
      <c r="L144" s="13"/>
      <c r="M144" s="10"/>
      <c r="N144" s="11" t="e">
        <f>+VLOOKUP(L144,'PRECIO PROVEEDORES'!$A$2:$B$716,2,0)</f>
        <v>#N/A</v>
      </c>
      <c r="O144" s="12" t="e">
        <f t="shared" si="35"/>
        <v>#N/A</v>
      </c>
      <c r="Q144" s="13"/>
      <c r="R144" s="10"/>
      <c r="S144" s="11" t="e">
        <f>+VLOOKUP(Q144,'PRECIO PROVEEDORES'!$A$2:$B$716,2,0)</f>
        <v>#N/A</v>
      </c>
      <c r="T144" s="12" t="e">
        <f t="shared" si="36"/>
        <v>#N/A</v>
      </c>
      <c r="V144" s="13"/>
      <c r="W144" s="10"/>
      <c r="X144" s="11" t="e">
        <f>+VLOOKUP(V144,'PRECIO PROVEEDORES'!$A$2:$B$716,2,0)</f>
        <v>#N/A</v>
      </c>
      <c r="Y144" s="12" t="e">
        <f t="shared" si="37"/>
        <v>#N/A</v>
      </c>
      <c r="AA144" s="13"/>
      <c r="AB144" s="10"/>
      <c r="AC144" s="11" t="e">
        <f>+VLOOKUP(AA144,'PRECIO PROVEEDORES'!$A$2:$B$716,2,0)</f>
        <v>#N/A</v>
      </c>
      <c r="AD144" s="12" t="e">
        <f t="shared" si="38"/>
        <v>#N/A</v>
      </c>
    </row>
    <row r="145" spans="2:30" ht="15.75" customHeight="1" x14ac:dyDescent="0.2">
      <c r="B145" s="13" t="s">
        <v>151</v>
      </c>
      <c r="C145" s="10">
        <v>3.0000000000000001E-3</v>
      </c>
      <c r="D145" s="11">
        <f>+VLOOKUP(B145,'PRECIO PROVEEDORES'!$A$2:$B$716,2,0)</f>
        <v>1633</v>
      </c>
      <c r="E145" s="12">
        <f t="shared" si="33"/>
        <v>4.899</v>
      </c>
      <c r="G145" s="13" t="s">
        <v>51</v>
      </c>
      <c r="H145" s="10">
        <v>3.0000000000000001E-3</v>
      </c>
      <c r="I145" s="11">
        <f>+VLOOKUP(G145,'PRECIO PROVEEDORES'!$A$2:$B$716,2,0)</f>
        <v>22269</v>
      </c>
      <c r="J145" s="12">
        <f t="shared" si="34"/>
        <v>66.807000000000002</v>
      </c>
      <c r="L145" s="13"/>
      <c r="M145" s="10"/>
      <c r="N145" s="11" t="e">
        <f>+VLOOKUP(L145,'PRECIO PROVEEDORES'!$A$2:$B$716,2,0)</f>
        <v>#N/A</v>
      </c>
      <c r="O145" s="12" t="e">
        <f t="shared" si="35"/>
        <v>#N/A</v>
      </c>
      <c r="Q145" s="13"/>
      <c r="R145" s="10"/>
      <c r="S145" s="11" t="e">
        <f>+VLOOKUP(Q145,'PRECIO PROVEEDORES'!$A$2:$B$716,2,0)</f>
        <v>#N/A</v>
      </c>
      <c r="T145" s="12" t="e">
        <f t="shared" si="36"/>
        <v>#N/A</v>
      </c>
      <c r="V145" s="13"/>
      <c r="W145" s="10"/>
      <c r="X145" s="11" t="e">
        <f>+VLOOKUP(V145,'PRECIO PROVEEDORES'!$A$2:$B$716,2,0)</f>
        <v>#N/A</v>
      </c>
      <c r="Y145" s="12" t="e">
        <f t="shared" si="37"/>
        <v>#N/A</v>
      </c>
      <c r="AA145" s="13"/>
      <c r="AB145" s="10"/>
      <c r="AC145" s="11" t="e">
        <f>+VLOOKUP(AA145,'PRECIO PROVEEDORES'!$A$2:$B$716,2,0)</f>
        <v>#N/A</v>
      </c>
      <c r="AD145" s="12" t="e">
        <f t="shared" si="38"/>
        <v>#N/A</v>
      </c>
    </row>
    <row r="146" spans="2:30" ht="15.75" customHeight="1" x14ac:dyDescent="0.2">
      <c r="B146" s="13" t="s">
        <v>51</v>
      </c>
      <c r="C146" s="7">
        <v>3.0000000000000001E-3</v>
      </c>
      <c r="D146" s="11">
        <f>+VLOOKUP(B146,'PRECIO PROVEEDORES'!$A$2:$B$716,2,0)</f>
        <v>22269</v>
      </c>
      <c r="E146" s="12">
        <f t="shared" si="33"/>
        <v>66.807000000000002</v>
      </c>
      <c r="G146" s="13" t="s">
        <v>152</v>
      </c>
      <c r="H146" s="7">
        <v>3.0000000000000001E-3</v>
      </c>
      <c r="I146" s="11">
        <f>+VLOOKUP(G146,'PRECIO PROVEEDORES'!$A$2:$B$716,2,0)</f>
        <v>8566.7999999999993</v>
      </c>
      <c r="J146" s="12">
        <f t="shared" si="34"/>
        <v>25.700399999999998</v>
      </c>
      <c r="L146" s="7"/>
      <c r="M146" s="7"/>
      <c r="N146" s="11"/>
      <c r="O146" s="12"/>
      <c r="Q146" s="7"/>
      <c r="R146" s="7"/>
      <c r="S146" s="11"/>
      <c r="T146" s="12"/>
      <c r="V146" s="7"/>
      <c r="W146" s="7"/>
      <c r="X146" s="11"/>
      <c r="Y146" s="12"/>
      <c r="AA146" s="7"/>
      <c r="AB146" s="7"/>
      <c r="AC146" s="11"/>
      <c r="AD146" s="12"/>
    </row>
    <row r="147" spans="2:30" ht="15.75" customHeight="1" x14ac:dyDescent="0.2">
      <c r="B147" s="13" t="s">
        <v>152</v>
      </c>
      <c r="C147" s="7">
        <v>3.0000000000000001E-3</v>
      </c>
      <c r="D147" s="11">
        <f>+VLOOKUP(B147,'PRECIO PROVEEDORES'!$A$2:$B$716,2,0)</f>
        <v>8566.7999999999993</v>
      </c>
      <c r="E147" s="12">
        <f t="shared" si="33"/>
        <v>25.700399999999998</v>
      </c>
      <c r="G147" s="13" t="s">
        <v>155</v>
      </c>
      <c r="H147" s="7">
        <v>0.5</v>
      </c>
      <c r="I147" s="11">
        <f>+VLOOKUP(G147,'PRECIO PROVEEDORES'!$A$2:$B$716,2,0)</f>
        <v>974</v>
      </c>
      <c r="J147" s="12">
        <f t="shared" si="34"/>
        <v>487</v>
      </c>
      <c r="L147" s="19"/>
      <c r="M147" s="7"/>
      <c r="N147" s="11"/>
      <c r="O147" s="12"/>
      <c r="Q147" s="19"/>
      <c r="R147" s="7"/>
      <c r="S147" s="11"/>
      <c r="T147" s="12"/>
      <c r="V147" s="19"/>
      <c r="W147" s="7"/>
      <c r="X147" s="11"/>
      <c r="Y147" s="12"/>
      <c r="AA147" s="19"/>
      <c r="AB147" s="7"/>
      <c r="AC147" s="11"/>
      <c r="AD147" s="12"/>
    </row>
    <row r="148" spans="2:30" ht="15.75" customHeight="1" x14ac:dyDescent="0.2">
      <c r="B148" s="13" t="s">
        <v>48</v>
      </c>
      <c r="C148" s="7">
        <v>0.15</v>
      </c>
      <c r="D148" s="11">
        <f>+VLOOKUP(B148,'PRECIO PROVEEDORES'!$A$2:$B$716,2,0)</f>
        <v>1685.0214999999996</v>
      </c>
      <c r="E148" s="12">
        <f t="shared" si="33"/>
        <v>252.75322499999993</v>
      </c>
      <c r="G148" s="13"/>
      <c r="H148" s="7"/>
      <c r="I148" s="11"/>
      <c r="J148" s="12"/>
      <c r="L148" s="19"/>
      <c r="M148" s="7"/>
      <c r="N148" s="11"/>
      <c r="O148" s="12"/>
      <c r="Q148" s="19"/>
      <c r="R148" s="7"/>
      <c r="S148" s="11"/>
      <c r="T148" s="12"/>
      <c r="V148" s="19"/>
      <c r="W148" s="7"/>
      <c r="X148" s="11"/>
      <c r="Y148" s="12"/>
      <c r="AA148" s="19"/>
      <c r="AB148" s="7"/>
      <c r="AC148" s="11"/>
      <c r="AD148" s="12"/>
    </row>
    <row r="149" spans="2:30" ht="15.75" customHeight="1" x14ac:dyDescent="0.2">
      <c r="B149" s="13" t="s">
        <v>50</v>
      </c>
      <c r="C149" s="7">
        <v>0.04</v>
      </c>
      <c r="D149" s="11">
        <f>+VLOOKUP(B149,'PRECIO PROVEEDORES'!$A$2:$B$716,2,0)</f>
        <v>3891.9110000000001</v>
      </c>
      <c r="E149" s="12">
        <f t="shared" si="33"/>
        <v>155.67644000000001</v>
      </c>
      <c r="G149" s="13"/>
      <c r="H149" s="7"/>
      <c r="I149" s="11"/>
      <c r="J149" s="12"/>
      <c r="L149" s="19"/>
      <c r="M149" s="7"/>
      <c r="N149" s="11"/>
      <c r="O149" s="12"/>
      <c r="Q149" s="19"/>
      <c r="R149" s="7"/>
      <c r="S149" s="11"/>
      <c r="T149" s="12"/>
      <c r="V149" s="19"/>
      <c r="W149" s="7"/>
      <c r="X149" s="11"/>
      <c r="Y149" s="12"/>
      <c r="AA149" s="19"/>
      <c r="AB149" s="7"/>
      <c r="AC149" s="11"/>
      <c r="AD149" s="12"/>
    </row>
    <row r="150" spans="2:30" ht="15.75" customHeight="1" x14ac:dyDescent="0.2">
      <c r="B150" s="13" t="s">
        <v>153</v>
      </c>
      <c r="C150" s="7">
        <v>0.5</v>
      </c>
      <c r="D150" s="11">
        <f>+VLOOKUP(B150,'PRECIO PROVEEDORES'!$A$2:$B$716,2,0)</f>
        <v>160.5</v>
      </c>
      <c r="E150" s="12">
        <f t="shared" si="33"/>
        <v>80.25</v>
      </c>
      <c r="G150" s="13"/>
      <c r="H150" s="7"/>
      <c r="I150" s="11"/>
      <c r="J150" s="12"/>
      <c r="L150" s="19"/>
      <c r="M150" s="7"/>
      <c r="N150" s="11"/>
      <c r="O150" s="12"/>
      <c r="Q150" s="19"/>
      <c r="R150" s="7"/>
      <c r="S150" s="11"/>
      <c r="T150" s="12"/>
      <c r="V150" s="19"/>
      <c r="W150" s="7"/>
      <c r="X150" s="11"/>
      <c r="Y150" s="12"/>
      <c r="AA150" s="19"/>
      <c r="AB150" s="7"/>
      <c r="AC150" s="11"/>
      <c r="AD150" s="12"/>
    </row>
    <row r="151" spans="2:30" ht="15.75" customHeight="1" x14ac:dyDescent="0.2">
      <c r="B151" s="13" t="s">
        <v>156</v>
      </c>
      <c r="C151" s="7">
        <v>0.5</v>
      </c>
      <c r="D151" s="11">
        <f>+VLOOKUP(B151,'PRECIO PROVEEDORES'!$A$2:$B$716,2,0)</f>
        <v>155</v>
      </c>
      <c r="E151" s="12">
        <f t="shared" si="33"/>
        <v>77.5</v>
      </c>
      <c r="G151" s="5"/>
      <c r="H151" s="7"/>
      <c r="I151" s="11"/>
      <c r="J151" s="12"/>
      <c r="L151" s="5"/>
      <c r="M151" s="7"/>
      <c r="N151" s="11"/>
      <c r="O151" s="12"/>
      <c r="Q151" s="5"/>
      <c r="R151" s="7"/>
      <c r="S151" s="11"/>
      <c r="T151" s="12"/>
      <c r="V151" s="5"/>
      <c r="W151" s="7"/>
      <c r="X151" s="11"/>
      <c r="Y151" s="12"/>
      <c r="AA151" s="5"/>
      <c r="AB151" s="7"/>
      <c r="AC151" s="11"/>
      <c r="AD151" s="12"/>
    </row>
    <row r="152" spans="2:30" ht="15.75" customHeight="1" x14ac:dyDescent="0.2">
      <c r="B152" s="13" t="s">
        <v>157</v>
      </c>
      <c r="C152" s="7">
        <v>0.5</v>
      </c>
      <c r="D152" s="11">
        <f>+VLOOKUP(B152,'PRECIO PROVEEDORES'!$A$2:$B$716,2,0)</f>
        <v>86</v>
      </c>
      <c r="E152" s="12">
        <f t="shared" si="33"/>
        <v>43</v>
      </c>
      <c r="G152" s="5"/>
      <c r="H152" s="7"/>
      <c r="I152" s="11"/>
      <c r="J152" s="12"/>
      <c r="L152" s="5"/>
      <c r="M152" s="7"/>
      <c r="N152" s="11"/>
      <c r="O152" s="12"/>
      <c r="Q152" s="5"/>
      <c r="R152" s="7"/>
      <c r="S152" s="11"/>
      <c r="T152" s="12"/>
      <c r="V152" s="5"/>
      <c r="W152" s="7"/>
      <c r="X152" s="11"/>
      <c r="Y152" s="12"/>
      <c r="AA152" s="5"/>
      <c r="AB152" s="7"/>
      <c r="AC152" s="11"/>
      <c r="AD152" s="12"/>
    </row>
    <row r="153" spans="2:30" ht="15.75" customHeight="1" x14ac:dyDescent="0.2">
      <c r="B153" s="5"/>
      <c r="C153" s="7"/>
      <c r="D153" s="11"/>
      <c r="E153" s="12"/>
      <c r="G153" s="5"/>
      <c r="H153" s="7"/>
      <c r="I153" s="11"/>
      <c r="J153" s="12"/>
      <c r="L153" s="5"/>
      <c r="M153" s="7"/>
      <c r="N153" s="11"/>
      <c r="O153" s="12"/>
      <c r="Q153" s="5"/>
      <c r="R153" s="7"/>
      <c r="S153" s="11"/>
      <c r="T153" s="12"/>
      <c r="V153" s="5"/>
      <c r="W153" s="7"/>
      <c r="X153" s="11"/>
      <c r="Y153" s="12"/>
      <c r="AA153" s="5"/>
      <c r="AB153" s="7"/>
      <c r="AC153" s="11"/>
      <c r="AD153" s="12"/>
    </row>
    <row r="154" spans="2:30" ht="15.75" customHeight="1" x14ac:dyDescent="0.2">
      <c r="B154" s="21" t="s">
        <v>52</v>
      </c>
      <c r="C154" s="22"/>
      <c r="D154" s="23"/>
      <c r="E154" s="24">
        <f>SUM(E139:E153)</f>
        <v>3490.9060649999997</v>
      </c>
      <c r="G154" s="21" t="s">
        <v>52</v>
      </c>
      <c r="H154" s="22"/>
      <c r="I154" s="23"/>
      <c r="J154" s="24">
        <f>SUM(J139:J153)</f>
        <v>3115.7264</v>
      </c>
      <c r="L154" s="21" t="s">
        <v>52</v>
      </c>
      <c r="M154" s="22"/>
      <c r="N154" s="23"/>
      <c r="O154" s="24" t="e">
        <f>SUM(O139:O153)</f>
        <v>#N/A</v>
      </c>
      <c r="Q154" s="21" t="s">
        <v>52</v>
      </c>
      <c r="R154" s="22"/>
      <c r="S154" s="23"/>
      <c r="T154" s="24" t="e">
        <f>SUM(T139:T153)</f>
        <v>#N/A</v>
      </c>
      <c r="V154" s="21" t="s">
        <v>52</v>
      </c>
      <c r="W154" s="22"/>
      <c r="X154" s="23"/>
      <c r="Y154" s="24" t="e">
        <f>SUM(Y139:Y153)</f>
        <v>#N/A</v>
      </c>
      <c r="AA154" s="21" t="s">
        <v>52</v>
      </c>
      <c r="AB154" s="22"/>
      <c r="AC154" s="23"/>
      <c r="AD154" s="24" t="e">
        <f>SUM(AD139:AD153)</f>
        <v>#N/A</v>
      </c>
    </row>
    <row r="155" spans="2:30" ht="15.75" customHeight="1" x14ac:dyDescent="0.2">
      <c r="B155" s="19" t="s">
        <v>53</v>
      </c>
      <c r="C155" s="27"/>
      <c r="D155" s="28"/>
      <c r="E155" s="29">
        <f>SUM(E154)</f>
        <v>3490.9060649999997</v>
      </c>
      <c r="G155" s="19" t="s">
        <v>53</v>
      </c>
      <c r="H155" s="27"/>
      <c r="I155" s="28"/>
      <c r="J155" s="29">
        <f>SUM(J154)</f>
        <v>3115.7264</v>
      </c>
      <c r="L155" s="19" t="s">
        <v>53</v>
      </c>
      <c r="M155" s="27"/>
      <c r="N155" s="28"/>
      <c r="O155" s="29" t="e">
        <f>SUM(O154)</f>
        <v>#N/A</v>
      </c>
      <c r="Q155" s="19" t="s">
        <v>53</v>
      </c>
      <c r="R155" s="27"/>
      <c r="S155" s="28"/>
      <c r="T155" s="29" t="e">
        <f>SUM(T154)</f>
        <v>#N/A</v>
      </c>
      <c r="V155" s="19" t="s">
        <v>53</v>
      </c>
      <c r="W155" s="27"/>
      <c r="X155" s="28"/>
      <c r="Y155" s="29" t="e">
        <f>SUM(Y154)</f>
        <v>#N/A</v>
      </c>
      <c r="AA155" s="19" t="s">
        <v>53</v>
      </c>
      <c r="AB155" s="27"/>
      <c r="AC155" s="28"/>
      <c r="AD155" s="29" t="e">
        <f>SUM(AD154)</f>
        <v>#N/A</v>
      </c>
    </row>
    <row r="156" spans="2:30" ht="15.75" customHeight="1" x14ac:dyDescent="0.2">
      <c r="B156" s="19" t="s">
        <v>54</v>
      </c>
      <c r="C156" s="27"/>
      <c r="D156" s="28"/>
      <c r="E156" s="29">
        <f>+E155</f>
        <v>3490.9060649999997</v>
      </c>
      <c r="G156" s="19" t="s">
        <v>54</v>
      </c>
      <c r="H156" s="27"/>
      <c r="I156" s="28"/>
      <c r="J156" s="29">
        <f>+J155</f>
        <v>3115.7264</v>
      </c>
      <c r="L156" s="19" t="s">
        <v>54</v>
      </c>
      <c r="M156" s="27"/>
      <c r="N156" s="28"/>
      <c r="O156" s="29" t="e">
        <f>+O155</f>
        <v>#N/A</v>
      </c>
      <c r="Q156" s="19" t="s">
        <v>54</v>
      </c>
      <c r="R156" s="27"/>
      <c r="S156" s="28"/>
      <c r="T156" s="29" t="e">
        <f>+T155</f>
        <v>#N/A</v>
      </c>
      <c r="V156" s="19" t="s">
        <v>54</v>
      </c>
      <c r="W156" s="27"/>
      <c r="X156" s="28"/>
      <c r="Y156" s="29" t="e">
        <f>+Y155</f>
        <v>#N/A</v>
      </c>
      <c r="AA156" s="19" t="s">
        <v>54</v>
      </c>
      <c r="AB156" s="27"/>
      <c r="AC156" s="28"/>
      <c r="AD156" s="29" t="e">
        <f>+AD155</f>
        <v>#N/A</v>
      </c>
    </row>
    <row r="157" spans="2:30" ht="15.75" customHeight="1" x14ac:dyDescent="0.2">
      <c r="B157" s="19" t="s">
        <v>55</v>
      </c>
      <c r="C157" s="27"/>
      <c r="D157" s="31">
        <v>0.3</v>
      </c>
      <c r="E157" s="29"/>
      <c r="G157" s="19" t="s">
        <v>55</v>
      </c>
      <c r="H157" s="27"/>
      <c r="I157" s="31">
        <v>0.3</v>
      </c>
      <c r="J157" s="29"/>
      <c r="L157" s="19" t="s">
        <v>55</v>
      </c>
      <c r="M157" s="27"/>
      <c r="N157" s="31">
        <v>0.3</v>
      </c>
      <c r="O157" s="29"/>
      <c r="Q157" s="19" t="s">
        <v>55</v>
      </c>
      <c r="R157" s="27"/>
      <c r="S157" s="31">
        <v>0.3</v>
      </c>
      <c r="T157" s="29"/>
      <c r="V157" s="19" t="s">
        <v>55</v>
      </c>
      <c r="W157" s="27"/>
      <c r="X157" s="31">
        <v>0.3</v>
      </c>
      <c r="Y157" s="29"/>
      <c r="AA157" s="19" t="s">
        <v>55</v>
      </c>
      <c r="AB157" s="27"/>
      <c r="AC157" s="31">
        <v>0.3</v>
      </c>
      <c r="AD157" s="29"/>
    </row>
    <row r="158" spans="2:30" ht="15.75" customHeight="1" x14ac:dyDescent="0.2">
      <c r="B158" s="19" t="s">
        <v>56</v>
      </c>
      <c r="C158" s="27"/>
      <c r="D158" s="31"/>
      <c r="E158" s="29">
        <f>+E156*3.33333333333333</f>
        <v>11636.353549999987</v>
      </c>
      <c r="G158" s="19" t="s">
        <v>56</v>
      </c>
      <c r="H158" s="27"/>
      <c r="I158" s="31"/>
      <c r="J158" s="29">
        <f>+J156*3.33333333333333</f>
        <v>10385.754666666657</v>
      </c>
      <c r="L158" s="19" t="s">
        <v>56</v>
      </c>
      <c r="M158" s="27"/>
      <c r="N158" s="31"/>
      <c r="O158" s="29" t="e">
        <f>+O156*3.33333333333333</f>
        <v>#N/A</v>
      </c>
      <c r="Q158" s="19" t="s">
        <v>56</v>
      </c>
      <c r="R158" s="27"/>
      <c r="S158" s="31"/>
      <c r="T158" s="29" t="e">
        <f>+T156*3.33333333333333</f>
        <v>#N/A</v>
      </c>
      <c r="V158" s="19" t="s">
        <v>56</v>
      </c>
      <c r="W158" s="27"/>
      <c r="X158" s="31"/>
      <c r="Y158" s="29" t="e">
        <f>+Y156*3.33333333333333</f>
        <v>#N/A</v>
      </c>
      <c r="AA158" s="19" t="s">
        <v>56</v>
      </c>
      <c r="AB158" s="27"/>
      <c r="AC158" s="31"/>
      <c r="AD158" s="29" t="e">
        <f>+AD156*3.33333333333333</f>
        <v>#N/A</v>
      </c>
    </row>
    <row r="159" spans="2:30" ht="15.75" customHeight="1" x14ac:dyDescent="0.2">
      <c r="B159" s="19" t="s">
        <v>158</v>
      </c>
      <c r="C159" s="27">
        <v>14000</v>
      </c>
      <c r="D159" s="43">
        <v>0.35</v>
      </c>
      <c r="E159" s="29">
        <v>19000</v>
      </c>
      <c r="G159" s="19" t="s">
        <v>158</v>
      </c>
      <c r="H159" s="27">
        <v>12500</v>
      </c>
      <c r="I159" s="43">
        <v>0.35</v>
      </c>
      <c r="J159" s="29">
        <v>17000</v>
      </c>
      <c r="L159" s="19" t="s">
        <v>57</v>
      </c>
      <c r="M159" s="27"/>
      <c r="N159" s="27"/>
      <c r="O159" s="29" t="e">
        <f>SUM(O158)</f>
        <v>#N/A</v>
      </c>
      <c r="Q159" s="19" t="s">
        <v>57</v>
      </c>
      <c r="R159" s="27"/>
      <c r="S159" s="27"/>
      <c r="T159" s="29" t="e">
        <f>SUM(T158)</f>
        <v>#N/A</v>
      </c>
      <c r="V159" s="19" t="s">
        <v>57</v>
      </c>
      <c r="W159" s="27"/>
      <c r="X159" s="27"/>
      <c r="Y159" s="29" t="e">
        <f>SUM(Y158)</f>
        <v>#N/A</v>
      </c>
      <c r="AA159" s="19" t="s">
        <v>57</v>
      </c>
      <c r="AB159" s="27"/>
      <c r="AC159" s="27"/>
      <c r="AD159" s="29" t="e">
        <f>SUM(AD158)</f>
        <v>#N/A</v>
      </c>
    </row>
    <row r="160" spans="2:30" ht="15.75" customHeight="1" x14ac:dyDescent="0.2">
      <c r="B160" s="19"/>
      <c r="C160" s="27"/>
      <c r="D160" s="28"/>
      <c r="E160" s="24">
        <f>+E159-E158</f>
        <v>7363.6464500000129</v>
      </c>
      <c r="G160" s="19"/>
      <c r="H160" s="27"/>
      <c r="I160" s="28"/>
      <c r="J160" s="24">
        <f>+J159-J158</f>
        <v>6614.2453333333433</v>
      </c>
      <c r="L160" s="19"/>
      <c r="M160" s="27"/>
      <c r="N160" s="28"/>
      <c r="O160" s="24" t="e">
        <f>+O159-O158</f>
        <v>#N/A</v>
      </c>
      <c r="Q160" s="19"/>
      <c r="R160" s="27"/>
      <c r="S160" s="28"/>
      <c r="T160" s="24" t="e">
        <f>+T159-T158</f>
        <v>#N/A</v>
      </c>
      <c r="V160" s="19"/>
      <c r="W160" s="27"/>
      <c r="X160" s="28"/>
      <c r="Y160" s="24" t="e">
        <f>+Y159-Y158</f>
        <v>#N/A</v>
      </c>
      <c r="AA160" s="19"/>
      <c r="AB160" s="27"/>
      <c r="AC160" s="28"/>
      <c r="AD160" s="24" t="e">
        <f>+AD159-AD158</f>
        <v>#N/A</v>
      </c>
    </row>
    <row r="161" spans="2:30" ht="15.75" customHeight="1" x14ac:dyDescent="0.2">
      <c r="B161" s="32" t="s">
        <v>58</v>
      </c>
      <c r="C161" s="33"/>
      <c r="D161" s="33"/>
      <c r="E161" s="34">
        <f>E156/E159</f>
        <v>0.18373189815789473</v>
      </c>
      <c r="G161" s="32" t="s">
        <v>58</v>
      </c>
      <c r="H161" s="33"/>
      <c r="I161" s="33"/>
      <c r="J161" s="34">
        <f>J156/J159</f>
        <v>0.18327802352941178</v>
      </c>
      <c r="L161" s="32" t="s">
        <v>58</v>
      </c>
      <c r="M161" s="33"/>
      <c r="N161" s="33"/>
      <c r="O161" s="34" t="e">
        <f>O156/O159</f>
        <v>#N/A</v>
      </c>
      <c r="Q161" s="32" t="s">
        <v>58</v>
      </c>
      <c r="R161" s="33"/>
      <c r="S161" s="33"/>
      <c r="T161" s="34" t="e">
        <f>T156/T159</f>
        <v>#N/A</v>
      </c>
      <c r="V161" s="32" t="s">
        <v>58</v>
      </c>
      <c r="W161" s="33"/>
      <c r="X161" s="33"/>
      <c r="Y161" s="34" t="e">
        <f>Y156/Y159</f>
        <v>#N/A</v>
      </c>
      <c r="AA161" s="32" t="s">
        <v>58</v>
      </c>
      <c r="AB161" s="33"/>
      <c r="AC161" s="33"/>
      <c r="AD161" s="34" t="e">
        <f>AD156/AD159</f>
        <v>#N/A</v>
      </c>
    </row>
    <row r="162" spans="2:30" ht="15.75" customHeight="1" x14ac:dyDescent="0.15"/>
    <row r="163" spans="2:30" ht="15.75" customHeight="1" x14ac:dyDescent="0.15"/>
    <row r="164" spans="2:30" ht="15.75" customHeight="1" x14ac:dyDescent="0.15">
      <c r="B164" s="1" t="s">
        <v>160</v>
      </c>
      <c r="C164" s="85">
        <v>4000</v>
      </c>
    </row>
    <row r="165" spans="2:30" ht="15.75" customHeight="1" x14ac:dyDescent="0.15"/>
    <row r="166" spans="2:30" ht="15.75" customHeight="1" x14ac:dyDescent="0.15"/>
    <row r="167" spans="2:30" ht="15.75" customHeight="1" x14ac:dyDescent="0.15"/>
    <row r="168" spans="2:30" ht="15.75" customHeight="1" x14ac:dyDescent="0.15"/>
    <row r="169" spans="2:30" ht="15.75" customHeight="1" x14ac:dyDescent="0.15"/>
    <row r="170" spans="2:30" ht="15.75" customHeight="1" x14ac:dyDescent="0.15"/>
    <row r="171" spans="2:30" ht="15.75" customHeight="1" x14ac:dyDescent="0.15"/>
    <row r="172" spans="2:30" ht="15.75" customHeight="1" x14ac:dyDescent="0.15"/>
    <row r="173" spans="2:30" ht="15.75" customHeight="1" x14ac:dyDescent="0.15"/>
    <row r="174" spans="2:30" ht="15.75" customHeight="1" x14ac:dyDescent="0.15"/>
    <row r="175" spans="2:30" ht="15.75" customHeight="1" x14ac:dyDescent="0.15"/>
    <row r="176" spans="2:30"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sheetData>
  <mergeCells count="40">
    <mergeCell ref="AA83:AD83"/>
    <mergeCell ref="AF83:AI83"/>
    <mergeCell ref="B137:E137"/>
    <mergeCell ref="G137:J137"/>
    <mergeCell ref="L137:O137"/>
    <mergeCell ref="Q137:T137"/>
    <mergeCell ref="V137:Y137"/>
    <mergeCell ref="AA137:AD137"/>
    <mergeCell ref="B110:E110"/>
    <mergeCell ref="G110:J110"/>
    <mergeCell ref="L110:O110"/>
    <mergeCell ref="Q110:T110"/>
    <mergeCell ref="V110:Y110"/>
    <mergeCell ref="AA110:AD110"/>
    <mergeCell ref="AF110:AI110"/>
    <mergeCell ref="B83:E83"/>
    <mergeCell ref="G83:J83"/>
    <mergeCell ref="L83:O83"/>
    <mergeCell ref="Q83:T83"/>
    <mergeCell ref="V83:Y83"/>
    <mergeCell ref="AA56:AD56"/>
    <mergeCell ref="AF56:AI56"/>
    <mergeCell ref="G29:J29"/>
    <mergeCell ref="L29:O29"/>
    <mergeCell ref="B56:E56"/>
    <mergeCell ref="G56:J56"/>
    <mergeCell ref="L56:O56"/>
    <mergeCell ref="Q56:T56"/>
    <mergeCell ref="V56:Y56"/>
    <mergeCell ref="Q29:T29"/>
    <mergeCell ref="V29:Y29"/>
    <mergeCell ref="AF29:AI29"/>
    <mergeCell ref="B2:E2"/>
    <mergeCell ref="G2:J2"/>
    <mergeCell ref="L2:O2"/>
    <mergeCell ref="Q2:T2"/>
    <mergeCell ref="V2:Y2"/>
    <mergeCell ref="AA2:AD2"/>
    <mergeCell ref="B29:E29"/>
    <mergeCell ref="AA29:AD29"/>
  </mergeCells>
  <conditionalFormatting sqref="E26 J26 O26 T26 Y26 AD26 E53 J53 O53 T53 Y53 AD53 AI53 E80 J80 O80 T80 Y80 AD80 AI80 E107 J107 O107 T107 Y107 AD107 AI107 E134 J134 O134 T134 Y134 AD134 AI134">
    <cfRule type="cellIs" dxfId="15" priority="1" operator="lessThanOrEqual">
      <formula>"25%"</formula>
    </cfRule>
    <cfRule type="cellIs" dxfId="14" priority="2" operator="between">
      <formula>"25%"</formula>
      <formula>"30%"</formula>
    </cfRule>
    <cfRule type="cellIs" dxfId="13" priority="3" operator="greaterThanOrEqual">
      <formula>"30%"</formula>
    </cfRule>
  </conditionalFormatting>
  <pageMargins left="0.7" right="0.7" top="0.75" bottom="0.75" header="0" footer="0"/>
  <pageSetup orientation="landscape"/>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'PRECIO PROVEEDORES'!$A$3:$A$543</xm:f>
          </x14:formula1>
          <xm:sqref>AA112:AA122 B112:B123 G139:G150 B139:B152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944"/>
  <sheetViews>
    <sheetView showGridLines="0" workbookViewId="0"/>
  </sheetViews>
  <sheetFormatPr baseColWidth="10" defaultColWidth="12.6640625" defaultRowHeight="15" customHeight="1" x14ac:dyDescent="0.15"/>
  <cols>
    <col min="1" max="1" width="3.33203125" customWidth="1"/>
    <col min="2" max="2" width="34.83203125" customWidth="1"/>
    <col min="3" max="3" width="10.33203125" customWidth="1"/>
    <col min="4" max="4" width="13.1640625" customWidth="1"/>
    <col min="5" max="5" width="9.33203125" customWidth="1"/>
    <col min="7" max="7" width="33.83203125" customWidth="1"/>
    <col min="12" max="12" width="34.83203125" customWidth="1"/>
    <col min="17" max="17" width="31.33203125" customWidth="1"/>
    <col min="22" max="22" width="28" customWidth="1"/>
    <col min="27" max="27" width="25.5" customWidth="1"/>
  </cols>
  <sheetData>
    <row r="1" spans="1:30" x14ac:dyDescent="0.2">
      <c r="B1" s="2"/>
      <c r="C1" s="2"/>
      <c r="D1" s="2"/>
      <c r="E1" s="2"/>
    </row>
    <row r="2" spans="1:30" x14ac:dyDescent="0.15">
      <c r="B2" s="212" t="s">
        <v>161</v>
      </c>
      <c r="C2" s="213"/>
      <c r="D2" s="213"/>
      <c r="E2" s="214"/>
      <c r="G2" s="212" t="s">
        <v>162</v>
      </c>
      <c r="H2" s="213"/>
      <c r="I2" s="213"/>
      <c r="J2" s="214"/>
      <c r="L2" s="212" t="s">
        <v>163</v>
      </c>
      <c r="M2" s="213"/>
      <c r="N2" s="213"/>
      <c r="O2" s="214"/>
      <c r="Q2" s="212" t="s">
        <v>164</v>
      </c>
      <c r="R2" s="213"/>
      <c r="S2" s="213"/>
      <c r="T2" s="214"/>
      <c r="V2" s="219"/>
      <c r="W2" s="220"/>
      <c r="X2" s="220"/>
      <c r="Y2" s="220"/>
      <c r="AA2" s="219"/>
      <c r="AB2" s="220"/>
      <c r="AC2" s="220"/>
      <c r="AD2" s="220"/>
    </row>
    <row r="3" spans="1:30" x14ac:dyDescent="0.2">
      <c r="B3" s="5"/>
      <c r="C3" s="6" t="s">
        <v>8</v>
      </c>
      <c r="D3" s="7" t="s">
        <v>9</v>
      </c>
      <c r="E3" s="8" t="s">
        <v>10</v>
      </c>
      <c r="G3" s="5"/>
      <c r="H3" s="6" t="s">
        <v>8</v>
      </c>
      <c r="I3" s="7" t="s">
        <v>9</v>
      </c>
      <c r="J3" s="8" t="s">
        <v>10</v>
      </c>
      <c r="L3" s="5"/>
      <c r="M3" s="6" t="s">
        <v>8</v>
      </c>
      <c r="N3" s="7" t="s">
        <v>9</v>
      </c>
      <c r="O3" s="8" t="s">
        <v>10</v>
      </c>
      <c r="Q3" s="5"/>
      <c r="R3" s="6" t="s">
        <v>8</v>
      </c>
      <c r="S3" s="7" t="s">
        <v>9</v>
      </c>
      <c r="T3" s="8" t="s">
        <v>10</v>
      </c>
      <c r="V3" s="2"/>
      <c r="W3" s="86"/>
      <c r="X3" s="2"/>
      <c r="Y3" s="2"/>
      <c r="AA3" s="2"/>
      <c r="AB3" s="86"/>
      <c r="AC3" s="2"/>
      <c r="AD3" s="2"/>
    </row>
    <row r="4" spans="1:30" ht="16" x14ac:dyDescent="0.2">
      <c r="B4" s="7" t="s">
        <v>165</v>
      </c>
      <c r="C4" s="10">
        <v>1.9E-2</v>
      </c>
      <c r="D4" s="11">
        <f>+VLOOKUP(B4,'PRECIO PROVEEDORES'!$A$2:$B$716,2,0)</f>
        <v>47093</v>
      </c>
      <c r="E4" s="12">
        <f t="shared" ref="E4:E5" si="0">+C4*D4</f>
        <v>894.76699999999994</v>
      </c>
      <c r="G4" s="7" t="s">
        <v>165</v>
      </c>
      <c r="H4" s="10">
        <v>0.01</v>
      </c>
      <c r="I4" s="11">
        <f>+VLOOKUP(G4,'PRECIO PROVEEDORES'!$A$2:$B$716,2,0)</f>
        <v>47093</v>
      </c>
      <c r="J4" s="12">
        <f t="shared" ref="J4:J5" si="1">+H4*I4</f>
        <v>470.93</v>
      </c>
      <c r="L4" s="7" t="s">
        <v>165</v>
      </c>
      <c r="M4" s="10">
        <v>0.01</v>
      </c>
      <c r="N4" s="11">
        <f>+VLOOKUP(L4,'PRECIO PROVEEDORES'!$A$2:$B$716,2,0)</f>
        <v>47093</v>
      </c>
      <c r="O4" s="12">
        <f t="shared" ref="O4:O5" si="2">+M4*N4</f>
        <v>470.93</v>
      </c>
      <c r="Q4" s="7" t="s">
        <v>165</v>
      </c>
      <c r="R4" s="10">
        <v>0.01</v>
      </c>
      <c r="S4" s="11">
        <f>+VLOOKUP(Q4,'PRECIO PROVEEDORES'!$A$2:$B$716,2,0)</f>
        <v>47093</v>
      </c>
      <c r="T4" s="12">
        <f t="shared" ref="T4:T5" si="3">+R4*S4</f>
        <v>470.93</v>
      </c>
      <c r="V4" s="2"/>
      <c r="W4" s="2"/>
      <c r="X4" s="87"/>
      <c r="Y4" s="37"/>
      <c r="AA4" s="2"/>
      <c r="AB4" s="2"/>
      <c r="AC4" s="87"/>
      <c r="AD4" s="37"/>
    </row>
    <row r="5" spans="1:30" ht="16" x14ac:dyDescent="0.2">
      <c r="B5" s="13" t="s">
        <v>166</v>
      </c>
      <c r="C5" s="10">
        <v>0.14000000000000001</v>
      </c>
      <c r="D5" s="11">
        <f>+VLOOKUP(B5,'PRECIO PROVEEDORES'!$A$2:$B$716,2,0)</f>
        <v>1940</v>
      </c>
      <c r="E5" s="12">
        <f t="shared" si="0"/>
        <v>271.60000000000002</v>
      </c>
      <c r="G5" s="13" t="s">
        <v>166</v>
      </c>
      <c r="H5" s="10">
        <v>0.24</v>
      </c>
      <c r="I5" s="11">
        <f>+VLOOKUP(G5,'PRECIO PROVEEDORES'!$A$2:$B$716,2,0)</f>
        <v>1940</v>
      </c>
      <c r="J5" s="12">
        <f t="shared" si="1"/>
        <v>465.59999999999997</v>
      </c>
      <c r="L5" s="13" t="s">
        <v>166</v>
      </c>
      <c r="M5" s="10">
        <v>0.21</v>
      </c>
      <c r="N5" s="11">
        <f>+VLOOKUP(L5,'PRECIO PROVEEDORES'!$A$2:$B$716,2,0)</f>
        <v>1940</v>
      </c>
      <c r="O5" s="12">
        <f t="shared" si="2"/>
        <v>407.4</v>
      </c>
      <c r="Q5" s="13" t="s">
        <v>166</v>
      </c>
      <c r="R5" s="10">
        <v>0.1</v>
      </c>
      <c r="S5" s="11">
        <f>+VLOOKUP(Q5,'PRECIO PROVEEDORES'!$A$2:$B$716,2,0)</f>
        <v>1940</v>
      </c>
      <c r="T5" s="12">
        <f t="shared" si="3"/>
        <v>194</v>
      </c>
      <c r="V5" s="2"/>
      <c r="W5" s="2"/>
      <c r="X5" s="87"/>
      <c r="Y5" s="37"/>
      <c r="AA5" s="2"/>
      <c r="AB5" s="2"/>
      <c r="AC5" s="87"/>
      <c r="AD5" s="37"/>
    </row>
    <row r="6" spans="1:30" ht="16" x14ac:dyDescent="0.2">
      <c r="B6" s="13"/>
      <c r="C6" s="10"/>
      <c r="D6" s="11"/>
      <c r="E6" s="12"/>
      <c r="G6" s="13"/>
      <c r="H6" s="10"/>
      <c r="I6" s="11"/>
      <c r="J6" s="12"/>
      <c r="L6" s="13"/>
      <c r="M6" s="10"/>
      <c r="N6" s="11"/>
      <c r="O6" s="12"/>
      <c r="Q6" s="13"/>
      <c r="R6" s="10"/>
      <c r="S6" s="11"/>
      <c r="T6" s="12"/>
      <c r="V6" s="2"/>
      <c r="W6" s="2"/>
      <c r="X6" s="87"/>
      <c r="Y6" s="37"/>
      <c r="AA6" s="2"/>
      <c r="AB6" s="2"/>
      <c r="AC6" s="87"/>
      <c r="AD6" s="37"/>
    </row>
    <row r="7" spans="1:30" ht="16" x14ac:dyDescent="0.2">
      <c r="B7" s="13"/>
      <c r="C7" s="10"/>
      <c r="D7" s="11"/>
      <c r="E7" s="12"/>
      <c r="G7" s="13"/>
      <c r="H7" s="10"/>
      <c r="I7" s="11"/>
      <c r="J7" s="12"/>
      <c r="L7" s="13"/>
      <c r="M7" s="10"/>
      <c r="N7" s="11"/>
      <c r="O7" s="12"/>
      <c r="Q7" s="13"/>
      <c r="R7" s="10"/>
      <c r="S7" s="11"/>
      <c r="T7" s="12"/>
      <c r="V7" s="2"/>
      <c r="W7" s="2"/>
      <c r="X7" s="87"/>
      <c r="Y7" s="37"/>
      <c r="AA7" s="2"/>
      <c r="AB7" s="2"/>
      <c r="AC7" s="87"/>
      <c r="AD7" s="37"/>
    </row>
    <row r="8" spans="1:30" x14ac:dyDescent="0.2">
      <c r="B8" s="5"/>
      <c r="C8" s="7"/>
      <c r="D8" s="11"/>
      <c r="E8" s="12"/>
      <c r="G8" s="5"/>
      <c r="H8" s="7"/>
      <c r="I8" s="11"/>
      <c r="J8" s="12"/>
      <c r="L8" s="5"/>
      <c r="M8" s="7"/>
      <c r="N8" s="11"/>
      <c r="O8" s="12"/>
      <c r="Q8" s="5"/>
      <c r="R8" s="7"/>
      <c r="S8" s="11"/>
      <c r="T8" s="12"/>
      <c r="V8" s="2"/>
      <c r="W8" s="2"/>
      <c r="X8" s="87"/>
      <c r="Y8" s="37"/>
      <c r="AA8" s="2"/>
      <c r="AB8" s="2"/>
      <c r="AC8" s="87"/>
      <c r="AD8" s="37"/>
    </row>
    <row r="9" spans="1:30" ht="15.75" customHeight="1" x14ac:dyDescent="0.2">
      <c r="B9" s="5"/>
      <c r="C9" s="7"/>
      <c r="D9" s="11"/>
      <c r="E9" s="12"/>
      <c r="G9" s="5"/>
      <c r="H9" s="7"/>
      <c r="I9" s="11"/>
      <c r="J9" s="12"/>
      <c r="L9" s="5"/>
      <c r="M9" s="7"/>
      <c r="N9" s="11"/>
      <c r="O9" s="12"/>
      <c r="Q9" s="5"/>
      <c r="R9" s="7"/>
      <c r="S9" s="11"/>
      <c r="T9" s="12"/>
      <c r="V9" s="2"/>
      <c r="W9" s="2"/>
      <c r="X9" s="87"/>
      <c r="Y9" s="37"/>
      <c r="AA9" s="2"/>
      <c r="AB9" s="2"/>
      <c r="AC9" s="87"/>
      <c r="AD9" s="37"/>
    </row>
    <row r="10" spans="1:30" ht="15.75" customHeight="1" x14ac:dyDescent="0.2">
      <c r="B10" s="5"/>
      <c r="C10" s="7"/>
      <c r="D10" s="11"/>
      <c r="E10" s="12"/>
      <c r="G10" s="5"/>
      <c r="H10" s="7"/>
      <c r="I10" s="11"/>
      <c r="J10" s="12"/>
      <c r="L10" s="5"/>
      <c r="M10" s="7"/>
      <c r="N10" s="11"/>
      <c r="O10" s="12"/>
      <c r="Q10" s="5"/>
      <c r="R10" s="7"/>
      <c r="S10" s="11"/>
      <c r="T10" s="12"/>
      <c r="V10" s="2"/>
      <c r="W10" s="2"/>
      <c r="X10" s="87"/>
      <c r="Y10" s="37"/>
      <c r="AA10" s="2"/>
      <c r="AB10" s="2"/>
      <c r="AC10" s="87"/>
      <c r="AD10" s="37"/>
    </row>
    <row r="11" spans="1:30" ht="15.75" customHeight="1" x14ac:dyDescent="0.2">
      <c r="B11" s="21" t="s">
        <v>52</v>
      </c>
      <c r="C11" s="22"/>
      <c r="D11" s="23"/>
      <c r="E11" s="24">
        <f>SUM(E4:E10)</f>
        <v>1166.367</v>
      </c>
      <c r="G11" s="21" t="s">
        <v>52</v>
      </c>
      <c r="H11" s="22"/>
      <c r="I11" s="23"/>
      <c r="J11" s="24">
        <f>SUM(J4:J10)</f>
        <v>936.53</v>
      </c>
      <c r="L11" s="21" t="s">
        <v>52</v>
      </c>
      <c r="M11" s="22"/>
      <c r="N11" s="23"/>
      <c r="O11" s="24">
        <f>SUM(O4:O10)</f>
        <v>878.32999999999993</v>
      </c>
      <c r="Q11" s="21" t="s">
        <v>52</v>
      </c>
      <c r="R11" s="22"/>
      <c r="S11" s="23"/>
      <c r="T11" s="24">
        <f>SUM(T4:T10)</f>
        <v>664.93000000000006</v>
      </c>
      <c r="V11" s="88"/>
      <c r="W11" s="88"/>
      <c r="X11" s="89"/>
      <c r="Y11" s="89"/>
      <c r="AA11" s="88"/>
      <c r="AB11" s="88"/>
      <c r="AC11" s="89"/>
      <c r="AD11" s="89"/>
    </row>
    <row r="12" spans="1:30" ht="15.75" customHeight="1" x14ac:dyDescent="0.2">
      <c r="A12" s="2"/>
      <c r="B12" s="19" t="s">
        <v>53</v>
      </c>
      <c r="C12" s="27"/>
      <c r="D12" s="28"/>
      <c r="E12" s="29">
        <f>SUM(E11)</f>
        <v>1166.367</v>
      </c>
      <c r="G12" s="19" t="s">
        <v>53</v>
      </c>
      <c r="H12" s="27"/>
      <c r="I12" s="28"/>
      <c r="J12" s="29">
        <f>SUM(J11)</f>
        <v>936.53</v>
      </c>
      <c r="L12" s="19" t="s">
        <v>53</v>
      </c>
      <c r="M12" s="27"/>
      <c r="N12" s="28"/>
      <c r="O12" s="29">
        <f>SUM(O11)</f>
        <v>878.32999999999993</v>
      </c>
      <c r="Q12" s="19" t="s">
        <v>53</v>
      </c>
      <c r="R12" s="27"/>
      <c r="S12" s="28"/>
      <c r="T12" s="29">
        <f>SUM(T11)</f>
        <v>664.93000000000006</v>
      </c>
      <c r="V12" s="2"/>
      <c r="W12" s="2"/>
      <c r="X12" s="90"/>
      <c r="Y12" s="90"/>
      <c r="AA12" s="2"/>
      <c r="AB12" s="2"/>
      <c r="AC12" s="90"/>
      <c r="AD12" s="90"/>
    </row>
    <row r="13" spans="1:30" ht="15.75" customHeight="1" x14ac:dyDescent="0.2">
      <c r="A13" s="2"/>
      <c r="B13" s="19" t="s">
        <v>54</v>
      </c>
      <c r="C13" s="27"/>
      <c r="D13" s="28"/>
      <c r="E13" s="29">
        <f>+E12</f>
        <v>1166.367</v>
      </c>
      <c r="G13" s="19" t="s">
        <v>54</v>
      </c>
      <c r="H13" s="27"/>
      <c r="I13" s="28"/>
      <c r="J13" s="29">
        <f>+J12</f>
        <v>936.53</v>
      </c>
      <c r="L13" s="19" t="s">
        <v>54</v>
      </c>
      <c r="M13" s="27"/>
      <c r="N13" s="28"/>
      <c r="O13" s="29">
        <f>+O12</f>
        <v>878.32999999999993</v>
      </c>
      <c r="Q13" s="19" t="s">
        <v>54</v>
      </c>
      <c r="R13" s="27"/>
      <c r="S13" s="28"/>
      <c r="T13" s="29">
        <f>+T12</f>
        <v>664.93000000000006</v>
      </c>
      <c r="V13" s="2"/>
      <c r="W13" s="2"/>
      <c r="X13" s="90"/>
      <c r="Y13" s="90"/>
      <c r="AA13" s="2"/>
      <c r="AB13" s="2"/>
      <c r="AC13" s="90"/>
      <c r="AD13" s="90"/>
    </row>
    <row r="14" spans="1:30" ht="15.75" customHeight="1" x14ac:dyDescent="0.2">
      <c r="A14" s="2"/>
      <c r="B14" s="19" t="s">
        <v>55</v>
      </c>
      <c r="C14" s="27"/>
      <c r="D14" s="31">
        <v>0.3</v>
      </c>
      <c r="E14" s="29"/>
      <c r="G14" s="19" t="s">
        <v>55</v>
      </c>
      <c r="H14" s="27"/>
      <c r="I14" s="31">
        <v>0.3</v>
      </c>
      <c r="J14" s="29"/>
      <c r="L14" s="19" t="s">
        <v>55</v>
      </c>
      <c r="M14" s="27"/>
      <c r="N14" s="31">
        <v>0.3</v>
      </c>
      <c r="O14" s="29"/>
      <c r="Q14" s="19" t="s">
        <v>55</v>
      </c>
      <c r="R14" s="27"/>
      <c r="S14" s="31">
        <v>0.3</v>
      </c>
      <c r="T14" s="29"/>
      <c r="V14" s="2"/>
      <c r="W14" s="2"/>
      <c r="X14" s="91"/>
      <c r="Y14" s="90"/>
      <c r="AA14" s="2"/>
      <c r="AB14" s="2"/>
      <c r="AC14" s="91"/>
      <c r="AD14" s="90"/>
    </row>
    <row r="15" spans="1:30" ht="15.75" customHeight="1" x14ac:dyDescent="0.2">
      <c r="A15" s="2"/>
      <c r="B15" s="19" t="s">
        <v>56</v>
      </c>
      <c r="C15" s="27"/>
      <c r="D15" s="31"/>
      <c r="E15" s="29">
        <f>+E13*3.33333333333333</f>
        <v>3887.8899999999958</v>
      </c>
      <c r="G15" s="19" t="s">
        <v>56</v>
      </c>
      <c r="H15" s="27"/>
      <c r="I15" s="31"/>
      <c r="J15" s="29">
        <f>+J13*3.33333333333333</f>
        <v>3121.7666666666632</v>
      </c>
      <c r="L15" s="19" t="s">
        <v>56</v>
      </c>
      <c r="M15" s="27"/>
      <c r="N15" s="31"/>
      <c r="O15" s="29">
        <f>+O13*3.33333333333333</f>
        <v>2927.7666666666632</v>
      </c>
      <c r="Q15" s="19" t="s">
        <v>56</v>
      </c>
      <c r="R15" s="27"/>
      <c r="S15" s="31"/>
      <c r="T15" s="29">
        <f>+T13*3.33333333333333</f>
        <v>2216.4333333333311</v>
      </c>
      <c r="V15" s="2"/>
      <c r="W15" s="2"/>
      <c r="X15" s="91"/>
      <c r="Y15" s="90"/>
      <c r="AA15" s="2"/>
      <c r="AB15" s="2"/>
      <c r="AC15" s="91"/>
      <c r="AD15" s="90"/>
    </row>
    <row r="16" spans="1:30" ht="15.75" customHeight="1" x14ac:dyDescent="0.2">
      <c r="A16" s="2"/>
      <c r="B16" s="19" t="s">
        <v>57</v>
      </c>
      <c r="C16" s="27"/>
      <c r="D16" s="27"/>
      <c r="E16" s="29">
        <v>6300</v>
      </c>
      <c r="G16" s="19" t="s">
        <v>57</v>
      </c>
      <c r="H16" s="27"/>
      <c r="I16" s="27"/>
      <c r="J16" s="29">
        <v>6100</v>
      </c>
      <c r="L16" s="19" t="s">
        <v>57</v>
      </c>
      <c r="M16" s="27"/>
      <c r="N16" s="27"/>
      <c r="O16" s="29">
        <v>5900</v>
      </c>
      <c r="Q16" s="19" t="s">
        <v>57</v>
      </c>
      <c r="R16" s="27"/>
      <c r="S16" s="27"/>
      <c r="T16" s="29">
        <v>4800</v>
      </c>
      <c r="V16" s="2"/>
      <c r="W16" s="2"/>
      <c r="X16" s="2"/>
      <c r="Y16" s="90"/>
      <c r="AA16" s="2"/>
      <c r="AB16" s="2"/>
      <c r="AC16" s="2"/>
      <c r="AD16" s="90"/>
    </row>
    <row r="17" spans="1:30" ht="15.75" customHeight="1" x14ac:dyDescent="0.2">
      <c r="A17" s="2"/>
      <c r="B17" s="19"/>
      <c r="C17" s="27"/>
      <c r="D17" s="28"/>
      <c r="E17" s="24">
        <f>+E16-E15</f>
        <v>2412.1100000000042</v>
      </c>
      <c r="G17" s="19"/>
      <c r="H17" s="27"/>
      <c r="I17" s="28"/>
      <c r="J17" s="24">
        <f>+J16-J15</f>
        <v>2978.2333333333368</v>
      </c>
      <c r="L17" s="19"/>
      <c r="M17" s="27"/>
      <c r="N17" s="28"/>
      <c r="O17" s="92">
        <v>5000</v>
      </c>
      <c r="Q17" s="19"/>
      <c r="R17" s="27"/>
      <c r="S17" s="28"/>
      <c r="T17" s="24">
        <f>+T16-T15</f>
        <v>2583.5666666666689</v>
      </c>
      <c r="V17" s="2"/>
      <c r="W17" s="2"/>
      <c r="X17" s="2"/>
      <c r="Y17" s="90"/>
      <c r="AA17" s="2"/>
      <c r="AB17" s="2"/>
      <c r="AC17" s="2"/>
      <c r="AD17" s="90"/>
    </row>
    <row r="18" spans="1:30" ht="15.75" customHeight="1" x14ac:dyDescent="0.2">
      <c r="A18" s="2"/>
      <c r="B18" s="32" t="s">
        <v>58</v>
      </c>
      <c r="C18" s="33"/>
      <c r="D18" s="33"/>
      <c r="E18" s="34">
        <f>E13/E16</f>
        <v>0.18513761904761905</v>
      </c>
      <c r="G18" s="32" t="s">
        <v>58</v>
      </c>
      <c r="H18" s="33"/>
      <c r="I18" s="33"/>
      <c r="J18" s="34">
        <f>J13/J16</f>
        <v>0.15352950819672131</v>
      </c>
      <c r="L18" s="32" t="s">
        <v>58</v>
      </c>
      <c r="M18" s="33"/>
      <c r="N18" s="33"/>
      <c r="O18" s="34">
        <f>O13/O16</f>
        <v>0.14886949152542372</v>
      </c>
      <c r="Q18" s="32" t="s">
        <v>58</v>
      </c>
      <c r="R18" s="33"/>
      <c r="S18" s="33"/>
      <c r="T18" s="34">
        <f>T13/T16</f>
        <v>0.13852708333333336</v>
      </c>
      <c r="V18" s="2"/>
      <c r="W18" s="2"/>
      <c r="X18" s="90"/>
      <c r="Y18" s="89"/>
      <c r="AA18" s="2"/>
      <c r="AB18" s="2"/>
      <c r="AC18" s="90"/>
      <c r="AD18" s="89"/>
    </row>
    <row r="19" spans="1:30" ht="15.75" customHeight="1" x14ac:dyDescent="0.2">
      <c r="B19" s="2"/>
      <c r="C19" s="2"/>
      <c r="D19" s="2"/>
      <c r="E19" s="91"/>
      <c r="G19" s="2"/>
      <c r="H19" s="2"/>
      <c r="I19" s="2"/>
      <c r="J19" s="91"/>
      <c r="L19" s="2"/>
      <c r="M19" s="2"/>
      <c r="N19" s="2"/>
      <c r="O19" s="91"/>
      <c r="Q19" s="2"/>
      <c r="R19" s="2"/>
      <c r="S19" s="2"/>
      <c r="T19" s="91"/>
      <c r="V19" s="2"/>
      <c r="W19" s="2"/>
      <c r="X19" s="2"/>
      <c r="Y19" s="91"/>
      <c r="AA19" s="2"/>
      <c r="AB19" s="2"/>
      <c r="AC19" s="2"/>
      <c r="AD19" s="91"/>
    </row>
    <row r="20" spans="1:30" ht="15.75" customHeight="1" x14ac:dyDescent="0.15"/>
    <row r="21" spans="1:30" ht="15.75" customHeight="1" x14ac:dyDescent="0.15">
      <c r="B21" s="212" t="s">
        <v>167</v>
      </c>
      <c r="C21" s="213"/>
      <c r="D21" s="213"/>
      <c r="E21" s="214"/>
      <c r="G21" s="212" t="s">
        <v>168</v>
      </c>
      <c r="H21" s="213"/>
      <c r="I21" s="213"/>
      <c r="J21" s="214"/>
      <c r="L21" s="212" t="s">
        <v>169</v>
      </c>
      <c r="M21" s="213"/>
      <c r="N21" s="213"/>
      <c r="O21" s="214"/>
      <c r="Q21" s="212" t="s">
        <v>170</v>
      </c>
      <c r="R21" s="213"/>
      <c r="S21" s="213"/>
      <c r="T21" s="214"/>
    </row>
    <row r="22" spans="1:30" ht="15.75" customHeight="1" x14ac:dyDescent="0.2">
      <c r="B22" s="5"/>
      <c r="C22" s="6" t="s">
        <v>8</v>
      </c>
      <c r="D22" s="7" t="s">
        <v>9</v>
      </c>
      <c r="E22" s="8" t="s">
        <v>10</v>
      </c>
      <c r="G22" s="5"/>
      <c r="H22" s="6" t="s">
        <v>8</v>
      </c>
      <c r="I22" s="7" t="s">
        <v>9</v>
      </c>
      <c r="J22" s="8" t="s">
        <v>10</v>
      </c>
      <c r="L22" s="5"/>
      <c r="M22" s="6" t="s">
        <v>8</v>
      </c>
      <c r="N22" s="7" t="s">
        <v>9</v>
      </c>
      <c r="O22" s="8" t="s">
        <v>10</v>
      </c>
      <c r="Q22" s="5"/>
      <c r="R22" s="6" t="s">
        <v>8</v>
      </c>
      <c r="S22" s="7" t="s">
        <v>9</v>
      </c>
      <c r="T22" s="8" t="s">
        <v>10</v>
      </c>
      <c r="V22" s="219"/>
      <c r="W22" s="220"/>
      <c r="X22" s="220"/>
      <c r="Y22" s="220"/>
      <c r="AA22" s="219"/>
      <c r="AB22" s="220"/>
      <c r="AC22" s="220"/>
      <c r="AD22" s="220"/>
    </row>
    <row r="23" spans="1:30" ht="15.75" customHeight="1" x14ac:dyDescent="0.2">
      <c r="B23" s="7" t="s">
        <v>165</v>
      </c>
      <c r="C23" s="10">
        <v>1.9E-2</v>
      </c>
      <c r="D23" s="11">
        <f>+VLOOKUP(B23,'PRECIO PROVEEDORES'!$A$2:$B$716,2,0)</f>
        <v>47093</v>
      </c>
      <c r="E23" s="12">
        <f t="shared" ref="E23:E25" si="4">+C23*D23</f>
        <v>894.76699999999994</v>
      </c>
      <c r="G23" s="7" t="s">
        <v>165</v>
      </c>
      <c r="H23" s="10">
        <v>1.9E-2</v>
      </c>
      <c r="I23" s="11">
        <f>+VLOOKUP(G23,'PRECIO PROVEEDORES'!$A$2:$B$716,2,0)</f>
        <v>47093</v>
      </c>
      <c r="J23" s="12">
        <f t="shared" ref="J23:J25" si="5">+H23*I23</f>
        <v>894.76699999999994</v>
      </c>
      <c r="L23" s="7" t="s">
        <v>165</v>
      </c>
      <c r="M23" s="10">
        <v>0.01</v>
      </c>
      <c r="N23" s="11">
        <f>+VLOOKUP(L23,'PRECIO PROVEEDORES'!$A$2:$B$716,2,0)</f>
        <v>47093</v>
      </c>
      <c r="O23" s="12">
        <f t="shared" ref="O23:O25" si="6">+M23*N23</f>
        <v>470.93</v>
      </c>
      <c r="Q23" s="13" t="s">
        <v>171</v>
      </c>
      <c r="R23" s="10">
        <v>3.0000000000000001E-3</v>
      </c>
      <c r="S23" s="11">
        <f>+VLOOKUP(Q23,'PRECIO PROVEEDORES'!$A$2:$B$716,2,0)</f>
        <v>287980</v>
      </c>
      <c r="T23" s="12">
        <f t="shared" ref="T23:T24" si="7">+R23*S23</f>
        <v>863.94</v>
      </c>
      <c r="V23" s="2"/>
      <c r="W23" s="86"/>
      <c r="X23" s="2"/>
      <c r="Y23" s="2"/>
      <c r="AA23" s="2"/>
      <c r="AB23" s="86"/>
      <c r="AC23" s="2"/>
      <c r="AD23" s="2"/>
    </row>
    <row r="24" spans="1:30" ht="15.75" customHeight="1" x14ac:dyDescent="0.2">
      <c r="B24" s="13" t="s">
        <v>166</v>
      </c>
      <c r="C24" s="10">
        <v>0.23</v>
      </c>
      <c r="D24" s="11">
        <f>+VLOOKUP(B24,'PRECIO PROVEEDORES'!$A$2:$B$716,2,0)</f>
        <v>1940</v>
      </c>
      <c r="E24" s="12">
        <f t="shared" si="4"/>
        <v>446.20000000000005</v>
      </c>
      <c r="G24" s="13" t="s">
        <v>166</v>
      </c>
      <c r="H24" s="10">
        <v>0.23</v>
      </c>
      <c r="I24" s="11">
        <f>+VLOOKUP(G24,'PRECIO PROVEEDORES'!$A$2:$B$716,2,0)</f>
        <v>1940</v>
      </c>
      <c r="J24" s="12">
        <f t="shared" si="5"/>
        <v>446.20000000000005</v>
      </c>
      <c r="L24" s="13" t="s">
        <v>166</v>
      </c>
      <c r="M24" s="10">
        <v>0.24</v>
      </c>
      <c r="N24" s="11">
        <f>+VLOOKUP(L24,'PRECIO PROVEEDORES'!$A$2:$B$716,2,0)</f>
        <v>1940</v>
      </c>
      <c r="O24" s="12">
        <f t="shared" si="6"/>
        <v>465.59999999999997</v>
      </c>
      <c r="Q24" s="13" t="s">
        <v>166</v>
      </c>
      <c r="R24" s="10">
        <v>0.24</v>
      </c>
      <c r="S24" s="11">
        <f>+VLOOKUP(Q24,'PRECIO PROVEEDORES'!$A$2:$B$716,2,0)</f>
        <v>1940</v>
      </c>
      <c r="T24" s="12">
        <f t="shared" si="7"/>
        <v>465.59999999999997</v>
      </c>
      <c r="V24" s="2"/>
      <c r="W24" s="2"/>
      <c r="X24" s="87"/>
      <c r="Y24" s="37"/>
      <c r="AA24" s="2"/>
      <c r="AB24" s="2"/>
      <c r="AC24" s="87"/>
      <c r="AD24" s="37"/>
    </row>
    <row r="25" spans="1:30" ht="15.75" customHeight="1" x14ac:dyDescent="0.2">
      <c r="B25" s="93" t="s">
        <v>172</v>
      </c>
      <c r="C25" s="10">
        <v>0.04</v>
      </c>
      <c r="D25" s="11">
        <f>+VLOOKUP(B25,'PRECIO PROVEEDORES'!$A$2:$B$716,2,0)</f>
        <v>9561</v>
      </c>
      <c r="E25" s="12">
        <f t="shared" si="4"/>
        <v>382.44</v>
      </c>
      <c r="G25" s="13" t="s">
        <v>173</v>
      </c>
      <c r="H25" s="10">
        <v>0.02</v>
      </c>
      <c r="I25" s="11">
        <f>+VLOOKUP(G25,'PRECIO PROVEEDORES'!$A$2:$B$716,2,0)</f>
        <v>12675</v>
      </c>
      <c r="J25" s="12">
        <f t="shared" si="5"/>
        <v>253.5</v>
      </c>
      <c r="L25" s="13" t="s">
        <v>174</v>
      </c>
      <c r="M25" s="10">
        <v>1.7999999999999999E-2</v>
      </c>
      <c r="N25" s="11">
        <f>+VLOOKUP(L25,'PRECIO PROVEEDORES'!$A$2:$B$716,2,0)</f>
        <v>15388</v>
      </c>
      <c r="O25" s="12">
        <f t="shared" si="6"/>
        <v>276.98399999999998</v>
      </c>
      <c r="Q25" s="13"/>
      <c r="R25" s="10"/>
      <c r="S25" s="11"/>
      <c r="T25" s="12"/>
      <c r="V25" s="2"/>
      <c r="W25" s="2"/>
      <c r="X25" s="87"/>
      <c r="Y25" s="37"/>
      <c r="AA25" s="2"/>
      <c r="AB25" s="2"/>
      <c r="AC25" s="87"/>
      <c r="AD25" s="37"/>
    </row>
    <row r="26" spans="1:30" ht="15.75" customHeight="1" x14ac:dyDescent="0.2">
      <c r="B26" s="19"/>
      <c r="C26" s="7"/>
      <c r="D26" s="11"/>
      <c r="E26" s="12"/>
      <c r="G26" s="19"/>
      <c r="H26" s="7"/>
      <c r="I26" s="11"/>
      <c r="J26" s="12"/>
      <c r="L26" s="19"/>
      <c r="M26" s="7"/>
      <c r="N26" s="11"/>
      <c r="O26" s="12"/>
      <c r="Q26" s="19"/>
      <c r="R26" s="7"/>
      <c r="S26" s="11"/>
      <c r="T26" s="12"/>
      <c r="V26" s="2"/>
      <c r="W26" s="2"/>
      <c r="X26" s="87"/>
      <c r="Y26" s="37"/>
      <c r="AA26" s="2"/>
      <c r="AB26" s="2"/>
      <c r="AC26" s="87"/>
      <c r="AD26" s="37"/>
    </row>
    <row r="27" spans="1:30" ht="15.75" customHeight="1" x14ac:dyDescent="0.2">
      <c r="B27" s="5"/>
      <c r="C27" s="7"/>
      <c r="D27" s="11"/>
      <c r="E27" s="12"/>
      <c r="G27" s="5"/>
      <c r="H27" s="7"/>
      <c r="I27" s="11"/>
      <c r="J27" s="12"/>
      <c r="L27" s="5"/>
      <c r="M27" s="7"/>
      <c r="N27" s="11"/>
      <c r="O27" s="12"/>
      <c r="Q27" s="5"/>
      <c r="R27" s="7"/>
      <c r="S27" s="11"/>
      <c r="T27" s="12"/>
      <c r="V27" s="2"/>
      <c r="W27" s="2"/>
      <c r="X27" s="87"/>
      <c r="Y27" s="37"/>
      <c r="AA27" s="2"/>
      <c r="AB27" s="2"/>
      <c r="AC27" s="87"/>
      <c r="AD27" s="37"/>
    </row>
    <row r="28" spans="1:30" ht="15.75" customHeight="1" x14ac:dyDescent="0.2">
      <c r="B28" s="5"/>
      <c r="C28" s="7"/>
      <c r="D28" s="11"/>
      <c r="E28" s="12"/>
      <c r="G28" s="5"/>
      <c r="H28" s="7"/>
      <c r="I28" s="11"/>
      <c r="J28" s="12"/>
      <c r="L28" s="5"/>
      <c r="M28" s="7"/>
      <c r="N28" s="11"/>
      <c r="O28" s="12"/>
      <c r="Q28" s="5"/>
      <c r="R28" s="7"/>
      <c r="S28" s="11"/>
      <c r="T28" s="12"/>
      <c r="V28" s="2"/>
      <c r="W28" s="2"/>
      <c r="X28" s="87"/>
      <c r="Y28" s="37"/>
      <c r="AA28" s="2"/>
      <c r="AB28" s="2"/>
      <c r="AC28" s="87"/>
      <c r="AD28" s="37"/>
    </row>
    <row r="29" spans="1:30" ht="15.75" customHeight="1" x14ac:dyDescent="0.2">
      <c r="B29" s="5"/>
      <c r="C29" s="7"/>
      <c r="D29" s="11"/>
      <c r="E29" s="12"/>
      <c r="G29" s="5"/>
      <c r="H29" s="7"/>
      <c r="I29" s="11"/>
      <c r="J29" s="12"/>
      <c r="L29" s="5"/>
      <c r="M29" s="7"/>
      <c r="N29" s="11"/>
      <c r="O29" s="12"/>
      <c r="Q29" s="5"/>
      <c r="R29" s="7"/>
      <c r="S29" s="11"/>
      <c r="T29" s="12"/>
      <c r="V29" s="2"/>
      <c r="W29" s="2"/>
      <c r="X29" s="87"/>
      <c r="Y29" s="37"/>
      <c r="AA29" s="2"/>
      <c r="AB29" s="2"/>
      <c r="AC29" s="87"/>
      <c r="AD29" s="37"/>
    </row>
    <row r="30" spans="1:30" ht="15.75" customHeight="1" x14ac:dyDescent="0.2">
      <c r="B30" s="21" t="s">
        <v>52</v>
      </c>
      <c r="C30" s="22"/>
      <c r="D30" s="23"/>
      <c r="E30" s="24">
        <f>SUM(E23:E29)</f>
        <v>1723.4070000000002</v>
      </c>
      <c r="G30" s="21" t="s">
        <v>52</v>
      </c>
      <c r="H30" s="22"/>
      <c r="I30" s="23"/>
      <c r="J30" s="24">
        <f>SUM(J23:J29)</f>
        <v>1594.4670000000001</v>
      </c>
      <c r="L30" s="21" t="s">
        <v>52</v>
      </c>
      <c r="M30" s="22"/>
      <c r="N30" s="23"/>
      <c r="O30" s="24">
        <f>SUM(O23:O29)</f>
        <v>1213.5139999999999</v>
      </c>
      <c r="Q30" s="21" t="s">
        <v>52</v>
      </c>
      <c r="R30" s="22"/>
      <c r="S30" s="23"/>
      <c r="T30" s="24">
        <f>SUM(T23:T29)</f>
        <v>1329.54</v>
      </c>
      <c r="V30" s="2"/>
      <c r="W30" s="2"/>
      <c r="X30" s="87"/>
      <c r="Y30" s="37"/>
      <c r="AA30" s="2"/>
      <c r="AB30" s="2"/>
      <c r="AC30" s="87"/>
      <c r="AD30" s="37"/>
    </row>
    <row r="31" spans="1:30" ht="15.75" customHeight="1" x14ac:dyDescent="0.2">
      <c r="B31" s="19" t="s">
        <v>53</v>
      </c>
      <c r="C31" s="27"/>
      <c r="D31" s="28"/>
      <c r="E31" s="29">
        <f>SUM(E30)</f>
        <v>1723.4070000000002</v>
      </c>
      <c r="G31" s="19" t="s">
        <v>53</v>
      </c>
      <c r="H31" s="27"/>
      <c r="I31" s="28"/>
      <c r="J31" s="29">
        <f>SUM(J30)</f>
        <v>1594.4670000000001</v>
      </c>
      <c r="L31" s="19" t="s">
        <v>53</v>
      </c>
      <c r="M31" s="27"/>
      <c r="N31" s="28"/>
      <c r="O31" s="29">
        <f>SUM(O30)</f>
        <v>1213.5139999999999</v>
      </c>
      <c r="Q31" s="19" t="s">
        <v>53</v>
      </c>
      <c r="R31" s="27"/>
      <c r="S31" s="28"/>
      <c r="T31" s="29">
        <f>SUM(T30)</f>
        <v>1329.54</v>
      </c>
      <c r="V31" s="88"/>
      <c r="W31" s="88"/>
      <c r="X31" s="89"/>
      <c r="Y31" s="89"/>
      <c r="AA31" s="88"/>
      <c r="AB31" s="88"/>
      <c r="AC31" s="89"/>
      <c r="AD31" s="89"/>
    </row>
    <row r="32" spans="1:30" ht="15.75" customHeight="1" x14ac:dyDescent="0.2">
      <c r="B32" s="19" t="s">
        <v>54</v>
      </c>
      <c r="C32" s="27"/>
      <c r="D32" s="28"/>
      <c r="E32" s="29">
        <f>+E31</f>
        <v>1723.4070000000002</v>
      </c>
      <c r="G32" s="19" t="s">
        <v>54</v>
      </c>
      <c r="H32" s="27"/>
      <c r="I32" s="28"/>
      <c r="J32" s="29">
        <f>+J31</f>
        <v>1594.4670000000001</v>
      </c>
      <c r="L32" s="19" t="s">
        <v>54</v>
      </c>
      <c r="M32" s="27"/>
      <c r="N32" s="28"/>
      <c r="O32" s="29">
        <f>+O31</f>
        <v>1213.5139999999999</v>
      </c>
      <c r="Q32" s="19" t="s">
        <v>54</v>
      </c>
      <c r="R32" s="27"/>
      <c r="S32" s="28"/>
      <c r="T32" s="29">
        <f>+T31</f>
        <v>1329.54</v>
      </c>
      <c r="V32" s="2"/>
      <c r="W32" s="2"/>
      <c r="X32" s="90"/>
      <c r="Y32" s="90"/>
      <c r="AA32" s="2"/>
      <c r="AB32" s="2"/>
      <c r="AC32" s="90"/>
      <c r="AD32" s="90"/>
    </row>
    <row r="33" spans="2:30" ht="15.75" customHeight="1" x14ac:dyDescent="0.2">
      <c r="B33" s="19" t="s">
        <v>55</v>
      </c>
      <c r="C33" s="27"/>
      <c r="D33" s="31">
        <v>0.3</v>
      </c>
      <c r="E33" s="29"/>
      <c r="G33" s="19" t="s">
        <v>55</v>
      </c>
      <c r="H33" s="27"/>
      <c r="I33" s="31">
        <v>0.3</v>
      </c>
      <c r="J33" s="29"/>
      <c r="L33" s="19" t="s">
        <v>55</v>
      </c>
      <c r="M33" s="27"/>
      <c r="N33" s="31">
        <v>0.3</v>
      </c>
      <c r="O33" s="29"/>
      <c r="Q33" s="19" t="s">
        <v>55</v>
      </c>
      <c r="R33" s="27"/>
      <c r="S33" s="31">
        <v>0.3</v>
      </c>
      <c r="T33" s="29"/>
      <c r="U33" s="1" t="s">
        <v>175</v>
      </c>
      <c r="V33" s="2">
        <v>5800</v>
      </c>
      <c r="W33" s="2"/>
      <c r="X33" s="90"/>
      <c r="Y33" s="90"/>
      <c r="AA33" s="2"/>
      <c r="AB33" s="2"/>
      <c r="AC33" s="90"/>
      <c r="AD33" s="90"/>
    </row>
    <row r="34" spans="2:30" ht="15.75" customHeight="1" x14ac:dyDescent="0.2">
      <c r="B34" s="19" t="s">
        <v>56</v>
      </c>
      <c r="C34" s="27"/>
      <c r="D34" s="31"/>
      <c r="E34" s="29">
        <f>+E32*3.33333333333333</f>
        <v>5744.6899999999951</v>
      </c>
      <c r="G34" s="19" t="s">
        <v>56</v>
      </c>
      <c r="H34" s="27"/>
      <c r="I34" s="31"/>
      <c r="J34" s="29">
        <f>+J32*3.33333333333333</f>
        <v>5314.8899999999949</v>
      </c>
      <c r="L34" s="19" t="s">
        <v>56</v>
      </c>
      <c r="M34" s="27"/>
      <c r="N34" s="31"/>
      <c r="O34" s="29">
        <f>+O32*3.33333333333333</f>
        <v>4045.0466666666621</v>
      </c>
      <c r="Q34" s="19" t="s">
        <v>56</v>
      </c>
      <c r="R34" s="27"/>
      <c r="S34" s="31"/>
      <c r="T34" s="29">
        <f>+T32*3.33333333333333</f>
        <v>4431.7999999999956</v>
      </c>
      <c r="V34" s="2"/>
      <c r="W34" s="2"/>
      <c r="X34" s="91"/>
      <c r="Y34" s="90"/>
      <c r="AA34" s="2"/>
      <c r="AB34" s="2"/>
      <c r="AC34" s="91"/>
      <c r="AD34" s="90"/>
    </row>
    <row r="35" spans="2:30" ht="15.75" customHeight="1" x14ac:dyDescent="0.2">
      <c r="B35" s="19" t="s">
        <v>57</v>
      </c>
      <c r="C35" s="27" t="s">
        <v>176</v>
      </c>
      <c r="D35" s="27"/>
      <c r="E35" s="29">
        <v>6800</v>
      </c>
      <c r="G35" s="19" t="s">
        <v>57</v>
      </c>
      <c r="H35" s="27" t="s">
        <v>176</v>
      </c>
      <c r="I35" s="27"/>
      <c r="J35" s="29">
        <v>6800</v>
      </c>
      <c r="L35" s="19" t="s">
        <v>57</v>
      </c>
      <c r="M35" s="27"/>
      <c r="N35" s="27"/>
      <c r="O35" s="29">
        <v>6700</v>
      </c>
      <c r="Q35" s="19" t="s">
        <v>57</v>
      </c>
      <c r="R35" s="27"/>
      <c r="S35" s="27"/>
      <c r="T35" s="29">
        <v>6000</v>
      </c>
      <c r="V35" s="2"/>
      <c r="W35" s="2"/>
      <c r="X35" s="91"/>
      <c r="Y35" s="90"/>
      <c r="AA35" s="2"/>
      <c r="AB35" s="2"/>
      <c r="AC35" s="91"/>
      <c r="AD35" s="90"/>
    </row>
    <row r="36" spans="2:30" ht="15.75" customHeight="1" x14ac:dyDescent="0.2">
      <c r="B36" s="19"/>
      <c r="C36" s="27"/>
      <c r="D36" s="28"/>
      <c r="E36" s="24">
        <f>+E35-E34</f>
        <v>1055.3100000000049</v>
      </c>
      <c r="G36" s="19"/>
      <c r="H36" s="27"/>
      <c r="I36" s="28"/>
      <c r="J36" s="24">
        <f>+J35-J34</f>
        <v>1485.1100000000051</v>
      </c>
      <c r="L36" s="19"/>
      <c r="M36" s="27"/>
      <c r="N36" s="28"/>
      <c r="O36" s="24">
        <f>+O35-O34</f>
        <v>2654.9533333333379</v>
      </c>
      <c r="Q36" s="19"/>
      <c r="R36" s="27"/>
      <c r="S36" s="28"/>
      <c r="T36" s="24">
        <f>+T35-T34</f>
        <v>1568.2000000000044</v>
      </c>
      <c r="V36" s="2"/>
      <c r="W36" s="2"/>
      <c r="X36" s="2"/>
      <c r="Y36" s="90"/>
      <c r="AA36" s="2"/>
      <c r="AB36" s="2"/>
      <c r="AC36" s="2"/>
      <c r="AD36" s="90"/>
    </row>
    <row r="37" spans="2:30" ht="15.75" customHeight="1" x14ac:dyDescent="0.2">
      <c r="B37" s="32" t="s">
        <v>58</v>
      </c>
      <c r="C37" s="33"/>
      <c r="D37" s="33"/>
      <c r="E37" s="34">
        <f>E32/E35</f>
        <v>0.25344220588235294</v>
      </c>
      <c r="G37" s="32" t="s">
        <v>58</v>
      </c>
      <c r="H37" s="33"/>
      <c r="I37" s="33"/>
      <c r="J37" s="34">
        <f>J32/J35</f>
        <v>0.2344804411764706</v>
      </c>
      <c r="L37" s="32" t="s">
        <v>58</v>
      </c>
      <c r="M37" s="33"/>
      <c r="N37" s="33"/>
      <c r="O37" s="34">
        <f>O32/O35</f>
        <v>0.18112149253731341</v>
      </c>
      <c r="Q37" s="32" t="s">
        <v>58</v>
      </c>
      <c r="R37" s="33"/>
      <c r="S37" s="33"/>
      <c r="T37" s="34">
        <f>T32/T35</f>
        <v>0.22158999999999998</v>
      </c>
      <c r="V37" s="2"/>
      <c r="W37" s="2"/>
      <c r="X37" s="2"/>
      <c r="Y37" s="90"/>
      <c r="AA37" s="2"/>
      <c r="AB37" s="2"/>
      <c r="AC37" s="2"/>
      <c r="AD37" s="90"/>
    </row>
    <row r="38" spans="2:30" ht="15.75" customHeight="1" x14ac:dyDescent="0.2">
      <c r="B38" s="2"/>
      <c r="C38" s="2"/>
      <c r="D38" s="90"/>
      <c r="E38" s="89"/>
      <c r="G38" s="2"/>
      <c r="H38" s="2"/>
      <c r="I38" s="90"/>
      <c r="J38" s="89"/>
      <c r="L38" s="2"/>
      <c r="M38" s="2"/>
      <c r="N38" s="90"/>
      <c r="O38" s="89"/>
      <c r="Q38" s="2"/>
      <c r="R38" s="2"/>
      <c r="S38" s="90"/>
      <c r="T38" s="89"/>
      <c r="V38" s="2"/>
      <c r="W38" s="2"/>
      <c r="X38" s="90"/>
      <c r="Y38" s="89"/>
      <c r="AA38" s="2"/>
      <c r="AB38" s="2"/>
      <c r="AC38" s="90"/>
      <c r="AD38" s="89"/>
    </row>
    <row r="39" spans="2:30" ht="15.75" customHeight="1" x14ac:dyDescent="0.2">
      <c r="B39" s="2"/>
      <c r="C39" s="2"/>
      <c r="D39" s="90"/>
      <c r="E39" s="89"/>
      <c r="G39" s="2"/>
      <c r="H39" s="2"/>
      <c r="I39" s="90"/>
      <c r="J39" s="89"/>
      <c r="L39" s="2"/>
      <c r="M39" s="2"/>
      <c r="N39" s="90"/>
      <c r="O39" s="89"/>
      <c r="Q39" s="2"/>
      <c r="R39" s="2"/>
      <c r="S39" s="90"/>
      <c r="T39" s="89"/>
      <c r="V39" s="2"/>
      <c r="W39" s="2"/>
      <c r="X39" s="90"/>
      <c r="Y39" s="89"/>
      <c r="AA39" s="2"/>
      <c r="AB39" s="2"/>
      <c r="AC39" s="90"/>
      <c r="AD39" s="89"/>
    </row>
    <row r="40" spans="2:30" ht="15.75" customHeight="1" x14ac:dyDescent="0.2">
      <c r="B40" s="212" t="s">
        <v>177</v>
      </c>
      <c r="C40" s="213"/>
      <c r="D40" s="213"/>
      <c r="E40" s="214"/>
      <c r="G40" s="212" t="s">
        <v>178</v>
      </c>
      <c r="H40" s="213"/>
      <c r="I40" s="213"/>
      <c r="J40" s="214"/>
      <c r="L40" s="212" t="s">
        <v>179</v>
      </c>
      <c r="M40" s="213"/>
      <c r="N40" s="213"/>
      <c r="O40" s="214"/>
      <c r="Q40" s="212" t="s">
        <v>180</v>
      </c>
      <c r="R40" s="213"/>
      <c r="S40" s="213"/>
      <c r="T40" s="214"/>
      <c r="V40" s="2"/>
      <c r="W40" s="2"/>
      <c r="X40" s="2"/>
      <c r="Y40" s="91"/>
      <c r="AA40" s="2"/>
      <c r="AB40" s="2"/>
      <c r="AC40" s="2"/>
      <c r="AD40" s="91"/>
    </row>
    <row r="41" spans="2:30" ht="15.75" customHeight="1" x14ac:dyDescent="0.2">
      <c r="B41" s="5"/>
      <c r="C41" s="6" t="s">
        <v>8</v>
      </c>
      <c r="D41" s="7" t="s">
        <v>9</v>
      </c>
      <c r="E41" s="8" t="s">
        <v>10</v>
      </c>
      <c r="G41" s="5"/>
      <c r="H41" s="6" t="s">
        <v>8</v>
      </c>
      <c r="I41" s="7" t="s">
        <v>9</v>
      </c>
      <c r="J41" s="8" t="s">
        <v>10</v>
      </c>
      <c r="L41" s="5"/>
      <c r="M41" s="6" t="s">
        <v>8</v>
      </c>
      <c r="N41" s="7" t="s">
        <v>9</v>
      </c>
      <c r="O41" s="8" t="s">
        <v>10</v>
      </c>
      <c r="Q41" s="5"/>
      <c r="R41" s="6" t="s">
        <v>8</v>
      </c>
      <c r="S41" s="7" t="s">
        <v>9</v>
      </c>
      <c r="T41" s="8" t="s">
        <v>10</v>
      </c>
    </row>
    <row r="42" spans="2:30" ht="15.75" customHeight="1" x14ac:dyDescent="0.2">
      <c r="B42" s="13" t="s">
        <v>173</v>
      </c>
      <c r="C42" s="10">
        <v>2.5000000000000001E-2</v>
      </c>
      <c r="D42" s="11">
        <f>+VLOOKUP(B42,'PRECIO PROVEEDORES'!$A$2:$B$716,2,0)</f>
        <v>12675</v>
      </c>
      <c r="E42" s="12">
        <f t="shared" ref="E42:E44" si="8">+C42*D42</f>
        <v>316.875</v>
      </c>
      <c r="G42" s="13" t="s">
        <v>166</v>
      </c>
      <c r="H42" s="10">
        <v>0.23</v>
      </c>
      <c r="I42" s="11">
        <f>+VLOOKUP(G42,'PRECIO PROVEEDORES'!$A$2:$B$716,2,0)</f>
        <v>1940</v>
      </c>
      <c r="J42" s="12">
        <f t="shared" ref="J42:J44" si="9">+H42*I42</f>
        <v>446.20000000000005</v>
      </c>
      <c r="L42" s="13" t="s">
        <v>166</v>
      </c>
      <c r="M42" s="18">
        <v>0.23</v>
      </c>
      <c r="N42" s="11">
        <f>+VLOOKUP(L42,'PRECIO PROVEEDORES'!$A$2:$B$716,2,0)</f>
        <v>1940</v>
      </c>
      <c r="O42" s="12">
        <f t="shared" ref="O42:O43" si="10">+M42*N42</f>
        <v>446.20000000000005</v>
      </c>
      <c r="Q42" s="13" t="s">
        <v>166</v>
      </c>
      <c r="R42" s="10">
        <v>0.24</v>
      </c>
      <c r="S42" s="11">
        <f>+VLOOKUP(Q42,'PRECIO PROVEEDORES'!$A$2:$B$716,2,0)</f>
        <v>1940</v>
      </c>
      <c r="T42" s="12">
        <f t="shared" ref="T42:T43" si="11">+R42*S42</f>
        <v>465.59999999999997</v>
      </c>
    </row>
    <row r="43" spans="2:30" ht="15.75" customHeight="1" x14ac:dyDescent="0.2">
      <c r="B43" s="13" t="s">
        <v>166</v>
      </c>
      <c r="C43" s="10">
        <v>0.21</v>
      </c>
      <c r="D43" s="11">
        <f>+VLOOKUP(B43,'PRECIO PROVEEDORES'!$A$2:$B$716,2,0)</f>
        <v>1940</v>
      </c>
      <c r="E43" s="12">
        <f t="shared" si="8"/>
        <v>407.4</v>
      </c>
      <c r="G43" s="13" t="s">
        <v>174</v>
      </c>
      <c r="H43" s="10">
        <v>5.1999999999999998E-2</v>
      </c>
      <c r="I43" s="11">
        <f>+VLOOKUP(G43,'PRECIO PROVEEDORES'!$A$2:$B$716,2,0)</f>
        <v>15388</v>
      </c>
      <c r="J43" s="12">
        <f t="shared" si="9"/>
        <v>800.17599999999993</v>
      </c>
      <c r="L43" s="93" t="s">
        <v>173</v>
      </c>
      <c r="M43" s="10">
        <v>0.04</v>
      </c>
      <c r="N43" s="11">
        <f>+VLOOKUP(L43,'PRECIO PROVEEDORES'!$A$2:$B$716,2,0)</f>
        <v>12675</v>
      </c>
      <c r="O43" s="12">
        <f t="shared" si="10"/>
        <v>507</v>
      </c>
      <c r="Q43" s="13" t="s">
        <v>181</v>
      </c>
      <c r="R43" s="10">
        <v>3.0000000000000001E-3</v>
      </c>
      <c r="S43" s="11">
        <f>+VLOOKUP(Q43,'PRECIO PROVEEDORES'!$A$2:$B$716,2,0)</f>
        <v>90016</v>
      </c>
      <c r="T43" s="12">
        <f t="shared" si="11"/>
        <v>270.048</v>
      </c>
      <c r="V43" s="219"/>
      <c r="W43" s="220"/>
      <c r="X43" s="220"/>
      <c r="Y43" s="220"/>
      <c r="AA43" s="219"/>
      <c r="AB43" s="220"/>
      <c r="AC43" s="220"/>
      <c r="AD43" s="220"/>
    </row>
    <row r="44" spans="2:30" ht="15.75" customHeight="1" x14ac:dyDescent="0.2">
      <c r="B44" s="13" t="s">
        <v>182</v>
      </c>
      <c r="C44" s="10">
        <v>8.9999999999999993E-3</v>
      </c>
      <c r="D44" s="11">
        <f>+VLOOKUP(B44,'PRECIO PROVEEDORES'!$A$2:$B$716,2,0)</f>
        <v>22687.5</v>
      </c>
      <c r="E44" s="12">
        <f t="shared" si="8"/>
        <v>204.18749999999997</v>
      </c>
      <c r="G44" s="93" t="s">
        <v>172</v>
      </c>
      <c r="H44" s="10">
        <v>2.5000000000000001E-2</v>
      </c>
      <c r="I44" s="11">
        <f>+VLOOKUP(G44,'PRECIO PROVEEDORES'!$A$2:$B$716,2,0)</f>
        <v>9561</v>
      </c>
      <c r="J44" s="12">
        <f t="shared" si="9"/>
        <v>239.02500000000001</v>
      </c>
      <c r="L44" s="13"/>
      <c r="M44" s="10"/>
      <c r="N44" s="11"/>
      <c r="O44" s="12"/>
      <c r="Q44" s="13"/>
      <c r="R44" s="10"/>
      <c r="S44" s="11"/>
      <c r="T44" s="12"/>
      <c r="V44" s="2"/>
      <c r="W44" s="86"/>
      <c r="X44" s="2"/>
      <c r="Y44" s="2"/>
      <c r="AA44" s="2"/>
      <c r="AB44" s="86"/>
      <c r="AC44" s="2"/>
      <c r="AD44" s="2"/>
    </row>
    <row r="45" spans="2:30" ht="15.75" customHeight="1" x14ac:dyDescent="0.2">
      <c r="B45" s="13"/>
      <c r="C45" s="10"/>
      <c r="D45" s="11"/>
      <c r="E45" s="12"/>
      <c r="G45" s="13"/>
      <c r="H45" s="10"/>
      <c r="I45" s="11"/>
      <c r="J45" s="12"/>
      <c r="L45" s="13"/>
      <c r="M45" s="10"/>
      <c r="N45" s="11"/>
      <c r="O45" s="12"/>
      <c r="Q45" s="13"/>
      <c r="R45" s="10"/>
      <c r="S45" s="11"/>
      <c r="T45" s="12"/>
      <c r="V45" s="2"/>
      <c r="W45" s="2"/>
      <c r="X45" s="87"/>
      <c r="Y45" s="37"/>
      <c r="AA45" s="2"/>
      <c r="AB45" s="2"/>
      <c r="AC45" s="87"/>
      <c r="AD45" s="37"/>
    </row>
    <row r="46" spans="2:30" ht="15.75" customHeight="1" x14ac:dyDescent="0.2">
      <c r="B46" s="5"/>
      <c r="C46" s="7"/>
      <c r="D46" s="11"/>
      <c r="E46" s="12"/>
      <c r="G46" s="5"/>
      <c r="H46" s="7"/>
      <c r="I46" s="11"/>
      <c r="J46" s="12"/>
      <c r="L46" s="5"/>
      <c r="M46" s="7"/>
      <c r="N46" s="11"/>
      <c r="O46" s="12"/>
      <c r="Q46" s="5"/>
      <c r="R46" s="7"/>
      <c r="S46" s="11"/>
      <c r="T46" s="12"/>
      <c r="V46" s="2"/>
      <c r="W46" s="2"/>
      <c r="X46" s="87"/>
      <c r="Y46" s="37"/>
      <c r="AA46" s="2"/>
      <c r="AB46" s="2"/>
      <c r="AC46" s="87"/>
      <c r="AD46" s="37"/>
    </row>
    <row r="47" spans="2:30" ht="15.75" customHeight="1" x14ac:dyDescent="0.2">
      <c r="B47" s="5"/>
      <c r="C47" s="7"/>
      <c r="D47" s="11"/>
      <c r="E47" s="12"/>
      <c r="G47" s="5"/>
      <c r="H47" s="7"/>
      <c r="I47" s="11"/>
      <c r="J47" s="12"/>
      <c r="L47" s="5"/>
      <c r="M47" s="7"/>
      <c r="N47" s="11"/>
      <c r="O47" s="12"/>
      <c r="Q47" s="5"/>
      <c r="R47" s="7"/>
      <c r="S47" s="11"/>
      <c r="T47" s="12"/>
      <c r="V47" s="2"/>
      <c r="W47" s="2"/>
      <c r="X47" s="87"/>
      <c r="Y47" s="37"/>
      <c r="AA47" s="2"/>
      <c r="AB47" s="2"/>
      <c r="AC47" s="87"/>
      <c r="AD47" s="37"/>
    </row>
    <row r="48" spans="2:30" ht="15.75" customHeight="1" x14ac:dyDescent="0.2">
      <c r="B48" s="5"/>
      <c r="C48" s="7"/>
      <c r="D48" s="11"/>
      <c r="E48" s="12"/>
      <c r="G48" s="5"/>
      <c r="H48" s="7"/>
      <c r="I48" s="11"/>
      <c r="J48" s="12"/>
      <c r="L48" s="5"/>
      <c r="M48" s="7"/>
      <c r="N48" s="11"/>
      <c r="O48" s="12"/>
      <c r="Q48" s="5"/>
      <c r="R48" s="7"/>
      <c r="S48" s="11"/>
      <c r="T48" s="12"/>
      <c r="V48" s="2"/>
      <c r="W48" s="2"/>
      <c r="X48" s="87"/>
      <c r="Y48" s="37"/>
      <c r="AA48" s="2"/>
      <c r="AB48" s="2"/>
      <c r="AC48" s="87"/>
      <c r="AD48" s="37"/>
    </row>
    <row r="49" spans="2:30" ht="15.75" customHeight="1" x14ac:dyDescent="0.2">
      <c r="B49" s="21" t="s">
        <v>52</v>
      </c>
      <c r="C49" s="22"/>
      <c r="D49" s="23"/>
      <c r="E49" s="24">
        <f>SUM(E42:E48)</f>
        <v>928.46249999999998</v>
      </c>
      <c r="G49" s="21" t="s">
        <v>52</v>
      </c>
      <c r="H49" s="22"/>
      <c r="I49" s="23"/>
      <c r="J49" s="24">
        <f>SUM(J42:J48)</f>
        <v>1485.4010000000001</v>
      </c>
      <c r="L49" s="21" t="s">
        <v>52</v>
      </c>
      <c r="M49" s="22"/>
      <c r="N49" s="23"/>
      <c r="O49" s="24">
        <f>SUM(O42:O48)</f>
        <v>953.2</v>
      </c>
      <c r="Q49" s="21" t="s">
        <v>52</v>
      </c>
      <c r="R49" s="22"/>
      <c r="S49" s="23"/>
      <c r="T49" s="24">
        <f>SUM(T42:T48)</f>
        <v>735.64799999999991</v>
      </c>
      <c r="V49" s="2"/>
      <c r="W49" s="2"/>
      <c r="X49" s="87"/>
      <c r="Y49" s="37"/>
      <c r="AA49" s="2"/>
      <c r="AB49" s="2"/>
      <c r="AC49" s="87"/>
      <c r="AD49" s="37"/>
    </row>
    <row r="50" spans="2:30" ht="15.75" customHeight="1" x14ac:dyDescent="0.2">
      <c r="B50" s="19" t="s">
        <v>53</v>
      </c>
      <c r="C50" s="27"/>
      <c r="D50" s="28"/>
      <c r="E50" s="29">
        <f>SUM(E49)</f>
        <v>928.46249999999998</v>
      </c>
      <c r="G50" s="19" t="s">
        <v>53</v>
      </c>
      <c r="H50" s="27"/>
      <c r="I50" s="28"/>
      <c r="J50" s="29">
        <f>SUM(J49)</f>
        <v>1485.4010000000001</v>
      </c>
      <c r="L50" s="19" t="s">
        <v>53</v>
      </c>
      <c r="M50" s="27"/>
      <c r="N50" s="28"/>
      <c r="O50" s="29">
        <f>SUM(O49)</f>
        <v>953.2</v>
      </c>
      <c r="Q50" s="19" t="s">
        <v>53</v>
      </c>
      <c r="R50" s="27"/>
      <c r="S50" s="28"/>
      <c r="T50" s="29">
        <f>SUM(T49)</f>
        <v>735.64799999999991</v>
      </c>
      <c r="V50" s="2"/>
      <c r="W50" s="2"/>
      <c r="X50" s="87"/>
      <c r="Y50" s="37"/>
      <c r="AA50" s="2"/>
      <c r="AB50" s="2"/>
      <c r="AC50" s="87"/>
      <c r="AD50" s="37"/>
    </row>
    <row r="51" spans="2:30" ht="15.75" customHeight="1" x14ac:dyDescent="0.2">
      <c r="B51" s="19" t="s">
        <v>54</v>
      </c>
      <c r="C51" s="27"/>
      <c r="D51" s="28"/>
      <c r="E51" s="29">
        <f>+E50</f>
        <v>928.46249999999998</v>
      </c>
      <c r="G51" s="19" t="s">
        <v>54</v>
      </c>
      <c r="H51" s="27"/>
      <c r="I51" s="28"/>
      <c r="J51" s="29">
        <f>+J50</f>
        <v>1485.4010000000001</v>
      </c>
      <c r="L51" s="19" t="s">
        <v>54</v>
      </c>
      <c r="M51" s="27"/>
      <c r="N51" s="28"/>
      <c r="O51" s="29">
        <f>+O50</f>
        <v>953.2</v>
      </c>
      <c r="Q51" s="19" t="s">
        <v>54</v>
      </c>
      <c r="R51" s="27"/>
      <c r="S51" s="28"/>
      <c r="T51" s="29">
        <f>+T50</f>
        <v>735.64799999999991</v>
      </c>
      <c r="V51" s="2"/>
      <c r="W51" s="2"/>
      <c r="X51" s="87"/>
      <c r="Y51" s="37"/>
      <c r="AA51" s="2"/>
      <c r="AB51" s="2"/>
      <c r="AC51" s="87"/>
      <c r="AD51" s="37"/>
    </row>
    <row r="52" spans="2:30" ht="15.75" customHeight="1" x14ac:dyDescent="0.2">
      <c r="B52" s="19" t="s">
        <v>55</v>
      </c>
      <c r="C52" s="27"/>
      <c r="D52" s="31">
        <v>0.3</v>
      </c>
      <c r="E52" s="29"/>
      <c r="G52" s="19" t="s">
        <v>55</v>
      </c>
      <c r="H52" s="27"/>
      <c r="I52" s="31">
        <v>0.3</v>
      </c>
      <c r="J52" s="29"/>
      <c r="L52" s="19" t="s">
        <v>55</v>
      </c>
      <c r="M52" s="27"/>
      <c r="N52" s="31">
        <v>0.3</v>
      </c>
      <c r="O52" s="29"/>
      <c r="Q52" s="19" t="s">
        <v>55</v>
      </c>
      <c r="R52" s="27"/>
      <c r="S52" s="31">
        <v>0.3</v>
      </c>
      <c r="T52" s="29"/>
      <c r="V52" s="88"/>
      <c r="W52" s="88"/>
      <c r="X52" s="89"/>
      <c r="Y52" s="89"/>
      <c r="AA52" s="88"/>
      <c r="AB52" s="88"/>
      <c r="AC52" s="89"/>
      <c r="AD52" s="89"/>
    </row>
    <row r="53" spans="2:30" ht="15.75" customHeight="1" x14ac:dyDescent="0.2">
      <c r="B53" s="19" t="s">
        <v>56</v>
      </c>
      <c r="C53" s="27"/>
      <c r="D53" s="31"/>
      <c r="E53" s="29">
        <f>+E51*3.33333333333333</f>
        <v>3094.8749999999968</v>
      </c>
      <c r="G53" s="19" t="s">
        <v>56</v>
      </c>
      <c r="H53" s="27"/>
      <c r="I53" s="31"/>
      <c r="J53" s="29">
        <f>+J51*3.33333333333333</f>
        <v>4951.3366666666616</v>
      </c>
      <c r="L53" s="19" t="s">
        <v>56</v>
      </c>
      <c r="M53" s="27"/>
      <c r="N53" s="31"/>
      <c r="O53" s="29">
        <f>+O51*3.33333333333333</f>
        <v>3177.3333333333303</v>
      </c>
      <c r="Q53" s="19" t="s">
        <v>56</v>
      </c>
      <c r="R53" s="27"/>
      <c r="S53" s="31"/>
      <c r="T53" s="29">
        <f>+T51*3.33333333333333</f>
        <v>2452.1599999999971</v>
      </c>
      <c r="V53" s="2"/>
      <c r="W53" s="2"/>
      <c r="X53" s="90"/>
      <c r="Y53" s="90"/>
      <c r="AA53" s="2"/>
      <c r="AB53" s="2"/>
      <c r="AC53" s="90"/>
      <c r="AD53" s="90"/>
    </row>
    <row r="54" spans="2:30" ht="15.75" customHeight="1" x14ac:dyDescent="0.2">
      <c r="B54" s="19" t="s">
        <v>57</v>
      </c>
      <c r="C54" s="27"/>
      <c r="D54" s="27"/>
      <c r="E54" s="29">
        <v>4100</v>
      </c>
      <c r="G54" s="19" t="s">
        <v>57</v>
      </c>
      <c r="H54" s="27"/>
      <c r="I54" s="27"/>
      <c r="J54" s="29">
        <v>6000</v>
      </c>
      <c r="L54" s="19" t="s">
        <v>57</v>
      </c>
      <c r="M54" s="27"/>
      <c r="N54" s="27"/>
      <c r="O54" s="29">
        <v>6000</v>
      </c>
      <c r="Q54" s="19" t="s">
        <v>57</v>
      </c>
      <c r="R54" s="27"/>
      <c r="S54" s="27"/>
      <c r="T54" s="29">
        <v>5900</v>
      </c>
      <c r="V54" s="2"/>
      <c r="W54" s="2"/>
      <c r="X54" s="90"/>
      <c r="Y54" s="90"/>
      <c r="AA54" s="2"/>
      <c r="AB54" s="2"/>
      <c r="AC54" s="90"/>
      <c r="AD54" s="90"/>
    </row>
    <row r="55" spans="2:30" ht="15.75" customHeight="1" x14ac:dyDescent="0.2">
      <c r="B55" s="19"/>
      <c r="C55" s="27"/>
      <c r="D55" s="28"/>
      <c r="E55" s="24">
        <f>+E54-E53</f>
        <v>1005.1250000000032</v>
      </c>
      <c r="G55" s="19"/>
      <c r="H55" s="27"/>
      <c r="I55" s="28"/>
      <c r="J55" s="24">
        <f>+J54-J53</f>
        <v>1048.6633333333384</v>
      </c>
      <c r="L55" s="19"/>
      <c r="M55" s="27"/>
      <c r="N55" s="28"/>
      <c r="O55" s="24">
        <f>+O54-O53</f>
        <v>2822.6666666666697</v>
      </c>
      <c r="Q55" s="19"/>
      <c r="R55" s="27"/>
      <c r="S55" s="28"/>
      <c r="T55" s="24">
        <f>+T54-T53</f>
        <v>3447.8400000000029</v>
      </c>
      <c r="V55" s="2"/>
      <c r="W55" s="2"/>
      <c r="X55" s="91"/>
      <c r="Y55" s="90"/>
      <c r="AA55" s="2"/>
      <c r="AB55" s="2"/>
      <c r="AC55" s="91"/>
      <c r="AD55" s="90"/>
    </row>
    <row r="56" spans="2:30" ht="15.75" customHeight="1" x14ac:dyDescent="0.2">
      <c r="B56" s="32" t="s">
        <v>58</v>
      </c>
      <c r="C56" s="33"/>
      <c r="D56" s="33"/>
      <c r="E56" s="34">
        <f>E51/E54</f>
        <v>0.22645426829268292</v>
      </c>
      <c r="G56" s="32" t="s">
        <v>58</v>
      </c>
      <c r="H56" s="33"/>
      <c r="I56" s="33"/>
      <c r="J56" s="34">
        <f>J51/J54</f>
        <v>0.24756683333333335</v>
      </c>
      <c r="L56" s="32" t="s">
        <v>58</v>
      </c>
      <c r="M56" s="33"/>
      <c r="N56" s="33"/>
      <c r="O56" s="34">
        <f>O51/O54</f>
        <v>0.15886666666666668</v>
      </c>
      <c r="Q56" s="32" t="s">
        <v>58</v>
      </c>
      <c r="R56" s="33"/>
      <c r="S56" s="33"/>
      <c r="T56" s="34">
        <f>T51/T54</f>
        <v>0.12468610169491524</v>
      </c>
      <c r="V56" s="2"/>
      <c r="W56" s="2"/>
      <c r="X56" s="91"/>
      <c r="Y56" s="90"/>
      <c r="AA56" s="2"/>
      <c r="AB56" s="2"/>
      <c r="AC56" s="91"/>
      <c r="AD56" s="90"/>
    </row>
    <row r="57" spans="2:30" ht="15.75" customHeight="1" x14ac:dyDescent="0.2">
      <c r="B57" s="2"/>
      <c r="C57" s="2"/>
      <c r="D57" s="2"/>
      <c r="E57" s="90"/>
      <c r="G57" s="2"/>
      <c r="H57" s="2"/>
      <c r="I57" s="2"/>
      <c r="J57" s="90"/>
      <c r="L57" s="2"/>
      <c r="M57" s="2"/>
      <c r="N57" s="2"/>
      <c r="O57" s="90"/>
      <c r="Q57" s="2"/>
      <c r="R57" s="2"/>
      <c r="S57" s="2"/>
      <c r="T57" s="90"/>
      <c r="V57" s="2"/>
      <c r="W57" s="2"/>
      <c r="X57" s="2"/>
      <c r="Y57" s="90"/>
      <c r="AA57" s="2"/>
      <c r="AB57" s="2"/>
      <c r="AC57" s="2"/>
      <c r="AD57" s="90"/>
    </row>
    <row r="58" spans="2:30" ht="15.75" customHeight="1" x14ac:dyDescent="0.2">
      <c r="B58" s="2"/>
      <c r="C58" s="2"/>
      <c r="D58" s="2"/>
      <c r="E58" s="90"/>
      <c r="G58" s="2"/>
      <c r="H58" s="2"/>
      <c r="I58" s="2"/>
      <c r="J58" s="90"/>
      <c r="L58" s="2"/>
      <c r="M58" s="2"/>
      <c r="N58" s="2"/>
      <c r="O58" s="90"/>
      <c r="Q58" s="2"/>
      <c r="R58" s="2"/>
      <c r="S58" s="2"/>
      <c r="T58" s="90"/>
      <c r="V58" s="2"/>
      <c r="W58" s="2"/>
      <c r="X58" s="2"/>
      <c r="Y58" s="90"/>
      <c r="AA58" s="2"/>
      <c r="AB58" s="2"/>
      <c r="AC58" s="2"/>
      <c r="AD58" s="90"/>
    </row>
    <row r="59" spans="2:30" ht="15.75" customHeight="1" x14ac:dyDescent="0.2">
      <c r="B59" s="212" t="s">
        <v>183</v>
      </c>
      <c r="C59" s="213"/>
      <c r="D59" s="213"/>
      <c r="E59" s="214"/>
      <c r="G59" s="212" t="s">
        <v>184</v>
      </c>
      <c r="H59" s="213"/>
      <c r="I59" s="213"/>
      <c r="J59" s="214"/>
      <c r="L59" s="212" t="s">
        <v>185</v>
      </c>
      <c r="M59" s="213"/>
      <c r="N59" s="213"/>
      <c r="O59" s="214"/>
      <c r="Q59" s="218" t="s">
        <v>186</v>
      </c>
      <c r="R59" s="213"/>
      <c r="S59" s="213"/>
      <c r="T59" s="214"/>
      <c r="V59" s="2"/>
      <c r="W59" s="2"/>
      <c r="X59" s="2"/>
      <c r="Y59" s="90"/>
      <c r="AA59" s="2"/>
      <c r="AB59" s="2"/>
      <c r="AC59" s="2"/>
      <c r="AD59" s="90"/>
    </row>
    <row r="60" spans="2:30" ht="15.75" customHeight="1" x14ac:dyDescent="0.2">
      <c r="B60" s="5"/>
      <c r="C60" s="6" t="s">
        <v>8</v>
      </c>
      <c r="D60" s="7" t="s">
        <v>9</v>
      </c>
      <c r="E60" s="8" t="s">
        <v>10</v>
      </c>
      <c r="G60" s="5"/>
      <c r="H60" s="6" t="s">
        <v>8</v>
      </c>
      <c r="I60" s="7" t="s">
        <v>9</v>
      </c>
      <c r="J60" s="8" t="s">
        <v>10</v>
      </c>
      <c r="L60" s="5"/>
      <c r="M60" s="6" t="s">
        <v>8</v>
      </c>
      <c r="N60" s="7" t="s">
        <v>9</v>
      </c>
      <c r="O60" s="8" t="s">
        <v>10</v>
      </c>
      <c r="Q60" s="64"/>
      <c r="R60" s="65" t="s">
        <v>8</v>
      </c>
      <c r="S60" s="7" t="s">
        <v>9</v>
      </c>
      <c r="T60" s="8" t="s">
        <v>10</v>
      </c>
      <c r="V60" s="2"/>
      <c r="W60" s="2"/>
      <c r="X60" s="90"/>
      <c r="Y60" s="89"/>
      <c r="AA60" s="2"/>
      <c r="AB60" s="2"/>
      <c r="AC60" s="90"/>
      <c r="AD60" s="89"/>
    </row>
    <row r="61" spans="2:30" ht="15.75" customHeight="1" x14ac:dyDescent="0.2">
      <c r="B61" s="7" t="s">
        <v>165</v>
      </c>
      <c r="C61" s="10">
        <v>1.9E-2</v>
      </c>
      <c r="D61" s="11">
        <f>+VLOOKUP(B61,'PRECIO PROVEEDORES'!$A$2:$B$716,2,0)</f>
        <v>47093</v>
      </c>
      <c r="E61" s="12">
        <f>+C61*D61</f>
        <v>894.76699999999994</v>
      </c>
      <c r="G61" s="7" t="s">
        <v>165</v>
      </c>
      <c r="H61" s="10">
        <v>1.9E-2</v>
      </c>
      <c r="I61" s="11">
        <f>+VLOOKUP(G61,'PRECIO PROVEEDORES'!$A$2:$B$716,2,0)</f>
        <v>47093</v>
      </c>
      <c r="J61" s="12">
        <f>+H61*I61</f>
        <v>894.76699999999994</v>
      </c>
      <c r="L61" s="7" t="s">
        <v>165</v>
      </c>
      <c r="M61" s="10">
        <v>0.01</v>
      </c>
      <c r="N61" s="11">
        <f>+VLOOKUP(L61,'PRECIO PROVEEDORES'!$A$2:$B$716,2,0)</f>
        <v>47093</v>
      </c>
      <c r="O61" s="12">
        <f>+M61*N61</f>
        <v>470.93</v>
      </c>
      <c r="Q61" s="7" t="s">
        <v>165</v>
      </c>
      <c r="R61" s="10">
        <v>0.01</v>
      </c>
      <c r="S61" s="94">
        <f>+VLOOKUP(Q61,'PRECIO PROVEEDORES'!$A$2:$B$716,2,0)</f>
        <v>47093</v>
      </c>
      <c r="T61" s="12">
        <f>+R61*S61</f>
        <v>470.93</v>
      </c>
      <c r="V61" s="2"/>
      <c r="W61" s="2"/>
      <c r="X61" s="2"/>
      <c r="Y61" s="91"/>
      <c r="AA61" s="2"/>
      <c r="AB61" s="2"/>
      <c r="AC61" s="2"/>
      <c r="AD61" s="91"/>
    </row>
    <row r="62" spans="2:30" ht="15.75" customHeight="1" x14ac:dyDescent="0.2">
      <c r="B62" s="13"/>
      <c r="C62" s="10"/>
      <c r="D62" s="11"/>
      <c r="E62" s="12"/>
      <c r="G62" s="13"/>
      <c r="H62" s="10"/>
      <c r="I62" s="11"/>
      <c r="J62" s="12"/>
      <c r="L62" s="13"/>
      <c r="M62" s="10"/>
      <c r="N62" s="11"/>
      <c r="O62" s="12"/>
      <c r="Q62" s="66"/>
      <c r="R62" s="68"/>
      <c r="S62" s="94"/>
      <c r="T62" s="12"/>
    </row>
    <row r="63" spans="2:30" ht="15.75" customHeight="1" x14ac:dyDescent="0.2">
      <c r="B63" s="13"/>
      <c r="C63" s="10"/>
      <c r="D63" s="11"/>
      <c r="E63" s="12"/>
      <c r="G63" s="13"/>
      <c r="H63" s="10"/>
      <c r="I63" s="11"/>
      <c r="J63" s="12"/>
      <c r="L63" s="13"/>
      <c r="M63" s="10"/>
      <c r="N63" s="11"/>
      <c r="O63" s="12"/>
      <c r="Q63" s="66"/>
      <c r="R63" s="68"/>
      <c r="S63" s="94"/>
      <c r="T63" s="12"/>
    </row>
    <row r="64" spans="2:30" ht="15.75" customHeight="1" x14ac:dyDescent="0.2">
      <c r="B64" s="13"/>
      <c r="C64" s="10"/>
      <c r="D64" s="11"/>
      <c r="E64" s="12"/>
      <c r="G64" s="13"/>
      <c r="H64" s="10"/>
      <c r="I64" s="11"/>
      <c r="J64" s="12"/>
      <c r="L64" s="13"/>
      <c r="M64" s="10"/>
      <c r="N64" s="11"/>
      <c r="O64" s="12"/>
      <c r="Q64" s="66"/>
      <c r="R64" s="68"/>
      <c r="S64" s="69"/>
      <c r="T64" s="12"/>
      <c r="V64" s="219"/>
      <c r="W64" s="220"/>
      <c r="X64" s="220"/>
      <c r="Y64" s="220"/>
      <c r="AA64" s="219"/>
      <c r="AB64" s="220"/>
      <c r="AC64" s="220"/>
      <c r="AD64" s="220"/>
    </row>
    <row r="65" spans="2:30" ht="15.75" customHeight="1" x14ac:dyDescent="0.2">
      <c r="B65" s="5"/>
      <c r="C65" s="7"/>
      <c r="D65" s="11"/>
      <c r="E65" s="12"/>
      <c r="G65" s="5"/>
      <c r="H65" s="7"/>
      <c r="I65" s="11"/>
      <c r="J65" s="12"/>
      <c r="L65" s="5"/>
      <c r="M65" s="7"/>
      <c r="N65" s="11"/>
      <c r="O65" s="12"/>
      <c r="Q65" s="64"/>
      <c r="R65" s="66"/>
      <c r="S65" s="69"/>
      <c r="T65" s="70"/>
      <c r="V65" s="2"/>
      <c r="W65" s="2"/>
      <c r="X65" s="87"/>
      <c r="Y65" s="37"/>
      <c r="AA65" s="2"/>
      <c r="AB65" s="2"/>
      <c r="AC65" s="87"/>
      <c r="AD65" s="37"/>
    </row>
    <row r="66" spans="2:30" ht="15.75" customHeight="1" x14ac:dyDescent="0.2">
      <c r="B66" s="5"/>
      <c r="C66" s="7"/>
      <c r="D66" s="11"/>
      <c r="E66" s="12"/>
      <c r="G66" s="5"/>
      <c r="H66" s="7"/>
      <c r="I66" s="11"/>
      <c r="J66" s="12"/>
      <c r="L66" s="5"/>
      <c r="M66" s="7"/>
      <c r="N66" s="11"/>
      <c r="O66" s="12"/>
      <c r="Q66" s="64"/>
      <c r="R66" s="66"/>
      <c r="S66" s="69"/>
      <c r="T66" s="70"/>
      <c r="V66" s="2"/>
      <c r="W66" s="2"/>
      <c r="X66" s="87"/>
      <c r="Y66" s="37"/>
      <c r="AA66" s="2"/>
      <c r="AB66" s="2"/>
      <c r="AC66" s="87"/>
      <c r="AD66" s="37"/>
    </row>
    <row r="67" spans="2:30" ht="15.75" customHeight="1" x14ac:dyDescent="0.2">
      <c r="B67" s="5"/>
      <c r="C67" s="7"/>
      <c r="D67" s="11"/>
      <c r="E67" s="12"/>
      <c r="G67" s="5"/>
      <c r="H67" s="7"/>
      <c r="I67" s="11"/>
      <c r="J67" s="12"/>
      <c r="L67" s="5"/>
      <c r="M67" s="7"/>
      <c r="N67" s="11"/>
      <c r="O67" s="12"/>
      <c r="Q67" s="64"/>
      <c r="R67" s="66"/>
      <c r="S67" s="69"/>
      <c r="T67" s="70"/>
      <c r="V67" s="2"/>
      <c r="W67" s="2"/>
      <c r="X67" s="87"/>
      <c r="Y67" s="37"/>
      <c r="AA67" s="2"/>
      <c r="AB67" s="2"/>
      <c r="AC67" s="87"/>
      <c r="AD67" s="37"/>
    </row>
    <row r="68" spans="2:30" ht="15.75" customHeight="1" x14ac:dyDescent="0.2">
      <c r="B68" s="21" t="s">
        <v>52</v>
      </c>
      <c r="C68" s="22"/>
      <c r="D68" s="23"/>
      <c r="E68" s="24">
        <f>SUM(E61:E67)</f>
        <v>894.76699999999994</v>
      </c>
      <c r="G68" s="21" t="s">
        <v>52</v>
      </c>
      <c r="H68" s="22"/>
      <c r="I68" s="23"/>
      <c r="J68" s="24">
        <f>SUM(J61:J67)</f>
        <v>894.76699999999994</v>
      </c>
      <c r="L68" s="21" t="s">
        <v>52</v>
      </c>
      <c r="M68" s="22"/>
      <c r="N68" s="23"/>
      <c r="O68" s="24">
        <f>SUM(O61:O67)</f>
        <v>470.93</v>
      </c>
      <c r="Q68" s="72" t="s">
        <v>52</v>
      </c>
      <c r="R68" s="73"/>
      <c r="S68" s="74"/>
      <c r="T68" s="95">
        <f>SUM(T61:T67)</f>
        <v>470.93</v>
      </c>
      <c r="V68" s="2"/>
      <c r="W68" s="2"/>
      <c r="X68" s="87"/>
      <c r="Y68" s="37"/>
      <c r="AA68" s="2"/>
      <c r="AB68" s="2"/>
      <c r="AC68" s="87"/>
      <c r="AD68" s="37"/>
    </row>
    <row r="69" spans="2:30" ht="15.75" customHeight="1" x14ac:dyDescent="0.2">
      <c r="B69" s="19" t="s">
        <v>53</v>
      </c>
      <c r="C69" s="27"/>
      <c r="D69" s="28"/>
      <c r="E69" s="29">
        <f>SUM(E68)</f>
        <v>894.76699999999994</v>
      </c>
      <c r="G69" s="19" t="s">
        <v>53</v>
      </c>
      <c r="H69" s="27"/>
      <c r="I69" s="28"/>
      <c r="J69" s="29">
        <f>SUM(J68)</f>
        <v>894.76699999999994</v>
      </c>
      <c r="L69" s="19" t="s">
        <v>53</v>
      </c>
      <c r="M69" s="27"/>
      <c r="N69" s="28"/>
      <c r="O69" s="29">
        <f>SUM(O68)</f>
        <v>470.93</v>
      </c>
      <c r="Q69" s="76" t="s">
        <v>53</v>
      </c>
      <c r="R69" s="77"/>
      <c r="S69" s="78"/>
      <c r="T69" s="96">
        <f>SUM(T68)</f>
        <v>470.93</v>
      </c>
      <c r="V69" s="2"/>
      <c r="W69" s="2"/>
      <c r="X69" s="87"/>
      <c r="Y69" s="37"/>
      <c r="AA69" s="2"/>
      <c r="AB69" s="2"/>
      <c r="AC69" s="87"/>
      <c r="AD69" s="37"/>
    </row>
    <row r="70" spans="2:30" ht="15.75" customHeight="1" x14ac:dyDescent="0.2">
      <c r="B70" s="19" t="s">
        <v>54</v>
      </c>
      <c r="C70" s="27"/>
      <c r="D70" s="28"/>
      <c r="E70" s="29">
        <f>+E69</f>
        <v>894.76699999999994</v>
      </c>
      <c r="G70" s="19" t="s">
        <v>54</v>
      </c>
      <c r="H70" s="27"/>
      <c r="I70" s="28"/>
      <c r="J70" s="29">
        <f>+J69</f>
        <v>894.76699999999994</v>
      </c>
      <c r="L70" s="19" t="s">
        <v>54</v>
      </c>
      <c r="M70" s="27"/>
      <c r="N70" s="28"/>
      <c r="O70" s="29">
        <f>+O69</f>
        <v>470.93</v>
      </c>
      <c r="Q70" s="76" t="s">
        <v>54</v>
      </c>
      <c r="R70" s="77"/>
      <c r="S70" s="78"/>
      <c r="T70" s="96">
        <f>+T69</f>
        <v>470.93</v>
      </c>
      <c r="V70" s="2"/>
      <c r="W70" s="2"/>
      <c r="X70" s="87"/>
      <c r="Y70" s="37"/>
      <c r="AA70" s="2"/>
      <c r="AB70" s="2"/>
      <c r="AC70" s="87"/>
      <c r="AD70" s="37"/>
    </row>
    <row r="71" spans="2:30" ht="15.75" customHeight="1" x14ac:dyDescent="0.2">
      <c r="B71" s="19" t="s">
        <v>55</v>
      </c>
      <c r="C71" s="27"/>
      <c r="D71" s="31">
        <v>0.3</v>
      </c>
      <c r="E71" s="29"/>
      <c r="G71" s="19" t="s">
        <v>55</v>
      </c>
      <c r="H71" s="27"/>
      <c r="I71" s="31">
        <v>0.3</v>
      </c>
      <c r="J71" s="29"/>
      <c r="L71" s="19" t="s">
        <v>55</v>
      </c>
      <c r="M71" s="27"/>
      <c r="N71" s="31">
        <v>0.3</v>
      </c>
      <c r="O71" s="29"/>
      <c r="Q71" s="76" t="s">
        <v>55</v>
      </c>
      <c r="R71" s="77"/>
      <c r="S71" s="80">
        <v>0.3</v>
      </c>
      <c r="T71" s="81"/>
      <c r="V71" s="2"/>
      <c r="W71" s="2"/>
      <c r="X71" s="87"/>
      <c r="Y71" s="37"/>
      <c r="AA71" s="2"/>
      <c r="AB71" s="2"/>
      <c r="AC71" s="87"/>
      <c r="AD71" s="37"/>
    </row>
    <row r="72" spans="2:30" ht="15.75" customHeight="1" x14ac:dyDescent="0.2">
      <c r="B72" s="19" t="s">
        <v>56</v>
      </c>
      <c r="C72" s="27"/>
      <c r="D72" s="31"/>
      <c r="E72" s="29">
        <f>+E70*3.33333333333333</f>
        <v>2982.5566666666632</v>
      </c>
      <c r="G72" s="19" t="s">
        <v>56</v>
      </c>
      <c r="H72" s="27"/>
      <c r="I72" s="31"/>
      <c r="J72" s="29">
        <f>+J70*3.33333333333333</f>
        <v>2982.5566666666632</v>
      </c>
      <c r="L72" s="19" t="s">
        <v>56</v>
      </c>
      <c r="M72" s="27"/>
      <c r="N72" s="31"/>
      <c r="O72" s="29">
        <f>+O70*3.33333333333333</f>
        <v>1569.7666666666651</v>
      </c>
      <c r="Q72" s="76" t="s">
        <v>56</v>
      </c>
      <c r="R72" s="77"/>
      <c r="S72" s="82"/>
      <c r="T72" s="96">
        <f>+T70*3.33333333333333</f>
        <v>1569.7666666666651</v>
      </c>
      <c r="V72" s="2"/>
      <c r="W72" s="2"/>
      <c r="X72" s="87"/>
      <c r="Y72" s="37"/>
      <c r="AA72" s="2"/>
      <c r="AB72" s="2"/>
      <c r="AC72" s="87"/>
      <c r="AD72" s="37"/>
    </row>
    <row r="73" spans="2:30" ht="15.75" customHeight="1" x14ac:dyDescent="0.2">
      <c r="B73" s="19" t="s">
        <v>57</v>
      </c>
      <c r="C73" s="27"/>
      <c r="D73" s="27"/>
      <c r="E73" s="29">
        <v>4700</v>
      </c>
      <c r="G73" s="19" t="s">
        <v>57</v>
      </c>
      <c r="H73" s="27"/>
      <c r="I73" s="27"/>
      <c r="J73" s="29">
        <v>5000</v>
      </c>
      <c r="L73" s="19" t="s">
        <v>57</v>
      </c>
      <c r="M73" s="27"/>
      <c r="N73" s="27"/>
      <c r="O73" s="29">
        <v>4400</v>
      </c>
      <c r="Q73" s="76" t="s">
        <v>57</v>
      </c>
      <c r="R73" s="77"/>
      <c r="S73" s="77"/>
      <c r="T73" s="96">
        <v>4700</v>
      </c>
      <c r="V73" s="88"/>
      <c r="W73" s="88"/>
      <c r="X73" s="89"/>
      <c r="Y73" s="89"/>
      <c r="AA73" s="88"/>
      <c r="AB73" s="88"/>
      <c r="AC73" s="89"/>
      <c r="AD73" s="89"/>
    </row>
    <row r="74" spans="2:30" ht="15.75" customHeight="1" x14ac:dyDescent="0.2">
      <c r="B74" s="19"/>
      <c r="C74" s="27"/>
      <c r="D74" s="28"/>
      <c r="E74" s="24">
        <f>+E73-E72</f>
        <v>1717.4433333333368</v>
      </c>
      <c r="G74" s="19"/>
      <c r="H74" s="27"/>
      <c r="I74" s="28"/>
      <c r="J74" s="24">
        <f>+J73-J72</f>
        <v>2017.4433333333368</v>
      </c>
      <c r="L74" s="19"/>
      <c r="M74" s="27"/>
      <c r="N74" s="28"/>
      <c r="O74" s="24">
        <f>+O73-O72</f>
        <v>2830.2333333333349</v>
      </c>
      <c r="Q74" s="71"/>
      <c r="R74" s="77"/>
      <c r="S74" s="78"/>
      <c r="T74" s="95">
        <f>+T73-T72</f>
        <v>3130.2333333333349</v>
      </c>
      <c r="V74" s="2"/>
      <c r="W74" s="2"/>
      <c r="X74" s="90"/>
      <c r="Y74" s="90"/>
      <c r="AA74" s="2"/>
      <c r="AB74" s="2"/>
      <c r="AC74" s="90"/>
      <c r="AD74" s="90"/>
    </row>
    <row r="75" spans="2:30" ht="15.75" customHeight="1" x14ac:dyDescent="0.2">
      <c r="B75" s="32" t="s">
        <v>58</v>
      </c>
      <c r="C75" s="33"/>
      <c r="D75" s="33"/>
      <c r="E75" s="34">
        <f>E70/E73</f>
        <v>0.19037595744680849</v>
      </c>
      <c r="G75" s="32" t="s">
        <v>58</v>
      </c>
      <c r="H75" s="33"/>
      <c r="I75" s="33"/>
      <c r="J75" s="34">
        <f>J70/J73</f>
        <v>0.17895339999999998</v>
      </c>
      <c r="L75" s="32" t="s">
        <v>58</v>
      </c>
      <c r="M75" s="33"/>
      <c r="N75" s="33"/>
      <c r="O75" s="34">
        <f>O70/O73</f>
        <v>0.10702954545454546</v>
      </c>
      <c r="Q75" s="32" t="s">
        <v>58</v>
      </c>
      <c r="R75" s="83"/>
      <c r="S75" s="97"/>
      <c r="T75" s="98">
        <f>T70/T73</f>
        <v>0.10019787234042553</v>
      </c>
      <c r="V75" s="2"/>
      <c r="W75" s="2"/>
      <c r="X75" s="90"/>
      <c r="Y75" s="90"/>
      <c r="AA75" s="2"/>
      <c r="AB75" s="2"/>
      <c r="AC75" s="90"/>
      <c r="AD75" s="90"/>
    </row>
    <row r="76" spans="2:30" ht="15.75" customHeight="1" x14ac:dyDescent="0.2">
      <c r="B76" s="2"/>
      <c r="C76" s="2"/>
      <c r="D76" s="91"/>
      <c r="E76" s="90"/>
      <c r="G76" s="2"/>
      <c r="H76" s="2"/>
      <c r="I76" s="91"/>
      <c r="J76" s="90"/>
      <c r="L76" s="2"/>
      <c r="M76" s="2"/>
      <c r="N76" s="91"/>
      <c r="O76" s="90"/>
      <c r="Q76" s="9"/>
      <c r="R76" s="9"/>
      <c r="S76" s="9"/>
      <c r="T76" s="35"/>
      <c r="V76" s="2"/>
      <c r="W76" s="2"/>
      <c r="X76" s="91"/>
      <c r="Y76" s="90"/>
      <c r="AA76" s="2"/>
      <c r="AB76" s="2"/>
      <c r="AC76" s="91"/>
      <c r="AD76" s="90"/>
    </row>
    <row r="77" spans="2:30" ht="15.75" customHeight="1" x14ac:dyDescent="0.2">
      <c r="B77" s="2"/>
      <c r="C77" s="2"/>
      <c r="D77" s="91"/>
      <c r="E77" s="90"/>
      <c r="G77" s="2"/>
      <c r="H77" s="2"/>
      <c r="I77" s="91"/>
      <c r="J77" s="90"/>
      <c r="L77" s="2"/>
      <c r="M77" s="2"/>
      <c r="N77" s="91"/>
      <c r="O77" s="90"/>
      <c r="Q77" s="2"/>
      <c r="R77" s="2"/>
      <c r="S77" s="2"/>
      <c r="T77" s="91"/>
      <c r="V77" s="2"/>
      <c r="W77" s="2"/>
      <c r="X77" s="91"/>
      <c r="Y77" s="90"/>
      <c r="AA77" s="2"/>
      <c r="AB77" s="2"/>
      <c r="AC77" s="91"/>
      <c r="AD77" s="90"/>
    </row>
    <row r="78" spans="2:30" ht="15.75" customHeight="1" x14ac:dyDescent="0.2">
      <c r="B78" s="212" t="s">
        <v>187</v>
      </c>
      <c r="C78" s="213"/>
      <c r="D78" s="213"/>
      <c r="E78" s="214"/>
      <c r="G78" s="212" t="s">
        <v>188</v>
      </c>
      <c r="H78" s="213"/>
      <c r="I78" s="213"/>
      <c r="J78" s="214"/>
      <c r="L78" s="212" t="s">
        <v>189</v>
      </c>
      <c r="M78" s="213"/>
      <c r="N78" s="213"/>
      <c r="O78" s="214"/>
      <c r="Q78" s="218" t="s">
        <v>190</v>
      </c>
      <c r="R78" s="213"/>
      <c r="S78" s="213"/>
      <c r="T78" s="214"/>
      <c r="V78" s="2"/>
      <c r="W78" s="2"/>
      <c r="X78" s="91"/>
      <c r="Y78" s="90"/>
      <c r="AA78" s="2"/>
      <c r="AB78" s="2"/>
      <c r="AC78" s="91"/>
      <c r="AD78" s="90"/>
    </row>
    <row r="79" spans="2:30" ht="15.75" customHeight="1" x14ac:dyDescent="0.2">
      <c r="B79" s="5"/>
      <c r="C79" s="6" t="s">
        <v>8</v>
      </c>
      <c r="D79" s="7" t="s">
        <v>9</v>
      </c>
      <c r="E79" s="8" t="s">
        <v>10</v>
      </c>
      <c r="G79" s="5"/>
      <c r="H79" s="6" t="s">
        <v>8</v>
      </c>
      <c r="I79" s="7" t="s">
        <v>9</v>
      </c>
      <c r="J79" s="8" t="s">
        <v>10</v>
      </c>
      <c r="L79" s="5"/>
      <c r="M79" s="6" t="s">
        <v>8</v>
      </c>
      <c r="N79" s="7" t="s">
        <v>9</v>
      </c>
      <c r="O79" s="8" t="s">
        <v>10</v>
      </c>
      <c r="Q79" s="64"/>
      <c r="R79" s="65" t="s">
        <v>8</v>
      </c>
      <c r="S79" s="7" t="s">
        <v>9</v>
      </c>
      <c r="T79" s="99" t="s">
        <v>10</v>
      </c>
      <c r="V79" s="2"/>
      <c r="W79" s="2"/>
      <c r="X79" s="2"/>
      <c r="Y79" s="90"/>
      <c r="AA79" s="2"/>
      <c r="AB79" s="2"/>
      <c r="AC79" s="2"/>
      <c r="AD79" s="90"/>
    </row>
    <row r="80" spans="2:30" ht="15.75" customHeight="1" x14ac:dyDescent="0.2">
      <c r="B80" s="7" t="s">
        <v>165</v>
      </c>
      <c r="C80" s="10">
        <v>1.9E-2</v>
      </c>
      <c r="D80" s="11">
        <f>+VLOOKUP(B80,'PRECIO PROVEEDORES'!$A$2:$B$716,2,0)</f>
        <v>47093</v>
      </c>
      <c r="E80" s="12">
        <f t="shared" ref="E80:E82" si="12">+C80*D80</f>
        <v>894.76699999999994</v>
      </c>
      <c r="G80" s="7" t="s">
        <v>165</v>
      </c>
      <c r="H80" s="10">
        <v>0.01</v>
      </c>
      <c r="I80" s="11">
        <f>+VLOOKUP(G80,'PRECIO PROVEEDORES'!$A$2:$B$716,2,0)</f>
        <v>47093</v>
      </c>
      <c r="J80" s="12">
        <f t="shared" ref="J80:J83" si="13">+H80*I80</f>
        <v>470.93</v>
      </c>
      <c r="L80" s="7" t="s">
        <v>165</v>
      </c>
      <c r="M80" s="10">
        <v>0.01</v>
      </c>
      <c r="N80" s="11">
        <f>+VLOOKUP(L80,'PRECIO PROVEEDORES'!$A$2:$B$716,2,0)</f>
        <v>47093</v>
      </c>
      <c r="O80" s="12">
        <f t="shared" ref="O80:O83" si="14">+M80*N80</f>
        <v>470.93</v>
      </c>
      <c r="Q80" s="7" t="s">
        <v>165</v>
      </c>
      <c r="R80" s="68">
        <v>1.9E-2</v>
      </c>
      <c r="S80" s="94">
        <f>+VLOOKUP(Q80,'PRECIO PROVEEDORES'!$A$2:$B$716,2,0)</f>
        <v>47093</v>
      </c>
      <c r="T80" s="12">
        <f t="shared" ref="T80:T82" si="15">+R80*S80</f>
        <v>894.76699999999994</v>
      </c>
      <c r="V80" s="2"/>
      <c r="W80" s="2"/>
      <c r="X80" s="2"/>
      <c r="Y80" s="90"/>
      <c r="AA80" s="2"/>
      <c r="AB80" s="2"/>
      <c r="AC80" s="2"/>
      <c r="AD80" s="90"/>
    </row>
    <row r="81" spans="2:30" ht="15.75" customHeight="1" x14ac:dyDescent="0.2">
      <c r="B81" s="13" t="s">
        <v>166</v>
      </c>
      <c r="C81" s="10">
        <v>0.12</v>
      </c>
      <c r="D81" s="11">
        <f>+VLOOKUP(B81,'PRECIO PROVEEDORES'!$A$2:$B$716,2,0)</f>
        <v>1940</v>
      </c>
      <c r="E81" s="12">
        <f t="shared" si="12"/>
        <v>232.79999999999998</v>
      </c>
      <c r="G81" s="13" t="s">
        <v>166</v>
      </c>
      <c r="H81" s="10">
        <v>0.15</v>
      </c>
      <c r="I81" s="11">
        <f>+VLOOKUP(G81,'PRECIO PROVEEDORES'!$A$2:$B$716,2,0)</f>
        <v>1940</v>
      </c>
      <c r="J81" s="12">
        <f t="shared" si="13"/>
        <v>291</v>
      </c>
      <c r="L81" s="13" t="s">
        <v>166</v>
      </c>
      <c r="M81" s="10">
        <v>0.15</v>
      </c>
      <c r="N81" s="11">
        <f>+VLOOKUP(L81,'PRECIO PROVEEDORES'!$A$2:$B$716,2,0)</f>
        <v>1940</v>
      </c>
      <c r="O81" s="12">
        <f t="shared" si="14"/>
        <v>291</v>
      </c>
      <c r="Q81" s="13" t="s">
        <v>191</v>
      </c>
      <c r="R81" s="68">
        <v>0.2</v>
      </c>
      <c r="S81" s="94">
        <f>+VLOOKUP(Q81,'PRECIO PROVEEDORES'!$A$2:$B$716,2,0)</f>
        <v>1755.33</v>
      </c>
      <c r="T81" s="12">
        <f t="shared" si="15"/>
        <v>351.06600000000003</v>
      </c>
      <c r="V81" s="2"/>
      <c r="W81" s="2"/>
      <c r="X81" s="90"/>
      <c r="Y81" s="89"/>
      <c r="AA81" s="2"/>
      <c r="AB81" s="2"/>
      <c r="AC81" s="90"/>
      <c r="AD81" s="89"/>
    </row>
    <row r="82" spans="2:30" ht="15.75" customHeight="1" x14ac:dyDescent="0.2">
      <c r="B82" s="100" t="s">
        <v>192</v>
      </c>
      <c r="C82" s="10">
        <v>0.12</v>
      </c>
      <c r="D82" s="11">
        <f>+VLOOKUP(B82,'PRECIO PROVEEDORES'!$A$2:$B$716,2,0)</f>
        <v>400</v>
      </c>
      <c r="E82" s="12">
        <f t="shared" si="12"/>
        <v>48</v>
      </c>
      <c r="G82" s="101" t="s">
        <v>192</v>
      </c>
      <c r="H82" s="10">
        <v>0.15</v>
      </c>
      <c r="I82" s="11">
        <f>+VLOOKUP(G82,'PRECIO PROVEEDORES'!$A$2:$B$716,2,0)</f>
        <v>400</v>
      </c>
      <c r="J82" s="12">
        <f t="shared" si="13"/>
        <v>60</v>
      </c>
      <c r="L82" s="101" t="s">
        <v>192</v>
      </c>
      <c r="M82" s="10">
        <v>0.15</v>
      </c>
      <c r="N82" s="11">
        <f>+VLOOKUP(L82,'PRECIO PROVEEDORES'!$A$2:$B$716,2,0)</f>
        <v>400</v>
      </c>
      <c r="O82" s="12">
        <f t="shared" si="14"/>
        <v>60</v>
      </c>
      <c r="Q82" s="101" t="s">
        <v>192</v>
      </c>
      <c r="R82" s="68">
        <v>0.15</v>
      </c>
      <c r="S82" s="94">
        <f>+VLOOKUP(Q82,'PRECIO PROVEEDORES'!$A$2:$B$716,2,0)</f>
        <v>400</v>
      </c>
      <c r="T82" s="12">
        <f t="shared" si="15"/>
        <v>60</v>
      </c>
      <c r="V82" s="2"/>
      <c r="W82" s="2"/>
      <c r="X82" s="2"/>
      <c r="Y82" s="91"/>
      <c r="AA82" s="2"/>
      <c r="AB82" s="2"/>
      <c r="AC82" s="2"/>
      <c r="AD82" s="91"/>
    </row>
    <row r="83" spans="2:30" ht="15.75" customHeight="1" x14ac:dyDescent="0.2">
      <c r="B83" s="13"/>
      <c r="C83" s="10"/>
      <c r="D83" s="11"/>
      <c r="E83" s="12"/>
      <c r="G83" s="13" t="s">
        <v>174</v>
      </c>
      <c r="H83" s="10">
        <v>5.1999999999999998E-2</v>
      </c>
      <c r="I83" s="11">
        <f>+VLOOKUP(G83,'PRECIO PROVEEDORES'!$A$2:$B$716,2,0)</f>
        <v>15388</v>
      </c>
      <c r="J83" s="12">
        <f t="shared" si="13"/>
        <v>800.17599999999993</v>
      </c>
      <c r="L83" s="13" t="s">
        <v>193</v>
      </c>
      <c r="M83" s="10">
        <v>0.03</v>
      </c>
      <c r="N83" s="11">
        <f>+VLOOKUP(L83,'PRECIO PROVEEDORES'!$A$2:$B$716,2,0)</f>
        <v>18007</v>
      </c>
      <c r="O83" s="12">
        <f t="shared" si="14"/>
        <v>540.21</v>
      </c>
      <c r="Q83" s="66"/>
      <c r="R83" s="68"/>
      <c r="S83" s="69"/>
      <c r="T83" s="12"/>
    </row>
    <row r="84" spans="2:30" ht="15.75" customHeight="1" x14ac:dyDescent="0.2">
      <c r="B84" s="13"/>
      <c r="C84" s="18"/>
      <c r="D84" s="11"/>
      <c r="E84" s="12"/>
      <c r="G84" s="13"/>
      <c r="H84" s="102"/>
      <c r="I84" s="20"/>
      <c r="J84" s="11"/>
      <c r="L84" s="13"/>
      <c r="M84" s="18"/>
      <c r="N84" s="11"/>
      <c r="O84" s="12"/>
      <c r="Q84" s="66"/>
      <c r="R84" s="103"/>
      <c r="S84" s="94"/>
      <c r="T84" s="12"/>
    </row>
    <row r="85" spans="2:30" ht="15.75" customHeight="1" x14ac:dyDescent="0.2">
      <c r="B85" s="5"/>
      <c r="C85" s="7"/>
      <c r="D85" s="11"/>
      <c r="E85" s="12"/>
      <c r="G85" s="5"/>
      <c r="H85" s="7"/>
      <c r="I85" s="11"/>
      <c r="J85" s="12"/>
      <c r="L85" s="5"/>
      <c r="M85" s="7"/>
      <c r="N85" s="11"/>
      <c r="O85" s="12"/>
      <c r="Q85" s="64"/>
      <c r="R85" s="66"/>
      <c r="S85" s="69"/>
      <c r="T85" s="70"/>
    </row>
    <row r="86" spans="2:30" ht="15.75" customHeight="1" x14ac:dyDescent="0.2">
      <c r="B86" s="5"/>
      <c r="C86" s="7"/>
      <c r="D86" s="11"/>
      <c r="E86" s="12"/>
      <c r="G86" s="5"/>
      <c r="H86" s="7"/>
      <c r="I86" s="11"/>
      <c r="J86" s="12"/>
      <c r="L86" s="5"/>
      <c r="M86" s="7"/>
      <c r="N86" s="11"/>
      <c r="O86" s="12"/>
      <c r="Q86" s="64"/>
      <c r="R86" s="66"/>
      <c r="S86" s="69"/>
      <c r="T86" s="70"/>
    </row>
    <row r="87" spans="2:30" ht="15.75" customHeight="1" x14ac:dyDescent="0.2">
      <c r="B87" s="5"/>
      <c r="C87" s="7"/>
      <c r="D87" s="11"/>
      <c r="E87" s="12"/>
      <c r="G87" s="5"/>
      <c r="H87" s="7"/>
      <c r="I87" s="11"/>
      <c r="J87" s="12"/>
      <c r="L87" s="5"/>
      <c r="M87" s="7"/>
      <c r="N87" s="11"/>
      <c r="O87" s="12"/>
      <c r="Q87" s="64"/>
      <c r="R87" s="66"/>
      <c r="S87" s="69"/>
      <c r="T87" s="70"/>
    </row>
    <row r="88" spans="2:30" ht="15.75" customHeight="1" x14ac:dyDescent="0.2">
      <c r="B88" s="21" t="s">
        <v>52</v>
      </c>
      <c r="C88" s="22"/>
      <c r="D88" s="23"/>
      <c r="E88" s="24">
        <f>SUM(E80:E87)</f>
        <v>1175.567</v>
      </c>
      <c r="G88" s="21" t="s">
        <v>52</v>
      </c>
      <c r="H88" s="22"/>
      <c r="I88" s="23"/>
      <c r="J88" s="24">
        <f>SUM(J80:J87)</f>
        <v>1622.106</v>
      </c>
      <c r="L88" s="21" t="s">
        <v>52</v>
      </c>
      <c r="M88" s="22"/>
      <c r="N88" s="23"/>
      <c r="O88" s="24">
        <f>SUM(O80:O87)</f>
        <v>1362.14</v>
      </c>
      <c r="Q88" s="72" t="s">
        <v>52</v>
      </c>
      <c r="R88" s="73"/>
      <c r="S88" s="74"/>
      <c r="T88" s="95">
        <f>SUM(T80:T87)</f>
        <v>1305.8330000000001</v>
      </c>
    </row>
    <row r="89" spans="2:30" ht="15.75" customHeight="1" x14ac:dyDescent="0.2">
      <c r="B89" s="19" t="s">
        <v>53</v>
      </c>
      <c r="C89" s="27"/>
      <c r="D89" s="28"/>
      <c r="E89" s="29">
        <f>SUM(E88)</f>
        <v>1175.567</v>
      </c>
      <c r="G89" s="19" t="s">
        <v>53</v>
      </c>
      <c r="H89" s="27"/>
      <c r="I89" s="28"/>
      <c r="J89" s="29">
        <f>SUM(J88)</f>
        <v>1622.106</v>
      </c>
      <c r="L89" s="19" t="s">
        <v>53</v>
      </c>
      <c r="M89" s="27"/>
      <c r="N89" s="28"/>
      <c r="O89" s="29">
        <f>SUM(O88)</f>
        <v>1362.14</v>
      </c>
      <c r="Q89" s="76" t="s">
        <v>53</v>
      </c>
      <c r="R89" s="77"/>
      <c r="S89" s="78"/>
      <c r="T89" s="96">
        <f>SUM(T88)</f>
        <v>1305.8330000000001</v>
      </c>
    </row>
    <row r="90" spans="2:30" ht="15.75" customHeight="1" x14ac:dyDescent="0.2">
      <c r="B90" s="19" t="s">
        <v>54</v>
      </c>
      <c r="C90" s="27"/>
      <c r="D90" s="28"/>
      <c r="E90" s="29">
        <f>+E89</f>
        <v>1175.567</v>
      </c>
      <c r="G90" s="19" t="s">
        <v>54</v>
      </c>
      <c r="H90" s="27"/>
      <c r="I90" s="28"/>
      <c r="J90" s="29">
        <f>+J89</f>
        <v>1622.106</v>
      </c>
      <c r="L90" s="19" t="s">
        <v>54</v>
      </c>
      <c r="M90" s="27"/>
      <c r="N90" s="28"/>
      <c r="O90" s="29">
        <f>+O89</f>
        <v>1362.14</v>
      </c>
      <c r="Q90" s="76" t="s">
        <v>54</v>
      </c>
      <c r="R90" s="77"/>
      <c r="S90" s="78"/>
      <c r="T90" s="96">
        <f>+T89</f>
        <v>1305.8330000000001</v>
      </c>
    </row>
    <row r="91" spans="2:30" ht="15.75" customHeight="1" x14ac:dyDescent="0.2">
      <c r="B91" s="19" t="s">
        <v>55</v>
      </c>
      <c r="C91" s="27"/>
      <c r="D91" s="31">
        <v>0.3</v>
      </c>
      <c r="E91" s="29"/>
      <c r="G91" s="19" t="s">
        <v>55</v>
      </c>
      <c r="H91" s="27"/>
      <c r="I91" s="31">
        <v>0.3</v>
      </c>
      <c r="J91" s="29"/>
      <c r="L91" s="19" t="s">
        <v>55</v>
      </c>
      <c r="M91" s="27"/>
      <c r="N91" s="31">
        <v>0.3</v>
      </c>
      <c r="O91" s="29"/>
      <c r="Q91" s="76" t="s">
        <v>55</v>
      </c>
      <c r="R91" s="77"/>
      <c r="S91" s="80">
        <v>0.3</v>
      </c>
      <c r="T91" s="81"/>
    </row>
    <row r="92" spans="2:30" ht="15.75" customHeight="1" x14ac:dyDescent="0.2">
      <c r="B92" s="19" t="s">
        <v>56</v>
      </c>
      <c r="C92" s="27"/>
      <c r="D92" s="31"/>
      <c r="E92" s="29">
        <f>+E90*3.33333333333333</f>
        <v>3918.5566666666627</v>
      </c>
      <c r="G92" s="19" t="s">
        <v>56</v>
      </c>
      <c r="H92" s="27"/>
      <c r="I92" s="31"/>
      <c r="J92" s="29">
        <f>+J90*3.33333333333333</f>
        <v>5407.0199999999941</v>
      </c>
      <c r="L92" s="19" t="s">
        <v>56</v>
      </c>
      <c r="M92" s="27"/>
      <c r="N92" s="31"/>
      <c r="O92" s="29">
        <f>+O90*3.33333333333333</f>
        <v>4540.4666666666626</v>
      </c>
      <c r="Q92" s="76" t="s">
        <v>56</v>
      </c>
      <c r="R92" s="77"/>
      <c r="S92" s="82"/>
      <c r="T92" s="96">
        <f>+T90*3.33333333333333</f>
        <v>4352.7766666666621</v>
      </c>
    </row>
    <row r="93" spans="2:30" ht="15.75" customHeight="1" x14ac:dyDescent="0.2">
      <c r="B93" s="19" t="s">
        <v>57</v>
      </c>
      <c r="C93" s="27"/>
      <c r="D93" s="27"/>
      <c r="E93" s="29">
        <v>6500</v>
      </c>
      <c r="G93" s="19" t="s">
        <v>57</v>
      </c>
      <c r="H93" s="27"/>
      <c r="I93" s="27"/>
      <c r="J93" s="29">
        <v>6900</v>
      </c>
      <c r="L93" s="19" t="s">
        <v>57</v>
      </c>
      <c r="M93" s="27"/>
      <c r="N93" s="27"/>
      <c r="O93" s="29">
        <v>7700</v>
      </c>
      <c r="Q93" s="76" t="s">
        <v>57</v>
      </c>
      <c r="R93" s="77"/>
      <c r="S93" s="77"/>
      <c r="T93" s="96">
        <v>5800</v>
      </c>
    </row>
    <row r="94" spans="2:30" ht="15.75" customHeight="1" x14ac:dyDescent="0.2">
      <c r="B94" s="19"/>
      <c r="C94" s="27"/>
      <c r="D94" s="28"/>
      <c r="E94" s="24">
        <f>+E93-E92</f>
        <v>2581.4433333333373</v>
      </c>
      <c r="G94" s="19"/>
      <c r="H94" s="27"/>
      <c r="I94" s="28"/>
      <c r="J94" s="24">
        <f>+J93-J92</f>
        <v>1492.9800000000059</v>
      </c>
      <c r="L94" s="19"/>
      <c r="M94" s="27"/>
      <c r="N94" s="28"/>
      <c r="O94" s="24">
        <f>+O93-O92</f>
        <v>3159.5333333333374</v>
      </c>
      <c r="Q94" s="71"/>
      <c r="R94" s="77"/>
      <c r="S94" s="78"/>
      <c r="T94" s="95">
        <f>+T93-T92</f>
        <v>1447.2233333333379</v>
      </c>
    </row>
    <row r="95" spans="2:30" ht="15.75" customHeight="1" x14ac:dyDescent="0.2">
      <c r="B95" s="32" t="s">
        <v>58</v>
      </c>
      <c r="C95" s="33"/>
      <c r="D95" s="33"/>
      <c r="E95" s="34">
        <f>E90/E93</f>
        <v>0.18085646153846155</v>
      </c>
      <c r="G95" s="32" t="s">
        <v>58</v>
      </c>
      <c r="H95" s="33"/>
      <c r="I95" s="33"/>
      <c r="J95" s="34">
        <f>J90/J93</f>
        <v>0.23508782608695653</v>
      </c>
      <c r="L95" s="32" t="s">
        <v>58</v>
      </c>
      <c r="M95" s="33"/>
      <c r="N95" s="33"/>
      <c r="O95" s="34">
        <f>O90/O93</f>
        <v>0.17690129870129873</v>
      </c>
      <c r="Q95" s="32" t="s">
        <v>58</v>
      </c>
      <c r="R95" s="83"/>
      <c r="S95" s="83"/>
      <c r="T95" s="98">
        <f>T90/T93</f>
        <v>0.22514362068965518</v>
      </c>
    </row>
    <row r="96" spans="2:30" ht="15.75" customHeight="1" x14ac:dyDescent="0.15"/>
    <row r="97" spans="2:20" ht="15.75" customHeight="1" x14ac:dyDescent="0.15"/>
    <row r="98" spans="2:20" ht="15.75" customHeight="1" x14ac:dyDescent="0.2">
      <c r="B98" s="218" t="s">
        <v>194</v>
      </c>
      <c r="C98" s="213"/>
      <c r="D98" s="213"/>
      <c r="E98" s="214"/>
      <c r="G98" s="218" t="s">
        <v>195</v>
      </c>
      <c r="H98" s="213"/>
      <c r="I98" s="213"/>
      <c r="J98" s="214"/>
      <c r="L98" s="218" t="s">
        <v>196</v>
      </c>
      <c r="M98" s="213"/>
      <c r="N98" s="213"/>
      <c r="O98" s="214"/>
      <c r="Q98" s="218" t="s">
        <v>197</v>
      </c>
      <c r="R98" s="213"/>
      <c r="S98" s="213"/>
      <c r="T98" s="214"/>
    </row>
    <row r="99" spans="2:20" ht="15.75" customHeight="1" x14ac:dyDescent="0.2">
      <c r="B99" s="64"/>
      <c r="C99" s="65" t="s">
        <v>8</v>
      </c>
      <c r="D99" s="7" t="s">
        <v>9</v>
      </c>
      <c r="E99" s="8" t="s">
        <v>10</v>
      </c>
      <c r="G99" s="64"/>
      <c r="H99" s="65" t="s">
        <v>8</v>
      </c>
      <c r="I99" s="7" t="s">
        <v>9</v>
      </c>
      <c r="J99" s="8" t="s">
        <v>10</v>
      </c>
      <c r="L99" s="64"/>
      <c r="M99" s="65" t="s">
        <v>8</v>
      </c>
      <c r="N99" s="7" t="s">
        <v>9</v>
      </c>
      <c r="O99" s="8" t="s">
        <v>10</v>
      </c>
      <c r="Q99" s="64"/>
      <c r="R99" s="65" t="s">
        <v>8</v>
      </c>
      <c r="S99" s="7" t="s">
        <v>9</v>
      </c>
      <c r="T99" s="8" t="s">
        <v>10</v>
      </c>
    </row>
    <row r="100" spans="2:20" ht="15.75" customHeight="1" x14ac:dyDescent="0.2">
      <c r="B100" s="13" t="s">
        <v>192</v>
      </c>
      <c r="C100" s="10">
        <v>0.12</v>
      </c>
      <c r="D100" s="94">
        <f>+VLOOKUP(B100,'PRECIO PROVEEDORES'!$A$2:$B$716,2,0)</f>
        <v>400</v>
      </c>
      <c r="E100" s="12">
        <f t="shared" ref="E100:E102" si="16">+C100*D100</f>
        <v>48</v>
      </c>
      <c r="G100" s="7" t="s">
        <v>165</v>
      </c>
      <c r="H100" s="68">
        <v>0.01</v>
      </c>
      <c r="I100" s="94">
        <f>+VLOOKUP(G100,'PRECIO PROVEEDORES'!$A$2:$B$716,2,0)</f>
        <v>47093</v>
      </c>
      <c r="J100" s="12">
        <f t="shared" ref="J100:J102" si="17">+H100*I100</f>
        <v>470.93</v>
      </c>
      <c r="L100" s="7" t="s">
        <v>198</v>
      </c>
      <c r="M100" s="10">
        <v>0.23</v>
      </c>
      <c r="N100" s="94">
        <f>+VLOOKUP(L100,'PRECIO PROVEEDORES'!$A$2:$B$716,2,0)</f>
        <v>558.33000000000004</v>
      </c>
      <c r="O100" s="12">
        <f t="shared" ref="O100:O103" si="18">+M100*N100</f>
        <v>128.41590000000002</v>
      </c>
      <c r="Q100" s="20" t="s">
        <v>199</v>
      </c>
      <c r="R100" s="10">
        <v>2.5000000000000001E-2</v>
      </c>
      <c r="S100" s="94">
        <f>+VLOOKUP(Q100,'PRECIO PROVEEDORES'!$A$2:$B$716,2,0)</f>
        <v>3600</v>
      </c>
      <c r="T100" s="12">
        <f t="shared" ref="T100:T102" si="19">+R100*S100</f>
        <v>90</v>
      </c>
    </row>
    <row r="101" spans="2:20" ht="15.75" customHeight="1" x14ac:dyDescent="0.2">
      <c r="B101" s="20" t="s">
        <v>200</v>
      </c>
      <c r="C101" s="10">
        <v>4.4999999999999998E-2</v>
      </c>
      <c r="D101" s="94">
        <f>+VLOOKUP(B101,'PRECIO PROVEEDORES'!$A$2:$B$716,2,0)</f>
        <v>12676</v>
      </c>
      <c r="E101" s="12">
        <f t="shared" si="16"/>
        <v>570.41999999999996</v>
      </c>
      <c r="G101" s="13" t="s">
        <v>166</v>
      </c>
      <c r="H101" s="68">
        <v>0.15</v>
      </c>
      <c r="I101" s="94">
        <f>+VLOOKUP(G101,'PRECIO PROVEEDORES'!$A$2:$B$716,2,0)</f>
        <v>1940</v>
      </c>
      <c r="J101" s="12">
        <f t="shared" si="17"/>
        <v>291</v>
      </c>
      <c r="L101" s="104" t="s">
        <v>200</v>
      </c>
      <c r="M101" s="10">
        <v>4.4999999999999998E-2</v>
      </c>
      <c r="N101" s="94">
        <f>+VLOOKUP(L101,'PRECIO PROVEEDORES'!$A$2:$B$716,2,0)</f>
        <v>12676</v>
      </c>
      <c r="O101" s="12">
        <f t="shared" si="18"/>
        <v>570.41999999999996</v>
      </c>
      <c r="Q101" s="13" t="s">
        <v>198</v>
      </c>
      <c r="R101" s="10">
        <v>0.23</v>
      </c>
      <c r="S101" s="94">
        <f>+VLOOKUP(Q101,'PRECIO PROVEEDORES'!$A$2:$B$716,2,0)</f>
        <v>558.33000000000004</v>
      </c>
      <c r="T101" s="12">
        <f t="shared" si="19"/>
        <v>128.41590000000002</v>
      </c>
    </row>
    <row r="102" spans="2:20" ht="15.75" customHeight="1" x14ac:dyDescent="0.2">
      <c r="B102" s="7" t="s">
        <v>165</v>
      </c>
      <c r="C102" s="10">
        <v>1.9E-2</v>
      </c>
      <c r="D102" s="94">
        <f>+VLOOKUP(B102,'PRECIO PROVEEDORES'!$A$2:$B$716,2,0)</f>
        <v>47093</v>
      </c>
      <c r="E102" s="12">
        <f t="shared" si="16"/>
        <v>894.76699999999994</v>
      </c>
      <c r="G102" s="13" t="s">
        <v>193</v>
      </c>
      <c r="H102" s="18">
        <v>5.1999999999999998E-2</v>
      </c>
      <c r="I102" s="94">
        <f>+VLOOKUP(G102,'PRECIO PROVEEDORES'!$A$2:$B$716,2,0)</f>
        <v>18007</v>
      </c>
      <c r="J102" s="12">
        <f t="shared" si="17"/>
        <v>936.36399999999992</v>
      </c>
      <c r="L102" s="7" t="s">
        <v>192</v>
      </c>
      <c r="M102" s="10">
        <v>0.16</v>
      </c>
      <c r="N102" s="94">
        <f>+VLOOKUP(L102,'PRECIO PROVEEDORES'!$A$2:$B$716,2,0)</f>
        <v>400</v>
      </c>
      <c r="O102" s="12">
        <f t="shared" si="18"/>
        <v>64</v>
      </c>
      <c r="Q102" s="104" t="s">
        <v>200</v>
      </c>
      <c r="R102" s="68">
        <v>5.1999999999999998E-2</v>
      </c>
      <c r="S102" s="94">
        <f>+VLOOKUP(Q102,'PRECIO PROVEEDORES'!$A$2:$B$716,2,0)</f>
        <v>12676</v>
      </c>
      <c r="T102" s="12">
        <f t="shared" si="19"/>
        <v>659.15199999999993</v>
      </c>
    </row>
    <row r="103" spans="2:20" ht="15.75" customHeight="1" x14ac:dyDescent="0.2">
      <c r="B103" s="66"/>
      <c r="C103" s="68"/>
      <c r="D103" s="69"/>
      <c r="E103" s="12"/>
      <c r="G103" s="66"/>
      <c r="H103" s="68"/>
      <c r="I103" s="69"/>
      <c r="J103" s="12"/>
      <c r="L103" s="7" t="s">
        <v>201</v>
      </c>
      <c r="M103" s="68">
        <v>0.06</v>
      </c>
      <c r="N103" s="94">
        <f>+VLOOKUP(L103,'PRECIO PROVEEDORES'!$A$2:$B$716,2,0)</f>
        <v>634</v>
      </c>
      <c r="O103" s="12">
        <f t="shared" si="18"/>
        <v>38.04</v>
      </c>
      <c r="Q103" s="66"/>
      <c r="R103" s="68"/>
      <c r="S103" s="69">
        <f>'PRECIO PROVEEDORES'!Q438</f>
        <v>0</v>
      </c>
      <c r="T103" s="12"/>
    </row>
    <row r="104" spans="2:20" ht="15.75" customHeight="1" x14ac:dyDescent="0.15">
      <c r="B104" s="64"/>
      <c r="C104" s="66"/>
      <c r="D104" s="69"/>
      <c r="E104" s="70"/>
      <c r="G104" s="64"/>
      <c r="H104" s="66"/>
      <c r="I104" s="69"/>
      <c r="J104" s="70"/>
      <c r="L104" s="64"/>
      <c r="M104" s="66"/>
      <c r="N104" s="69"/>
      <c r="O104" s="70"/>
      <c r="Q104" s="64"/>
      <c r="R104" s="66"/>
      <c r="S104" s="69"/>
      <c r="T104" s="70"/>
    </row>
    <row r="105" spans="2:20" ht="15.75" customHeight="1" x14ac:dyDescent="0.15">
      <c r="B105" s="64"/>
      <c r="C105" s="66"/>
      <c r="D105" s="69"/>
      <c r="E105" s="70"/>
      <c r="G105" s="64"/>
      <c r="H105" s="66"/>
      <c r="I105" s="69"/>
      <c r="J105" s="70"/>
      <c r="L105" s="64"/>
      <c r="M105" s="66"/>
      <c r="N105" s="69"/>
      <c r="O105" s="70"/>
      <c r="Q105" s="64"/>
      <c r="R105" s="66"/>
      <c r="S105" s="69"/>
      <c r="T105" s="70"/>
    </row>
    <row r="106" spans="2:20" ht="15.75" customHeight="1" x14ac:dyDescent="0.15">
      <c r="B106" s="64"/>
      <c r="C106" s="66"/>
      <c r="D106" s="69"/>
      <c r="E106" s="70"/>
      <c r="G106" s="64"/>
      <c r="H106" s="66"/>
      <c r="I106" s="69"/>
      <c r="J106" s="70"/>
      <c r="L106" s="64"/>
      <c r="M106" s="66"/>
      <c r="N106" s="69"/>
      <c r="O106" s="70"/>
      <c r="Q106" s="64"/>
      <c r="R106" s="66"/>
      <c r="S106" s="69"/>
      <c r="T106" s="70"/>
    </row>
    <row r="107" spans="2:20" ht="15.75" customHeight="1" x14ac:dyDescent="0.2">
      <c r="B107" s="72" t="s">
        <v>52</v>
      </c>
      <c r="C107" s="73"/>
      <c r="D107" s="74"/>
      <c r="E107" s="95">
        <f>SUM(E100:E106)</f>
        <v>1513.1869999999999</v>
      </c>
      <c r="G107" s="72" t="s">
        <v>52</v>
      </c>
      <c r="H107" s="73"/>
      <c r="I107" s="74"/>
      <c r="J107" s="95">
        <f>SUM(J100:J106)</f>
        <v>1698.2939999999999</v>
      </c>
      <c r="L107" s="72" t="s">
        <v>52</v>
      </c>
      <c r="M107" s="73"/>
      <c r="N107" s="74"/>
      <c r="O107" s="95">
        <f>SUM(O100:O106)</f>
        <v>800.8759</v>
      </c>
      <c r="Q107" s="72" t="s">
        <v>52</v>
      </c>
      <c r="R107" s="73"/>
      <c r="S107" s="74"/>
      <c r="T107" s="95">
        <f>SUM(T100:T106)</f>
        <v>877.56790000000001</v>
      </c>
    </row>
    <row r="108" spans="2:20" ht="15.75" customHeight="1" x14ac:dyDescent="0.2">
      <c r="B108" s="76" t="s">
        <v>53</v>
      </c>
      <c r="C108" s="77"/>
      <c r="D108" s="78"/>
      <c r="E108" s="96">
        <f>SUM(E107)</f>
        <v>1513.1869999999999</v>
      </c>
      <c r="G108" s="76" t="s">
        <v>53</v>
      </c>
      <c r="H108" s="77"/>
      <c r="I108" s="78"/>
      <c r="J108" s="96">
        <f>SUM(J107)</f>
        <v>1698.2939999999999</v>
      </c>
      <c r="L108" s="76" t="s">
        <v>53</v>
      </c>
      <c r="M108" s="77"/>
      <c r="N108" s="78"/>
      <c r="O108" s="96">
        <f>SUM(O107)</f>
        <v>800.8759</v>
      </c>
      <c r="Q108" s="76" t="s">
        <v>53</v>
      </c>
      <c r="R108" s="77"/>
      <c r="S108" s="78"/>
      <c r="T108" s="96">
        <f>SUM(T107)</f>
        <v>877.56790000000001</v>
      </c>
    </row>
    <row r="109" spans="2:20" ht="15.75" customHeight="1" x14ac:dyDescent="0.2">
      <c r="B109" s="76" t="s">
        <v>54</v>
      </c>
      <c r="C109" s="77"/>
      <c r="D109" s="78"/>
      <c r="E109" s="96">
        <f>+E108</f>
        <v>1513.1869999999999</v>
      </c>
      <c r="G109" s="76" t="s">
        <v>54</v>
      </c>
      <c r="H109" s="77"/>
      <c r="I109" s="78"/>
      <c r="J109" s="96">
        <f>+J108</f>
        <v>1698.2939999999999</v>
      </c>
      <c r="L109" s="76" t="s">
        <v>54</v>
      </c>
      <c r="M109" s="77"/>
      <c r="N109" s="78"/>
      <c r="O109" s="96">
        <f>+O108</f>
        <v>800.8759</v>
      </c>
      <c r="Q109" s="76" t="s">
        <v>54</v>
      </c>
      <c r="R109" s="77"/>
      <c r="S109" s="78"/>
      <c r="T109" s="96">
        <f>+T108</f>
        <v>877.56790000000001</v>
      </c>
    </row>
    <row r="110" spans="2:20" ht="15.75" customHeight="1" x14ac:dyDescent="0.2">
      <c r="B110" s="76" t="s">
        <v>55</v>
      </c>
      <c r="C110" s="77"/>
      <c r="D110" s="80">
        <v>0.3</v>
      </c>
      <c r="E110" s="81"/>
      <c r="G110" s="76" t="s">
        <v>55</v>
      </c>
      <c r="H110" s="77"/>
      <c r="I110" s="80">
        <v>0.3</v>
      </c>
      <c r="J110" s="81"/>
      <c r="L110" s="76" t="s">
        <v>55</v>
      </c>
      <c r="M110" s="77"/>
      <c r="N110" s="80">
        <v>0.3</v>
      </c>
      <c r="O110" s="81"/>
      <c r="Q110" s="76" t="s">
        <v>55</v>
      </c>
      <c r="R110" s="77"/>
      <c r="S110" s="80">
        <v>0.3</v>
      </c>
      <c r="T110" s="81"/>
    </row>
    <row r="111" spans="2:20" ht="15.75" customHeight="1" x14ac:dyDescent="0.2">
      <c r="B111" s="76" t="s">
        <v>56</v>
      </c>
      <c r="C111" s="77"/>
      <c r="D111" s="82"/>
      <c r="E111" s="96">
        <f>+E109*3.33333333333333</f>
        <v>5043.9566666666615</v>
      </c>
      <c r="G111" s="76" t="s">
        <v>56</v>
      </c>
      <c r="H111" s="77"/>
      <c r="I111" s="82"/>
      <c r="J111" s="96">
        <f>+J109*3.33333333333333</f>
        <v>5660.9799999999941</v>
      </c>
      <c r="L111" s="76" t="s">
        <v>56</v>
      </c>
      <c r="M111" s="77"/>
      <c r="N111" s="82"/>
      <c r="O111" s="96">
        <f>+O109*3.33333333333333</f>
        <v>2669.5863333333305</v>
      </c>
      <c r="Q111" s="76" t="s">
        <v>56</v>
      </c>
      <c r="R111" s="77"/>
      <c r="S111" s="82"/>
      <c r="T111" s="96">
        <f>+T109*3.33333333333333</f>
        <v>2925.2263333333303</v>
      </c>
    </row>
    <row r="112" spans="2:20" ht="15.75" customHeight="1" x14ac:dyDescent="0.2">
      <c r="B112" s="76" t="s">
        <v>57</v>
      </c>
      <c r="C112" s="77"/>
      <c r="D112" s="77"/>
      <c r="E112" s="96">
        <v>6000</v>
      </c>
      <c r="G112" s="76" t="s">
        <v>57</v>
      </c>
      <c r="H112" s="77"/>
      <c r="I112" s="77"/>
      <c r="J112" s="96">
        <v>7500</v>
      </c>
      <c r="L112" s="76" t="s">
        <v>57</v>
      </c>
      <c r="M112" s="77"/>
      <c r="N112" s="77"/>
      <c r="O112" s="96">
        <v>6500</v>
      </c>
      <c r="Q112" s="76" t="s">
        <v>57</v>
      </c>
      <c r="R112" s="77"/>
      <c r="S112" s="77"/>
      <c r="T112" s="96">
        <v>6500</v>
      </c>
    </row>
    <row r="113" spans="2:20" ht="15.75" customHeight="1" x14ac:dyDescent="0.2">
      <c r="B113" s="71"/>
      <c r="C113" s="77"/>
      <c r="D113" s="78"/>
      <c r="E113" s="95">
        <f>+E112-E111</f>
        <v>956.04333333333852</v>
      </c>
      <c r="G113" s="71"/>
      <c r="H113" s="77"/>
      <c r="I113" s="78"/>
      <c r="J113" s="95">
        <f>+J112-J111</f>
        <v>1839.0200000000059</v>
      </c>
      <c r="L113" s="71"/>
      <c r="M113" s="77"/>
      <c r="N113" s="78"/>
      <c r="O113" s="95">
        <f>+O112-O111</f>
        <v>3830.4136666666695</v>
      </c>
      <c r="Q113" s="71"/>
      <c r="R113" s="77"/>
      <c r="S113" s="78"/>
      <c r="T113" s="95">
        <f>+T112-T111</f>
        <v>3574.7736666666697</v>
      </c>
    </row>
    <row r="114" spans="2:20" ht="15.75" customHeight="1" x14ac:dyDescent="0.2">
      <c r="B114" s="32" t="s">
        <v>58</v>
      </c>
      <c r="C114" s="83"/>
      <c r="D114" s="83"/>
      <c r="E114" s="98">
        <f>E109/E112</f>
        <v>0.25219783333333334</v>
      </c>
      <c r="G114" s="32" t="s">
        <v>58</v>
      </c>
      <c r="H114" s="83"/>
      <c r="I114" s="83"/>
      <c r="J114" s="98">
        <f>J109/J112</f>
        <v>0.22643919999999998</v>
      </c>
      <c r="L114" s="32" t="s">
        <v>58</v>
      </c>
      <c r="M114" s="83"/>
      <c r="N114" s="83"/>
      <c r="O114" s="98">
        <f>O109/O112</f>
        <v>0.12321167692307693</v>
      </c>
      <c r="Q114" s="32" t="s">
        <v>58</v>
      </c>
      <c r="R114" s="83"/>
      <c r="S114" s="83"/>
      <c r="T114" s="98">
        <f>T109/T112</f>
        <v>0.13501044615384616</v>
      </c>
    </row>
    <row r="115" spans="2:20" ht="15.75" customHeight="1" x14ac:dyDescent="0.15"/>
    <row r="116" spans="2:20" ht="15.75" customHeight="1" x14ac:dyDescent="0.15"/>
    <row r="117" spans="2:20" ht="15.75" customHeight="1" x14ac:dyDescent="0.2">
      <c r="B117" s="218" t="s">
        <v>202</v>
      </c>
      <c r="C117" s="213"/>
      <c r="D117" s="213"/>
      <c r="E117" s="214"/>
      <c r="G117" s="218" t="s">
        <v>203</v>
      </c>
      <c r="H117" s="213"/>
      <c r="I117" s="213"/>
      <c r="J117" s="214"/>
      <c r="L117" s="218" t="s">
        <v>204</v>
      </c>
      <c r="M117" s="213"/>
      <c r="N117" s="213"/>
      <c r="O117" s="214"/>
      <c r="Q117" s="218" t="s">
        <v>205</v>
      </c>
      <c r="R117" s="213"/>
      <c r="S117" s="213"/>
      <c r="T117" s="214"/>
    </row>
    <row r="118" spans="2:20" ht="15.75" customHeight="1" x14ac:dyDescent="0.2">
      <c r="B118" s="64"/>
      <c r="C118" s="65" t="s">
        <v>8</v>
      </c>
      <c r="D118" s="7" t="s">
        <v>9</v>
      </c>
      <c r="E118" s="8" t="s">
        <v>10</v>
      </c>
      <c r="G118" s="64"/>
      <c r="H118" s="65" t="s">
        <v>8</v>
      </c>
      <c r="I118" s="7" t="s">
        <v>9</v>
      </c>
      <c r="J118" s="8" t="s">
        <v>10</v>
      </c>
      <c r="L118" s="64"/>
      <c r="M118" s="65" t="s">
        <v>8</v>
      </c>
      <c r="N118" s="7" t="s">
        <v>9</v>
      </c>
      <c r="O118" s="8" t="s">
        <v>10</v>
      </c>
      <c r="Q118" s="64"/>
      <c r="R118" s="65" t="s">
        <v>8</v>
      </c>
      <c r="S118" s="7" t="s">
        <v>9</v>
      </c>
      <c r="T118" s="8" t="s">
        <v>10</v>
      </c>
    </row>
    <row r="119" spans="2:20" ht="15.75" customHeight="1" x14ac:dyDescent="0.2">
      <c r="B119" s="20" t="s">
        <v>206</v>
      </c>
      <c r="C119" s="10">
        <v>0.02</v>
      </c>
      <c r="D119" s="94">
        <f>+VLOOKUP(B119,'PRECIO PROVEEDORES'!$A$2:$B$716,2,0)</f>
        <v>2250.4</v>
      </c>
      <c r="E119" s="12">
        <f t="shared" ref="E119:E123" si="20">+C119*D119</f>
        <v>45.008000000000003</v>
      </c>
      <c r="G119" s="20" t="s">
        <v>207</v>
      </c>
      <c r="H119" s="10">
        <v>0.2</v>
      </c>
      <c r="I119" s="94">
        <f>+VLOOKUP(G119,'PRECIO PROVEEDORES'!$A$2:$B$716,2,0)</f>
        <v>2880</v>
      </c>
      <c r="J119" s="12">
        <f t="shared" ref="J119:J120" si="21">+H119*I119</f>
        <v>576</v>
      </c>
      <c r="L119" s="20" t="s">
        <v>200</v>
      </c>
      <c r="M119" s="10">
        <v>5.1999999999999998E-2</v>
      </c>
      <c r="N119" s="94">
        <f>+VLOOKUP(L119,'PRECIO PROVEEDORES'!$A$2:$B$716,2,0)</f>
        <v>12676</v>
      </c>
      <c r="O119" s="12">
        <f t="shared" ref="O119:O121" si="22">+M119*N119</f>
        <v>659.15199999999993</v>
      </c>
      <c r="Q119" s="20" t="s">
        <v>200</v>
      </c>
      <c r="R119" s="10">
        <v>4.4999999999999998E-2</v>
      </c>
      <c r="S119" s="94">
        <f>+VLOOKUP(Q119,'PRECIO PROVEEDORES'!$A$2:$B$716,2,0)</f>
        <v>12676</v>
      </c>
      <c r="T119" s="12">
        <f t="shared" ref="T119:T120" si="23">+R119*S119</f>
        <v>570.41999999999996</v>
      </c>
    </row>
    <row r="120" spans="2:20" ht="15.75" customHeight="1" x14ac:dyDescent="0.2">
      <c r="B120" s="7" t="s">
        <v>208</v>
      </c>
      <c r="C120" s="10">
        <v>4.3999999999999997E-2</v>
      </c>
      <c r="D120" s="94">
        <f>+VLOOKUP(B120,'PRECIO PROVEEDORES'!$A$2:$B$716,2,0)</f>
        <v>1440</v>
      </c>
      <c r="E120" s="12">
        <f t="shared" si="20"/>
        <v>63.36</v>
      </c>
      <c r="G120" s="13" t="s">
        <v>192</v>
      </c>
      <c r="H120" s="10">
        <v>0.1</v>
      </c>
      <c r="I120" s="94">
        <f>+VLOOKUP(G120,'PRECIO PROVEEDORES'!$A$2:$B$716,2,0)</f>
        <v>400</v>
      </c>
      <c r="J120" s="12">
        <f t="shared" si="21"/>
        <v>40</v>
      </c>
      <c r="L120" s="13" t="s">
        <v>199</v>
      </c>
      <c r="M120" s="10">
        <v>4.4999999999999998E-2</v>
      </c>
      <c r="N120" s="94">
        <f>+VLOOKUP(L120,'PRECIO PROVEEDORES'!$A$2:$B$716,2,0)</f>
        <v>3600</v>
      </c>
      <c r="O120" s="12">
        <f t="shared" si="22"/>
        <v>162</v>
      </c>
      <c r="Q120" s="7" t="s">
        <v>209</v>
      </c>
      <c r="R120" s="10">
        <v>0.08</v>
      </c>
      <c r="S120" s="94">
        <f>+VLOOKUP(Q120,'PRECIO PROVEEDORES'!$A$2:$B$716,2,0)</f>
        <v>12874.4</v>
      </c>
      <c r="T120" s="12">
        <f t="shared" si="23"/>
        <v>1029.952</v>
      </c>
    </row>
    <row r="121" spans="2:20" ht="15.75" customHeight="1" x14ac:dyDescent="0.2">
      <c r="B121" s="7" t="s">
        <v>209</v>
      </c>
      <c r="C121" s="10">
        <v>0.02</v>
      </c>
      <c r="D121" s="94">
        <f>+VLOOKUP(B121,'PRECIO PROVEEDORES'!$A$2:$B$716,2,0)</f>
        <v>12874.4</v>
      </c>
      <c r="E121" s="12">
        <f t="shared" si="20"/>
        <v>257.488</v>
      </c>
      <c r="G121" s="104"/>
      <c r="H121" s="68"/>
      <c r="I121" s="94"/>
      <c r="J121" s="12"/>
      <c r="L121" s="104" t="s">
        <v>192</v>
      </c>
      <c r="M121" s="68">
        <v>0.1</v>
      </c>
      <c r="N121" s="94">
        <f>+VLOOKUP(L121,'PRECIO PROVEEDORES'!$A$2:$B$716,2,0)</f>
        <v>400</v>
      </c>
      <c r="O121" s="12">
        <f t="shared" si="22"/>
        <v>40</v>
      </c>
      <c r="Q121" s="104"/>
      <c r="R121" s="68"/>
      <c r="S121" s="94"/>
      <c r="T121" s="12"/>
    </row>
    <row r="122" spans="2:20" ht="15.75" customHeight="1" x14ac:dyDescent="0.2">
      <c r="B122" s="13" t="s">
        <v>210</v>
      </c>
      <c r="C122" s="10">
        <v>7.0000000000000001E-3</v>
      </c>
      <c r="D122" s="94">
        <f>+VLOOKUP(B122,'PRECIO PROVEEDORES'!$A$2:$B$716,2,0)</f>
        <v>1352</v>
      </c>
      <c r="E122" s="12">
        <f t="shared" si="20"/>
        <v>9.4640000000000004</v>
      </c>
      <c r="G122" s="66"/>
      <c r="H122" s="68"/>
      <c r="I122" s="69"/>
      <c r="J122" s="12"/>
      <c r="L122" s="66"/>
      <c r="M122" s="68"/>
      <c r="N122" s="69">
        <f>'PRECIO PROVEEDORES'!L457</f>
        <v>0</v>
      </c>
      <c r="O122" s="12"/>
      <c r="Q122" s="66"/>
      <c r="R122" s="68"/>
      <c r="S122" s="69"/>
      <c r="T122" s="12"/>
    </row>
    <row r="123" spans="2:20" ht="15.75" customHeight="1" x14ac:dyDescent="0.2">
      <c r="B123" s="14" t="s">
        <v>192</v>
      </c>
      <c r="C123" s="10">
        <v>0.06</v>
      </c>
      <c r="D123" s="94">
        <f>+VLOOKUP(B123,'PRECIO PROVEEDORES'!$A$2:$B$716,2,0)</f>
        <v>400</v>
      </c>
      <c r="E123" s="12">
        <f t="shared" si="20"/>
        <v>24</v>
      </c>
      <c r="G123" s="64"/>
      <c r="H123" s="66"/>
      <c r="I123" s="69"/>
      <c r="J123" s="70"/>
      <c r="L123" s="64"/>
      <c r="M123" s="66"/>
      <c r="N123" s="69"/>
      <c r="O123" s="70"/>
      <c r="Q123" s="64"/>
      <c r="R123" s="66"/>
      <c r="S123" s="69"/>
      <c r="T123" s="70"/>
    </row>
    <row r="124" spans="2:20" ht="15.75" customHeight="1" x14ac:dyDescent="0.15">
      <c r="B124" s="64"/>
      <c r="C124" s="66"/>
      <c r="D124" s="69"/>
      <c r="E124" s="70"/>
      <c r="G124" s="64"/>
      <c r="H124" s="66"/>
      <c r="I124" s="69"/>
      <c r="J124" s="70"/>
      <c r="L124" s="64"/>
      <c r="M124" s="66"/>
      <c r="N124" s="69"/>
      <c r="O124" s="70"/>
      <c r="Q124" s="64"/>
      <c r="R124" s="66"/>
      <c r="S124" s="69"/>
      <c r="T124" s="70"/>
    </row>
    <row r="125" spans="2:20" ht="15.75" customHeight="1" x14ac:dyDescent="0.15">
      <c r="B125" s="64"/>
      <c r="C125" s="66"/>
      <c r="D125" s="69"/>
      <c r="E125" s="70"/>
      <c r="G125" s="64"/>
      <c r="H125" s="66"/>
      <c r="I125" s="69"/>
      <c r="J125" s="70"/>
      <c r="L125" s="64"/>
      <c r="M125" s="66"/>
      <c r="N125" s="69"/>
      <c r="O125" s="70"/>
      <c r="Q125" s="64"/>
      <c r="R125" s="66"/>
      <c r="S125" s="69"/>
      <c r="T125" s="70"/>
    </row>
    <row r="126" spans="2:20" ht="15.75" customHeight="1" x14ac:dyDescent="0.2">
      <c r="B126" s="72" t="s">
        <v>52</v>
      </c>
      <c r="C126" s="73"/>
      <c r="D126" s="74"/>
      <c r="E126" s="95">
        <f>SUM(E119:E125)</f>
        <v>399.32</v>
      </c>
      <c r="G126" s="72" t="s">
        <v>52</v>
      </c>
      <c r="H126" s="73"/>
      <c r="I126" s="74"/>
      <c r="J126" s="95">
        <f>SUM(J119:J125)</f>
        <v>616</v>
      </c>
      <c r="L126" s="72" t="s">
        <v>52</v>
      </c>
      <c r="M126" s="73"/>
      <c r="N126" s="74"/>
      <c r="O126" s="95">
        <f>SUM(O119:O125)</f>
        <v>861.15199999999993</v>
      </c>
      <c r="Q126" s="72" t="s">
        <v>52</v>
      </c>
      <c r="R126" s="73"/>
      <c r="S126" s="74"/>
      <c r="T126" s="95">
        <f>SUM(T119:T125)</f>
        <v>1600.3719999999998</v>
      </c>
    </row>
    <row r="127" spans="2:20" ht="15.75" customHeight="1" x14ac:dyDescent="0.2">
      <c r="B127" s="76" t="s">
        <v>53</v>
      </c>
      <c r="C127" s="77"/>
      <c r="D127" s="78"/>
      <c r="E127" s="96">
        <f>SUM(E126)</f>
        <v>399.32</v>
      </c>
      <c r="G127" s="76" t="s">
        <v>53</v>
      </c>
      <c r="H127" s="77"/>
      <c r="I127" s="78"/>
      <c r="J127" s="96">
        <f>SUM(J126)</f>
        <v>616</v>
      </c>
      <c r="L127" s="76" t="s">
        <v>53</v>
      </c>
      <c r="M127" s="77"/>
      <c r="N127" s="78"/>
      <c r="O127" s="96">
        <f>SUM(O126)</f>
        <v>861.15199999999993</v>
      </c>
      <c r="Q127" s="76" t="s">
        <v>53</v>
      </c>
      <c r="R127" s="77"/>
      <c r="S127" s="78"/>
      <c r="T127" s="96">
        <f>SUM(T126)</f>
        <v>1600.3719999999998</v>
      </c>
    </row>
    <row r="128" spans="2:20" ht="15.75" customHeight="1" x14ac:dyDescent="0.2">
      <c r="B128" s="76" t="s">
        <v>54</v>
      </c>
      <c r="C128" s="77"/>
      <c r="D128" s="78"/>
      <c r="E128" s="96">
        <f>+E127</f>
        <v>399.32</v>
      </c>
      <c r="G128" s="76" t="s">
        <v>54</v>
      </c>
      <c r="H128" s="77"/>
      <c r="I128" s="78"/>
      <c r="J128" s="96">
        <f>+J127</f>
        <v>616</v>
      </c>
      <c r="L128" s="76" t="s">
        <v>54</v>
      </c>
      <c r="M128" s="77"/>
      <c r="N128" s="78"/>
      <c r="O128" s="96">
        <f>+O127</f>
        <v>861.15199999999993</v>
      </c>
      <c r="Q128" s="76" t="s">
        <v>54</v>
      </c>
      <c r="R128" s="77"/>
      <c r="S128" s="78"/>
      <c r="T128" s="96">
        <f>+T127</f>
        <v>1600.3719999999998</v>
      </c>
    </row>
    <row r="129" spans="2:20" ht="15.75" customHeight="1" x14ac:dyDescent="0.2">
      <c r="B129" s="76" t="s">
        <v>55</v>
      </c>
      <c r="C129" s="77"/>
      <c r="D129" s="80">
        <v>0.3</v>
      </c>
      <c r="E129" s="81"/>
      <c r="G129" s="76" t="s">
        <v>55</v>
      </c>
      <c r="H129" s="77"/>
      <c r="I129" s="80">
        <v>0.3</v>
      </c>
      <c r="J129" s="81"/>
      <c r="L129" s="76" t="s">
        <v>55</v>
      </c>
      <c r="M129" s="77"/>
      <c r="N129" s="80">
        <v>0.3</v>
      </c>
      <c r="O129" s="81"/>
      <c r="Q129" s="76" t="s">
        <v>55</v>
      </c>
      <c r="R129" s="77"/>
      <c r="S129" s="80">
        <v>0.3</v>
      </c>
      <c r="T129" s="81"/>
    </row>
    <row r="130" spans="2:20" ht="15.75" customHeight="1" x14ac:dyDescent="0.2">
      <c r="B130" s="76" t="s">
        <v>56</v>
      </c>
      <c r="C130" s="77"/>
      <c r="D130" s="82"/>
      <c r="E130" s="96">
        <f>+E128*3.33333333333333</f>
        <v>1331.0666666666652</v>
      </c>
      <c r="G130" s="76" t="s">
        <v>56</v>
      </c>
      <c r="H130" s="77"/>
      <c r="I130" s="82"/>
      <c r="J130" s="96">
        <f>+J128*3.33333333333333</f>
        <v>2053.3333333333312</v>
      </c>
      <c r="L130" s="76" t="s">
        <v>56</v>
      </c>
      <c r="M130" s="77"/>
      <c r="N130" s="82"/>
      <c r="O130" s="96">
        <f>+O128*3.33333333333333</f>
        <v>2870.5066666666635</v>
      </c>
      <c r="Q130" s="76" t="s">
        <v>56</v>
      </c>
      <c r="R130" s="77"/>
      <c r="S130" s="82"/>
      <c r="T130" s="96">
        <f>+T128*3.33333333333333</f>
        <v>5334.5733333333274</v>
      </c>
    </row>
    <row r="131" spans="2:20" ht="15.75" customHeight="1" x14ac:dyDescent="0.2">
      <c r="B131" s="76" t="s">
        <v>57</v>
      </c>
      <c r="C131" s="77"/>
      <c r="D131" s="77"/>
      <c r="E131" s="96">
        <v>6500</v>
      </c>
      <c r="G131" s="76" t="s">
        <v>57</v>
      </c>
      <c r="H131" s="77"/>
      <c r="I131" s="77"/>
      <c r="J131" s="96">
        <v>5300</v>
      </c>
      <c r="L131" s="76" t="s">
        <v>57</v>
      </c>
      <c r="M131" s="77"/>
      <c r="N131" s="77"/>
      <c r="O131" s="96">
        <v>6000</v>
      </c>
      <c r="Q131" s="76" t="s">
        <v>57</v>
      </c>
      <c r="R131" s="77"/>
      <c r="S131" s="77"/>
      <c r="T131" s="96">
        <v>6800</v>
      </c>
    </row>
    <row r="132" spans="2:20" ht="15.75" customHeight="1" x14ac:dyDescent="0.2">
      <c r="B132" s="71"/>
      <c r="C132" s="77"/>
      <c r="D132" s="78"/>
      <c r="E132" s="95">
        <f>+E131-E130</f>
        <v>5168.9333333333343</v>
      </c>
      <c r="G132" s="71"/>
      <c r="H132" s="77"/>
      <c r="I132" s="78"/>
      <c r="J132" s="95">
        <f>+J131-J130</f>
        <v>3246.6666666666688</v>
      </c>
      <c r="L132" s="71"/>
      <c r="M132" s="77"/>
      <c r="N132" s="78"/>
      <c r="O132" s="95">
        <f>+O131-O130</f>
        <v>3129.4933333333365</v>
      </c>
      <c r="Q132" s="71"/>
      <c r="R132" s="77"/>
      <c r="S132" s="78"/>
      <c r="T132" s="95">
        <f>+T131-T130</f>
        <v>1465.4266666666726</v>
      </c>
    </row>
    <row r="133" spans="2:20" ht="15.75" customHeight="1" x14ac:dyDescent="0.2">
      <c r="B133" s="32" t="s">
        <v>58</v>
      </c>
      <c r="C133" s="83"/>
      <c r="D133" s="83"/>
      <c r="E133" s="98">
        <f>E128/E131</f>
        <v>6.1433846153846151E-2</v>
      </c>
      <c r="G133" s="32" t="s">
        <v>58</v>
      </c>
      <c r="H133" s="83"/>
      <c r="I133" s="83"/>
      <c r="J133" s="98">
        <f>J128/J131</f>
        <v>0.11622641509433962</v>
      </c>
      <c r="L133" s="32" t="s">
        <v>58</v>
      </c>
      <c r="M133" s="83"/>
      <c r="N133" s="83"/>
      <c r="O133" s="98">
        <f>O128/O131</f>
        <v>0.14352533333333331</v>
      </c>
      <c r="Q133" s="32" t="s">
        <v>58</v>
      </c>
      <c r="R133" s="83"/>
      <c r="S133" s="83"/>
      <c r="T133" s="98">
        <f>T128/T131</f>
        <v>0.23534882352941175</v>
      </c>
    </row>
    <row r="134" spans="2:20" ht="15.75" customHeight="1" x14ac:dyDescent="0.15"/>
    <row r="135" spans="2:20" ht="15.75" customHeight="1" x14ac:dyDescent="0.15"/>
    <row r="136" spans="2:20" ht="15.75" customHeight="1" x14ac:dyDescent="0.2">
      <c r="B136" s="218" t="s">
        <v>211</v>
      </c>
      <c r="C136" s="213"/>
      <c r="D136" s="213"/>
      <c r="E136" s="214"/>
      <c r="G136" s="218" t="s">
        <v>212</v>
      </c>
      <c r="H136" s="213"/>
      <c r="I136" s="213"/>
      <c r="J136" s="214"/>
      <c r="L136" s="218" t="s">
        <v>213</v>
      </c>
      <c r="M136" s="213"/>
      <c r="N136" s="213"/>
      <c r="O136" s="214"/>
      <c r="Q136" s="218" t="s">
        <v>214</v>
      </c>
      <c r="R136" s="213"/>
      <c r="S136" s="213"/>
      <c r="T136" s="214"/>
    </row>
    <row r="137" spans="2:20" ht="15.75" customHeight="1" x14ac:dyDescent="0.2">
      <c r="B137" s="64"/>
      <c r="C137" s="65" t="s">
        <v>8</v>
      </c>
      <c r="D137" s="7" t="s">
        <v>9</v>
      </c>
      <c r="E137" s="8" t="s">
        <v>10</v>
      </c>
      <c r="G137" s="64"/>
      <c r="H137" s="65" t="s">
        <v>8</v>
      </c>
      <c r="I137" s="7" t="s">
        <v>9</v>
      </c>
      <c r="J137" s="8" t="s">
        <v>10</v>
      </c>
      <c r="L137" s="64"/>
      <c r="M137" s="65" t="s">
        <v>8</v>
      </c>
      <c r="N137" s="7" t="s">
        <v>9</v>
      </c>
      <c r="O137" s="8" t="s">
        <v>10</v>
      </c>
      <c r="Q137" s="64"/>
      <c r="R137" s="65" t="s">
        <v>8</v>
      </c>
      <c r="S137" s="7" t="s">
        <v>9</v>
      </c>
      <c r="T137" s="8" t="s">
        <v>10</v>
      </c>
    </row>
    <row r="138" spans="2:20" ht="15.75" customHeight="1" x14ac:dyDescent="0.2">
      <c r="B138" s="20" t="s">
        <v>215</v>
      </c>
      <c r="C138" s="10">
        <v>5.1999999999999998E-2</v>
      </c>
      <c r="D138" s="94">
        <f>+VLOOKUP(B138,'PRECIO PROVEEDORES'!$A$2:$B$716,2,0)</f>
        <v>4708</v>
      </c>
      <c r="E138" s="12">
        <f t="shared" ref="E138:E140" si="24">+C138*D138</f>
        <v>244.816</v>
      </c>
      <c r="G138" s="20" t="s">
        <v>210</v>
      </c>
      <c r="H138" s="10">
        <v>0.04</v>
      </c>
      <c r="I138" s="94">
        <f>+VLOOKUP(G138,'PRECIO PROVEEDORES'!$A$2:$B$716,2,0)</f>
        <v>1352</v>
      </c>
      <c r="J138" s="12">
        <f t="shared" ref="J138:J142" si="25">+H138*I138</f>
        <v>54.08</v>
      </c>
      <c r="L138" s="20" t="s">
        <v>216</v>
      </c>
      <c r="M138" s="10">
        <v>0.15</v>
      </c>
      <c r="N138" s="94">
        <f>+VLOOKUP(L138,'PRECIO PROVEEDORES'!$A$2:$B$716,2,0)</f>
        <v>4000</v>
      </c>
      <c r="O138" s="12">
        <f t="shared" ref="O138:O144" si="26">+M138*N138</f>
        <v>600</v>
      </c>
      <c r="Q138" s="20" t="s">
        <v>25</v>
      </c>
      <c r="R138" s="10">
        <v>0.1</v>
      </c>
      <c r="S138" s="94">
        <f>+VLOOKUP(Q138,'PRECIO PROVEEDORES'!$A$2:$B$716,2,0)</f>
        <v>3360</v>
      </c>
      <c r="T138" s="12">
        <f t="shared" ref="T138:T139" si="27">+R138*S138</f>
        <v>336</v>
      </c>
    </row>
    <row r="139" spans="2:20" ht="15.75" customHeight="1" x14ac:dyDescent="0.2">
      <c r="B139" s="20" t="s">
        <v>200</v>
      </c>
      <c r="C139" s="10">
        <v>4.4999999999999998E-2</v>
      </c>
      <c r="D139" s="94">
        <f>+VLOOKUP(B139,'PRECIO PROVEEDORES'!$A$2:$B$716,2,0)</f>
        <v>12676</v>
      </c>
      <c r="E139" s="12">
        <f t="shared" si="24"/>
        <v>570.41999999999996</v>
      </c>
      <c r="G139" s="13" t="s">
        <v>217</v>
      </c>
      <c r="H139" s="10">
        <v>0.1</v>
      </c>
      <c r="I139" s="94">
        <f>+VLOOKUP(G139,'PRECIO PROVEEDORES'!$A$2:$B$716,2,0)</f>
        <v>11679</v>
      </c>
      <c r="J139" s="12">
        <f t="shared" si="25"/>
        <v>1167.9000000000001</v>
      </c>
      <c r="L139" s="13" t="s">
        <v>218</v>
      </c>
      <c r="M139" s="10">
        <v>0.05</v>
      </c>
      <c r="N139" s="94">
        <f>+VLOOKUP(L139,'PRECIO PROVEEDORES'!$A$2:$B$716,2,0)</f>
        <v>8666</v>
      </c>
      <c r="O139" s="12">
        <f t="shared" si="26"/>
        <v>433.3</v>
      </c>
      <c r="Q139" s="20" t="s">
        <v>219</v>
      </c>
      <c r="R139" s="10">
        <v>0.15</v>
      </c>
      <c r="S139" s="94">
        <f>+VLOOKUP(Q139,'PRECIO PROVEEDORES'!$A$2:$B$716,2,0)</f>
        <v>2017.07</v>
      </c>
      <c r="T139" s="12">
        <f t="shared" si="27"/>
        <v>302.56049999999999</v>
      </c>
    </row>
    <row r="140" spans="2:20" ht="15.75" customHeight="1" x14ac:dyDescent="0.2">
      <c r="B140" s="104" t="s">
        <v>192</v>
      </c>
      <c r="C140" s="68">
        <v>0.1</v>
      </c>
      <c r="D140" s="94">
        <f>+VLOOKUP(B140,'PRECIO PROVEEDORES'!$A$2:$B$716,2,0)</f>
        <v>400</v>
      </c>
      <c r="E140" s="12">
        <f t="shared" si="24"/>
        <v>40</v>
      </c>
      <c r="G140" s="104" t="s">
        <v>192</v>
      </c>
      <c r="H140" s="68">
        <v>0.08</v>
      </c>
      <c r="I140" s="94">
        <f>+VLOOKUP(G140,'PRECIO PROVEEDORES'!$A$2:$B$716,2,0)</f>
        <v>400</v>
      </c>
      <c r="J140" s="12">
        <f t="shared" si="25"/>
        <v>32</v>
      </c>
      <c r="L140" s="104" t="s">
        <v>120</v>
      </c>
      <c r="M140" s="68">
        <v>0.1</v>
      </c>
      <c r="N140" s="94">
        <f>+VLOOKUP(L140,'PRECIO PROVEEDORES'!$A$2:$B$716,2,0)</f>
        <v>2185</v>
      </c>
      <c r="O140" s="12">
        <f t="shared" si="26"/>
        <v>218.5</v>
      </c>
      <c r="Q140" s="20"/>
      <c r="R140" s="68"/>
      <c r="S140" s="94"/>
      <c r="T140" s="12"/>
    </row>
    <row r="141" spans="2:20" ht="15.75" customHeight="1" x14ac:dyDescent="0.2">
      <c r="B141" s="66"/>
      <c r="C141" s="68"/>
      <c r="D141" s="69"/>
      <c r="E141" s="12"/>
      <c r="G141" s="66" t="s">
        <v>199</v>
      </c>
      <c r="H141" s="68">
        <v>4.4999999999999998E-2</v>
      </c>
      <c r="I141" s="94">
        <f>+VLOOKUP(G141,'PRECIO PROVEEDORES'!$A$2:$B$716,2,0)</f>
        <v>3600</v>
      </c>
      <c r="J141" s="12">
        <f t="shared" si="25"/>
        <v>162</v>
      </c>
      <c r="L141" s="66" t="s">
        <v>220</v>
      </c>
      <c r="M141" s="68">
        <v>0.1</v>
      </c>
      <c r="N141" s="94">
        <f>+VLOOKUP(L141,'PRECIO PROVEEDORES'!$A$2:$B$716,2,0)</f>
        <v>3000</v>
      </c>
      <c r="O141" s="12">
        <f t="shared" si="26"/>
        <v>300</v>
      </c>
      <c r="Q141" s="66"/>
      <c r="R141" s="68"/>
      <c r="S141" s="69">
        <f>'PRECIO PROVEEDORES'!Q476</f>
        <v>0</v>
      </c>
      <c r="T141" s="12"/>
    </row>
    <row r="142" spans="2:20" ht="15.75" customHeight="1" x14ac:dyDescent="0.2">
      <c r="B142" s="64"/>
      <c r="C142" s="66"/>
      <c r="D142" s="69"/>
      <c r="E142" s="70"/>
      <c r="G142" s="7" t="s">
        <v>41</v>
      </c>
      <c r="H142" s="66">
        <v>8.0000000000000002E-3</v>
      </c>
      <c r="I142" s="94">
        <f>+VLOOKUP(G142,'PRECIO PROVEEDORES'!$A$2:$B$716,2,0)</f>
        <v>18304</v>
      </c>
      <c r="J142" s="12">
        <f t="shared" si="25"/>
        <v>146.43200000000002</v>
      </c>
      <c r="L142" s="64" t="s">
        <v>221</v>
      </c>
      <c r="M142" s="66">
        <v>0.1</v>
      </c>
      <c r="N142" s="94">
        <f>+VLOOKUP(L142,'PRECIO PROVEEDORES'!$A$2:$B$716,2,0)</f>
        <v>1440</v>
      </c>
      <c r="O142" s="12">
        <f t="shared" si="26"/>
        <v>144</v>
      </c>
      <c r="Q142" s="64"/>
      <c r="R142" s="66"/>
      <c r="S142" s="69"/>
      <c r="T142" s="70"/>
    </row>
    <row r="143" spans="2:20" ht="15.75" customHeight="1" x14ac:dyDescent="0.2">
      <c r="B143" s="64"/>
      <c r="C143" s="66"/>
      <c r="D143" s="69"/>
      <c r="E143" s="70"/>
      <c r="G143" s="64"/>
      <c r="H143" s="66"/>
      <c r="I143" s="69"/>
      <c r="J143" s="70"/>
      <c r="L143" s="64" t="s">
        <v>192</v>
      </c>
      <c r="M143" s="66">
        <v>0.3</v>
      </c>
      <c r="N143" s="94">
        <f>+VLOOKUP(L143,'PRECIO PROVEEDORES'!$A$2:$B$716,2,0)</f>
        <v>400</v>
      </c>
      <c r="O143" s="12">
        <f t="shared" si="26"/>
        <v>120</v>
      </c>
      <c r="Q143" s="64"/>
      <c r="R143" s="66"/>
      <c r="S143" s="69"/>
      <c r="T143" s="70"/>
    </row>
    <row r="144" spans="2:20" ht="15.75" customHeight="1" x14ac:dyDescent="0.2">
      <c r="B144" s="64"/>
      <c r="C144" s="66"/>
      <c r="D144" s="69"/>
      <c r="E144" s="70"/>
      <c r="G144" s="64"/>
      <c r="H144" s="66"/>
      <c r="I144" s="69"/>
      <c r="J144" s="70"/>
      <c r="L144" s="64" t="s">
        <v>222</v>
      </c>
      <c r="M144" s="66">
        <v>1</v>
      </c>
      <c r="N144" s="94">
        <f>+VLOOKUP(L144,'PRECIO PROVEEDORES'!$A$2:$B$716,2,0)</f>
        <v>1166</v>
      </c>
      <c r="O144" s="12">
        <f t="shared" si="26"/>
        <v>1166</v>
      </c>
      <c r="Q144" s="64"/>
      <c r="R144" s="66"/>
      <c r="S144" s="69"/>
      <c r="T144" s="70"/>
    </row>
    <row r="145" spans="2:20" ht="15.75" customHeight="1" x14ac:dyDescent="0.2">
      <c r="B145" s="72" t="s">
        <v>52</v>
      </c>
      <c r="C145" s="73"/>
      <c r="D145" s="74"/>
      <c r="E145" s="95">
        <f>SUM(E138:E144)</f>
        <v>855.23599999999999</v>
      </c>
      <c r="G145" s="72" t="s">
        <v>52</v>
      </c>
      <c r="H145" s="73"/>
      <c r="I145" s="74"/>
      <c r="J145" s="95">
        <f>SUM(J138:J144)</f>
        <v>1562.412</v>
      </c>
      <c r="L145" s="72" t="s">
        <v>52</v>
      </c>
      <c r="M145" s="73"/>
      <c r="N145" s="74"/>
      <c r="O145" s="95">
        <f>SUM(O138:O144)</f>
        <v>2981.8</v>
      </c>
      <c r="Q145" s="72" t="s">
        <v>52</v>
      </c>
      <c r="R145" s="73"/>
      <c r="S145" s="74"/>
      <c r="T145" s="95">
        <f>SUM(T138:T144)</f>
        <v>638.56050000000005</v>
      </c>
    </row>
    <row r="146" spans="2:20" ht="15.75" customHeight="1" x14ac:dyDescent="0.2">
      <c r="B146" s="76" t="s">
        <v>53</v>
      </c>
      <c r="C146" s="77"/>
      <c r="D146" s="78"/>
      <c r="E146" s="96">
        <f>SUM(E145)</f>
        <v>855.23599999999999</v>
      </c>
      <c r="G146" s="76" t="s">
        <v>53</v>
      </c>
      <c r="H146" s="77"/>
      <c r="I146" s="78"/>
      <c r="J146" s="96">
        <f>SUM(J145)</f>
        <v>1562.412</v>
      </c>
      <c r="L146" s="76" t="s">
        <v>53</v>
      </c>
      <c r="M146" s="77"/>
      <c r="N146" s="78"/>
      <c r="O146" s="96">
        <f>SUM(O145)</f>
        <v>2981.8</v>
      </c>
      <c r="Q146" s="76" t="s">
        <v>53</v>
      </c>
      <c r="R146" s="77"/>
      <c r="S146" s="78"/>
      <c r="T146" s="96">
        <f>SUM(T145)</f>
        <v>638.56050000000005</v>
      </c>
    </row>
    <row r="147" spans="2:20" ht="15.75" customHeight="1" x14ac:dyDescent="0.2">
      <c r="B147" s="76" t="s">
        <v>54</v>
      </c>
      <c r="C147" s="77"/>
      <c r="D147" s="78"/>
      <c r="E147" s="96">
        <f>+E146</f>
        <v>855.23599999999999</v>
      </c>
      <c r="G147" s="76" t="s">
        <v>54</v>
      </c>
      <c r="H147" s="77"/>
      <c r="I147" s="78"/>
      <c r="J147" s="96">
        <f>+J146</f>
        <v>1562.412</v>
      </c>
      <c r="L147" s="76" t="s">
        <v>54</v>
      </c>
      <c r="M147" s="77"/>
      <c r="N147" s="78"/>
      <c r="O147" s="96">
        <f>+O146</f>
        <v>2981.8</v>
      </c>
      <c r="Q147" s="76" t="s">
        <v>54</v>
      </c>
      <c r="R147" s="77"/>
      <c r="S147" s="78"/>
      <c r="T147" s="96">
        <f>+T146</f>
        <v>638.56050000000005</v>
      </c>
    </row>
    <row r="148" spans="2:20" ht="15.75" customHeight="1" x14ac:dyDescent="0.2">
      <c r="B148" s="76" t="s">
        <v>55</v>
      </c>
      <c r="C148" s="77"/>
      <c r="D148" s="80">
        <v>0.3</v>
      </c>
      <c r="E148" s="81"/>
      <c r="G148" s="76" t="s">
        <v>55</v>
      </c>
      <c r="H148" s="77"/>
      <c r="I148" s="80">
        <v>0.3</v>
      </c>
      <c r="J148" s="81"/>
      <c r="L148" s="76" t="s">
        <v>55</v>
      </c>
      <c r="M148" s="77"/>
      <c r="N148" s="80">
        <v>0.3</v>
      </c>
      <c r="O148" s="81"/>
      <c r="Q148" s="76" t="s">
        <v>55</v>
      </c>
      <c r="R148" s="77"/>
      <c r="S148" s="80">
        <v>0.3</v>
      </c>
      <c r="T148" s="81"/>
    </row>
    <row r="149" spans="2:20" ht="15.75" customHeight="1" x14ac:dyDescent="0.2">
      <c r="B149" s="76" t="s">
        <v>56</v>
      </c>
      <c r="C149" s="77"/>
      <c r="D149" s="82"/>
      <c r="E149" s="96">
        <f>+E147*3.33333333333333</f>
        <v>2850.7866666666637</v>
      </c>
      <c r="G149" s="76" t="s">
        <v>56</v>
      </c>
      <c r="H149" s="77"/>
      <c r="I149" s="82"/>
      <c r="J149" s="96">
        <f>+J147*3.33333333333333</f>
        <v>5208.0399999999945</v>
      </c>
      <c r="L149" s="76" t="s">
        <v>56</v>
      </c>
      <c r="M149" s="77"/>
      <c r="N149" s="82"/>
      <c r="O149" s="96">
        <f>+O147*3.33333333333333</f>
        <v>9939.333333333323</v>
      </c>
      <c r="Q149" s="76" t="s">
        <v>56</v>
      </c>
      <c r="R149" s="77"/>
      <c r="S149" s="82"/>
      <c r="T149" s="96">
        <f>+T147*3.33333333333333</f>
        <v>2128.534999999998</v>
      </c>
    </row>
    <row r="150" spans="2:20" ht="15.75" customHeight="1" x14ac:dyDescent="0.2">
      <c r="B150" s="76" t="s">
        <v>57</v>
      </c>
      <c r="C150" s="77"/>
      <c r="D150" s="77"/>
      <c r="E150" s="96">
        <v>6000</v>
      </c>
      <c r="G150" s="76" t="s">
        <v>57</v>
      </c>
      <c r="H150" s="77"/>
      <c r="I150" s="77"/>
      <c r="J150" s="96">
        <v>6500</v>
      </c>
      <c r="L150" s="76" t="s">
        <v>57</v>
      </c>
      <c r="M150" s="77"/>
      <c r="N150" s="77"/>
      <c r="O150" s="96">
        <v>12000</v>
      </c>
      <c r="Q150" s="76" t="s">
        <v>57</v>
      </c>
      <c r="R150" s="77"/>
      <c r="S150" s="77">
        <v>8000</v>
      </c>
      <c r="T150" s="96">
        <v>6000</v>
      </c>
    </row>
    <row r="151" spans="2:20" ht="15.75" customHeight="1" x14ac:dyDescent="0.2">
      <c r="B151" s="71"/>
      <c r="C151" s="77"/>
      <c r="D151" s="78"/>
      <c r="E151" s="95">
        <f>+E150-E149</f>
        <v>3149.2133333333363</v>
      </c>
      <c r="G151" s="71"/>
      <c r="H151" s="77"/>
      <c r="I151" s="78"/>
      <c r="J151" s="95">
        <f>+J150-J149</f>
        <v>1291.9600000000055</v>
      </c>
      <c r="L151" s="71"/>
      <c r="M151" s="77"/>
      <c r="N151" s="78"/>
      <c r="O151" s="95">
        <f>+O150-O149</f>
        <v>2060.666666666677</v>
      </c>
      <c r="Q151" s="71"/>
      <c r="R151" s="77"/>
      <c r="S151" s="78"/>
      <c r="T151" s="95">
        <f>+T150-T149</f>
        <v>3871.465000000002</v>
      </c>
    </row>
    <row r="152" spans="2:20" ht="15.75" customHeight="1" x14ac:dyDescent="0.2">
      <c r="B152" s="32" t="s">
        <v>58</v>
      </c>
      <c r="C152" s="83"/>
      <c r="D152" s="83"/>
      <c r="E152" s="98">
        <f>E147/E150</f>
        <v>0.14253933333333332</v>
      </c>
      <c r="G152" s="32" t="s">
        <v>58</v>
      </c>
      <c r="H152" s="83"/>
      <c r="I152" s="83"/>
      <c r="J152" s="98">
        <f>J147/J150</f>
        <v>0.24037107692307694</v>
      </c>
      <c r="L152" s="32" t="s">
        <v>58</v>
      </c>
      <c r="M152" s="83"/>
      <c r="N152" s="83"/>
      <c r="O152" s="98">
        <f>O147/O150</f>
        <v>0.24848333333333336</v>
      </c>
      <c r="Q152" s="32" t="s">
        <v>58</v>
      </c>
      <c r="R152" s="83"/>
      <c r="S152" s="83"/>
      <c r="T152" s="98">
        <f>T147/T150</f>
        <v>0.10642675000000001</v>
      </c>
    </row>
    <row r="153" spans="2:20" ht="15.75" customHeight="1" x14ac:dyDescent="0.15"/>
    <row r="154" spans="2:20" ht="15.75" customHeight="1" x14ac:dyDescent="0.15"/>
    <row r="155" spans="2:20" ht="15.75" customHeight="1" x14ac:dyDescent="0.2">
      <c r="B155" s="218" t="s">
        <v>223</v>
      </c>
      <c r="C155" s="213"/>
      <c r="D155" s="213"/>
      <c r="E155" s="214"/>
      <c r="G155" s="218"/>
      <c r="H155" s="213"/>
      <c r="I155" s="213"/>
      <c r="J155" s="214"/>
      <c r="L155" s="218"/>
      <c r="M155" s="213"/>
      <c r="N155" s="213"/>
      <c r="O155" s="214"/>
      <c r="Q155" s="218"/>
      <c r="R155" s="213"/>
      <c r="S155" s="213"/>
      <c r="T155" s="214"/>
    </row>
    <row r="156" spans="2:20" ht="15.75" customHeight="1" x14ac:dyDescent="0.2">
      <c r="B156" s="64"/>
      <c r="C156" s="65" t="s">
        <v>8</v>
      </c>
      <c r="D156" s="7" t="s">
        <v>9</v>
      </c>
      <c r="E156" s="8" t="s">
        <v>10</v>
      </c>
      <c r="G156" s="64"/>
      <c r="H156" s="65" t="s">
        <v>8</v>
      </c>
      <c r="I156" s="7" t="s">
        <v>9</v>
      </c>
      <c r="J156" s="8" t="s">
        <v>10</v>
      </c>
      <c r="L156" s="64"/>
      <c r="M156" s="65" t="s">
        <v>8</v>
      </c>
      <c r="N156" s="7" t="s">
        <v>9</v>
      </c>
      <c r="O156" s="8" t="s">
        <v>10</v>
      </c>
      <c r="Q156" s="64"/>
      <c r="R156" s="65" t="s">
        <v>8</v>
      </c>
      <c r="S156" s="7" t="s">
        <v>9</v>
      </c>
      <c r="T156" s="8" t="s">
        <v>10</v>
      </c>
    </row>
    <row r="157" spans="2:20" ht="15.75" customHeight="1" x14ac:dyDescent="0.2">
      <c r="B157" s="20" t="s">
        <v>181</v>
      </c>
      <c r="C157" s="10">
        <v>4.0000000000000001E-3</v>
      </c>
      <c r="D157" s="94">
        <f>+VLOOKUP(B157,'PRECIO PROVEEDORES'!$A$2:$B$716,2,0)</f>
        <v>90016</v>
      </c>
      <c r="E157" s="12">
        <f>+C157*D157</f>
        <v>360.06400000000002</v>
      </c>
      <c r="G157" s="20"/>
      <c r="H157" s="10"/>
      <c r="I157" s="94" t="e">
        <f>+VLOOKUP(G157,'PRECIO PROVEEDORES'!$A$2:$B$716,2,0)</f>
        <v>#N/A</v>
      </c>
      <c r="J157" s="12" t="e">
        <f t="shared" ref="J157:J159" si="28">+H157*I157</f>
        <v>#N/A</v>
      </c>
      <c r="L157" s="20"/>
      <c r="M157" s="10"/>
      <c r="N157" s="94" t="e">
        <f>+VLOOKUP(L157,'PRECIO PROVEEDORES'!$A$2:$B$716,2,0)</f>
        <v>#N/A</v>
      </c>
      <c r="O157" s="12" t="e">
        <f t="shared" ref="O157:O159" si="29">+M157*N157</f>
        <v>#N/A</v>
      </c>
      <c r="Q157" s="20"/>
      <c r="R157" s="10"/>
      <c r="S157" s="94" t="e">
        <f>+VLOOKUP(Q157,'PRECIO PROVEEDORES'!$A$2:$B$716,2,0)</f>
        <v>#N/A</v>
      </c>
      <c r="T157" s="12" t="e">
        <f t="shared" ref="T157:T159" si="30">+R157*S157</f>
        <v>#N/A</v>
      </c>
    </row>
    <row r="158" spans="2:20" ht="15.75" customHeight="1" x14ac:dyDescent="0.2">
      <c r="B158" s="13"/>
      <c r="C158" s="10"/>
      <c r="D158" s="94"/>
      <c r="E158" s="12"/>
      <c r="G158" s="13"/>
      <c r="H158" s="10"/>
      <c r="I158" s="94" t="e">
        <f>+VLOOKUP(G158,'PRECIO PROVEEDORES'!$A$2:$B$716,2,0)</f>
        <v>#N/A</v>
      </c>
      <c r="J158" s="12" t="e">
        <f t="shared" si="28"/>
        <v>#N/A</v>
      </c>
      <c r="L158" s="13"/>
      <c r="M158" s="10"/>
      <c r="N158" s="94" t="e">
        <f>+VLOOKUP(L158,'PRECIO PROVEEDORES'!$A$2:$B$716,2,0)</f>
        <v>#N/A</v>
      </c>
      <c r="O158" s="12" t="e">
        <f t="shared" si="29"/>
        <v>#N/A</v>
      </c>
      <c r="Q158" s="13"/>
      <c r="R158" s="10"/>
      <c r="S158" s="94" t="e">
        <f>+VLOOKUP(Q158,'PRECIO PROVEEDORES'!$A$2:$B$716,2,0)</f>
        <v>#N/A</v>
      </c>
      <c r="T158" s="12" t="e">
        <f t="shared" si="30"/>
        <v>#N/A</v>
      </c>
    </row>
    <row r="159" spans="2:20" ht="15.75" customHeight="1" x14ac:dyDescent="0.2">
      <c r="B159" s="104"/>
      <c r="C159" s="68"/>
      <c r="D159" s="94"/>
      <c r="E159" s="12"/>
      <c r="G159" s="104"/>
      <c r="H159" s="68"/>
      <c r="I159" s="94" t="e">
        <f>+VLOOKUP(G159,'PRECIO PROVEEDORES'!$A$2:$B$716,2,0)</f>
        <v>#N/A</v>
      </c>
      <c r="J159" s="12" t="e">
        <f t="shared" si="28"/>
        <v>#N/A</v>
      </c>
      <c r="L159" s="104"/>
      <c r="M159" s="68"/>
      <c r="N159" s="94" t="e">
        <f>+VLOOKUP(L159,'PRECIO PROVEEDORES'!$A$2:$B$716,2,0)</f>
        <v>#N/A</v>
      </c>
      <c r="O159" s="12" t="e">
        <f t="shared" si="29"/>
        <v>#N/A</v>
      </c>
      <c r="Q159" s="104"/>
      <c r="R159" s="68"/>
      <c r="S159" s="94" t="e">
        <f>+VLOOKUP(Q159,'PRECIO PROVEEDORES'!$A$2:$B$716,2,0)</f>
        <v>#N/A</v>
      </c>
      <c r="T159" s="12" t="e">
        <f t="shared" si="30"/>
        <v>#N/A</v>
      </c>
    </row>
    <row r="160" spans="2:20" ht="15.75" customHeight="1" x14ac:dyDescent="0.2">
      <c r="B160" s="66"/>
      <c r="C160" s="68"/>
      <c r="D160" s="69"/>
      <c r="E160" s="12"/>
      <c r="G160" s="66"/>
      <c r="H160" s="68"/>
      <c r="I160" s="69" t="str">
        <f>'PRECIO PROVEEDORES'!G495</f>
        <v>ZPRODUCCION</v>
      </c>
      <c r="J160" s="12"/>
      <c r="L160" s="66"/>
      <c r="M160" s="68"/>
      <c r="N160" s="69">
        <f>'PRECIO PROVEEDORES'!L495</f>
        <v>0</v>
      </c>
      <c r="O160" s="12"/>
      <c r="Q160" s="66"/>
      <c r="R160" s="68"/>
      <c r="S160" s="69">
        <f>'PRECIO PROVEEDORES'!Q495</f>
        <v>0</v>
      </c>
      <c r="T160" s="12"/>
    </row>
    <row r="161" spans="2:20" ht="15.75" customHeight="1" x14ac:dyDescent="0.15">
      <c r="B161" s="64"/>
      <c r="C161" s="66"/>
      <c r="D161" s="69"/>
      <c r="E161" s="70"/>
      <c r="G161" s="64"/>
      <c r="H161" s="66"/>
      <c r="I161" s="69"/>
      <c r="J161" s="70"/>
      <c r="L161" s="64"/>
      <c r="M161" s="66"/>
      <c r="N161" s="69"/>
      <c r="O161" s="70"/>
      <c r="Q161" s="64"/>
      <c r="R161" s="66"/>
      <c r="S161" s="69"/>
      <c r="T161" s="70"/>
    </row>
    <row r="162" spans="2:20" ht="15.75" customHeight="1" x14ac:dyDescent="0.15">
      <c r="B162" s="64"/>
      <c r="C162" s="66"/>
      <c r="D162" s="69"/>
      <c r="E162" s="70"/>
      <c r="G162" s="64"/>
      <c r="H162" s="66"/>
      <c r="I162" s="69"/>
      <c r="J162" s="70"/>
      <c r="L162" s="64"/>
      <c r="M162" s="66"/>
      <c r="N162" s="69"/>
      <c r="O162" s="70"/>
      <c r="Q162" s="64"/>
      <c r="R162" s="66"/>
      <c r="S162" s="69"/>
      <c r="T162" s="70"/>
    </row>
    <row r="163" spans="2:20" ht="15.75" customHeight="1" x14ac:dyDescent="0.15">
      <c r="B163" s="64"/>
      <c r="C163" s="66"/>
      <c r="D163" s="69"/>
      <c r="E163" s="70"/>
      <c r="G163" s="64"/>
      <c r="H163" s="66"/>
      <c r="I163" s="69"/>
      <c r="J163" s="70"/>
      <c r="L163" s="64"/>
      <c r="M163" s="66"/>
      <c r="N163" s="69"/>
      <c r="O163" s="70"/>
      <c r="Q163" s="64"/>
      <c r="R163" s="66"/>
      <c r="S163" s="69"/>
      <c r="T163" s="70"/>
    </row>
    <row r="164" spans="2:20" ht="15.75" customHeight="1" x14ac:dyDescent="0.2">
      <c r="B164" s="72" t="s">
        <v>52</v>
      </c>
      <c r="C164" s="73"/>
      <c r="D164" s="74"/>
      <c r="E164" s="95">
        <f>SUM(E157:E163)</f>
        <v>360.06400000000002</v>
      </c>
      <c r="G164" s="72" t="s">
        <v>52</v>
      </c>
      <c r="H164" s="73"/>
      <c r="I164" s="74"/>
      <c r="J164" s="95" t="e">
        <f>SUM(J157:J163)</f>
        <v>#N/A</v>
      </c>
      <c r="L164" s="72" t="s">
        <v>52</v>
      </c>
      <c r="M164" s="73"/>
      <c r="N164" s="74"/>
      <c r="O164" s="95" t="e">
        <f>SUM(O157:O163)</f>
        <v>#N/A</v>
      </c>
      <c r="Q164" s="72" t="s">
        <v>52</v>
      </c>
      <c r="R164" s="73"/>
      <c r="S164" s="74"/>
      <c r="T164" s="95" t="e">
        <f>SUM(T157:T163)</f>
        <v>#N/A</v>
      </c>
    </row>
    <row r="165" spans="2:20" ht="15.75" customHeight="1" x14ac:dyDescent="0.2">
      <c r="B165" s="76" t="s">
        <v>53</v>
      </c>
      <c r="C165" s="77"/>
      <c r="D165" s="78"/>
      <c r="E165" s="96">
        <f>SUM(E164)</f>
        <v>360.06400000000002</v>
      </c>
      <c r="G165" s="76" t="s">
        <v>53</v>
      </c>
      <c r="H165" s="77"/>
      <c r="I165" s="78"/>
      <c r="J165" s="96" t="e">
        <f>SUM(J164)</f>
        <v>#N/A</v>
      </c>
      <c r="L165" s="76" t="s">
        <v>53</v>
      </c>
      <c r="M165" s="77"/>
      <c r="N165" s="78"/>
      <c r="O165" s="96" t="e">
        <f>SUM(O164)</f>
        <v>#N/A</v>
      </c>
      <c r="Q165" s="76" t="s">
        <v>53</v>
      </c>
      <c r="R165" s="77"/>
      <c r="S165" s="78"/>
      <c r="T165" s="96" t="e">
        <f>SUM(T164)</f>
        <v>#N/A</v>
      </c>
    </row>
    <row r="166" spans="2:20" ht="15.75" customHeight="1" x14ac:dyDescent="0.2">
      <c r="B166" s="76" t="s">
        <v>54</v>
      </c>
      <c r="C166" s="77"/>
      <c r="D166" s="78"/>
      <c r="E166" s="96">
        <f>+E165</f>
        <v>360.06400000000002</v>
      </c>
      <c r="G166" s="76" t="s">
        <v>54</v>
      </c>
      <c r="H166" s="77"/>
      <c r="I166" s="78"/>
      <c r="J166" s="96" t="e">
        <f>+J165</f>
        <v>#N/A</v>
      </c>
      <c r="L166" s="76" t="s">
        <v>54</v>
      </c>
      <c r="M166" s="77"/>
      <c r="N166" s="78"/>
      <c r="O166" s="96" t="e">
        <f>+O165</f>
        <v>#N/A</v>
      </c>
      <c r="Q166" s="76" t="s">
        <v>54</v>
      </c>
      <c r="R166" s="77"/>
      <c r="S166" s="78"/>
      <c r="T166" s="96" t="e">
        <f>+T165</f>
        <v>#N/A</v>
      </c>
    </row>
    <row r="167" spans="2:20" ht="15.75" customHeight="1" x14ac:dyDescent="0.2">
      <c r="B167" s="76" t="s">
        <v>55</v>
      </c>
      <c r="C167" s="77"/>
      <c r="D167" s="80">
        <v>0.3</v>
      </c>
      <c r="E167" s="81"/>
      <c r="G167" s="76" t="s">
        <v>55</v>
      </c>
      <c r="H167" s="77"/>
      <c r="I167" s="80">
        <v>0.3</v>
      </c>
      <c r="J167" s="81"/>
      <c r="L167" s="76" t="s">
        <v>55</v>
      </c>
      <c r="M167" s="77"/>
      <c r="N167" s="80">
        <v>0.3</v>
      </c>
      <c r="O167" s="81"/>
      <c r="Q167" s="76" t="s">
        <v>55</v>
      </c>
      <c r="R167" s="77"/>
      <c r="S167" s="80">
        <v>0.3</v>
      </c>
      <c r="T167" s="81"/>
    </row>
    <row r="168" spans="2:20" ht="15.75" customHeight="1" x14ac:dyDescent="0.2">
      <c r="B168" s="76" t="s">
        <v>56</v>
      </c>
      <c r="C168" s="77"/>
      <c r="D168" s="82"/>
      <c r="E168" s="96">
        <f>+E166*3.33333333333333</f>
        <v>1200.2133333333322</v>
      </c>
      <c r="G168" s="76" t="s">
        <v>56</v>
      </c>
      <c r="H168" s="77"/>
      <c r="I168" s="82"/>
      <c r="J168" s="96" t="e">
        <f>+J166*3.33333333333333</f>
        <v>#N/A</v>
      </c>
      <c r="L168" s="76" t="s">
        <v>56</v>
      </c>
      <c r="M168" s="77"/>
      <c r="N168" s="82"/>
      <c r="O168" s="96" t="e">
        <f>+O166*3.33333333333333</f>
        <v>#N/A</v>
      </c>
      <c r="Q168" s="76" t="s">
        <v>56</v>
      </c>
      <c r="R168" s="77"/>
      <c r="S168" s="82"/>
      <c r="T168" s="96" t="e">
        <f>+T166*3.33333333333333</f>
        <v>#N/A</v>
      </c>
    </row>
    <row r="169" spans="2:20" ht="15.75" customHeight="1" x14ac:dyDescent="0.2">
      <c r="B169" s="76" t="s">
        <v>57</v>
      </c>
      <c r="C169" s="77"/>
      <c r="D169" s="77"/>
      <c r="E169" s="96">
        <v>4600</v>
      </c>
      <c r="G169" s="76" t="s">
        <v>57</v>
      </c>
      <c r="H169" s="77"/>
      <c r="I169" s="77"/>
      <c r="J169" s="96">
        <v>5200</v>
      </c>
      <c r="L169" s="76" t="s">
        <v>57</v>
      </c>
      <c r="M169" s="77"/>
      <c r="N169" s="77"/>
      <c r="O169" s="96">
        <v>5200</v>
      </c>
      <c r="Q169" s="76" t="s">
        <v>57</v>
      </c>
      <c r="R169" s="77"/>
      <c r="S169" s="77"/>
      <c r="T169" s="96">
        <v>5200</v>
      </c>
    </row>
    <row r="170" spans="2:20" ht="15.75" customHeight="1" x14ac:dyDescent="0.2">
      <c r="B170" s="71"/>
      <c r="C170" s="77"/>
      <c r="D170" s="78"/>
      <c r="E170" s="95">
        <f>+E169-E168</f>
        <v>3399.7866666666678</v>
      </c>
      <c r="G170" s="71"/>
      <c r="H170" s="77"/>
      <c r="I170" s="78"/>
      <c r="J170" s="95" t="e">
        <f>+J169-J168</f>
        <v>#N/A</v>
      </c>
      <c r="L170" s="71"/>
      <c r="M170" s="77"/>
      <c r="N170" s="78"/>
      <c r="O170" s="95" t="e">
        <f>+O169-O168</f>
        <v>#N/A</v>
      </c>
      <c r="Q170" s="71"/>
      <c r="R170" s="77"/>
      <c r="S170" s="78"/>
      <c r="T170" s="95" t="e">
        <f>+T169-T168</f>
        <v>#N/A</v>
      </c>
    </row>
    <row r="171" spans="2:20" ht="15.75" customHeight="1" x14ac:dyDescent="0.2">
      <c r="B171" s="32" t="s">
        <v>58</v>
      </c>
      <c r="C171" s="83"/>
      <c r="D171" s="83"/>
      <c r="E171" s="98">
        <f>E166/E169</f>
        <v>7.8274782608695651E-2</v>
      </c>
      <c r="G171" s="32" t="s">
        <v>58</v>
      </c>
      <c r="H171" s="83"/>
      <c r="I171" s="83"/>
      <c r="J171" s="98" t="e">
        <f>J166/J169</f>
        <v>#N/A</v>
      </c>
      <c r="L171" s="32" t="s">
        <v>58</v>
      </c>
      <c r="M171" s="83"/>
      <c r="N171" s="83"/>
      <c r="O171" s="98" t="e">
        <f>O166/O169</f>
        <v>#N/A</v>
      </c>
      <c r="Q171" s="32" t="s">
        <v>58</v>
      </c>
      <c r="R171" s="83"/>
      <c r="S171" s="83"/>
      <c r="T171" s="98" t="e">
        <f>T166/T169</f>
        <v>#N/A</v>
      </c>
    </row>
    <row r="172" spans="2:20" ht="15.75" customHeight="1" x14ac:dyDescent="0.15"/>
    <row r="173" spans="2:20" ht="15.75" customHeight="1" x14ac:dyDescent="0.15"/>
    <row r="174" spans="2:20" ht="15.75" customHeight="1" x14ac:dyDescent="0.15">
      <c r="B174" s="212" t="s">
        <v>224</v>
      </c>
      <c r="C174" s="213"/>
      <c r="D174" s="213"/>
      <c r="E174" s="214"/>
      <c r="G174" s="212" t="s">
        <v>225</v>
      </c>
      <c r="H174" s="213"/>
      <c r="I174" s="213"/>
      <c r="J174" s="214"/>
      <c r="L174" s="212" t="s">
        <v>226</v>
      </c>
      <c r="M174" s="213"/>
      <c r="N174" s="213"/>
      <c r="O174" s="214"/>
      <c r="Q174" s="212" t="s">
        <v>227</v>
      </c>
      <c r="R174" s="213"/>
      <c r="S174" s="213"/>
      <c r="T174" s="214"/>
    </row>
    <row r="175" spans="2:20" ht="15.75" customHeight="1" x14ac:dyDescent="0.2">
      <c r="B175" s="5"/>
      <c r="C175" s="6" t="s">
        <v>8</v>
      </c>
      <c r="D175" s="7" t="s">
        <v>9</v>
      </c>
      <c r="E175" s="8" t="s">
        <v>10</v>
      </c>
      <c r="G175" s="5"/>
      <c r="H175" s="6" t="s">
        <v>8</v>
      </c>
      <c r="I175" s="7" t="s">
        <v>9</v>
      </c>
      <c r="J175" s="8" t="s">
        <v>10</v>
      </c>
      <c r="L175" s="5"/>
      <c r="M175" s="6" t="s">
        <v>8</v>
      </c>
      <c r="N175" s="7" t="s">
        <v>9</v>
      </c>
      <c r="O175" s="8" t="s">
        <v>10</v>
      </c>
      <c r="Q175" s="5"/>
      <c r="R175" s="6" t="s">
        <v>8</v>
      </c>
      <c r="S175" s="7" t="s">
        <v>9</v>
      </c>
      <c r="T175" s="8" t="s">
        <v>10</v>
      </c>
    </row>
    <row r="176" spans="2:20" ht="15.75" customHeight="1" x14ac:dyDescent="0.2">
      <c r="B176" s="13" t="s">
        <v>228</v>
      </c>
      <c r="C176" s="10">
        <v>3.0000000000000001E-3</v>
      </c>
      <c r="D176" s="11">
        <f>+VLOOKUP(B176,'PRECIO PROVEEDORES'!$A$2:$B$716,2,0)</f>
        <v>650000</v>
      </c>
      <c r="E176" s="12">
        <f t="shared" ref="E176:E177" si="31">+C176*D176</f>
        <v>1950</v>
      </c>
      <c r="G176" s="13" t="s">
        <v>228</v>
      </c>
      <c r="H176" s="10">
        <v>3.0000000000000001E-3</v>
      </c>
      <c r="I176" s="11">
        <f>+VLOOKUP(G176,'PRECIO PROVEEDORES'!$A$2:$B$716,2,0)</f>
        <v>650000</v>
      </c>
      <c r="J176" s="12">
        <f t="shared" ref="J176:J178" si="32">+H176*I176</f>
        <v>1950</v>
      </c>
      <c r="L176" s="7" t="s">
        <v>229</v>
      </c>
      <c r="M176" s="10">
        <v>0.1</v>
      </c>
      <c r="N176" s="11">
        <f>+VLOOKUP(L176,'PRECIO PROVEEDORES'!$A$2:$B$716,2,0)</f>
        <v>8760</v>
      </c>
      <c r="O176" s="12">
        <f t="shared" ref="O176:O179" si="33">+M176*N176</f>
        <v>876</v>
      </c>
      <c r="Q176" s="13" t="s">
        <v>166</v>
      </c>
      <c r="R176" s="10">
        <v>0.2</v>
      </c>
      <c r="S176" s="11">
        <f>+VLOOKUP(Q176,'PRECIO PROVEEDORES'!$A$2:$B$716,2,0)</f>
        <v>1940</v>
      </c>
      <c r="T176" s="12">
        <f t="shared" ref="T176:T179" si="34">+R176*S176</f>
        <v>388</v>
      </c>
    </row>
    <row r="177" spans="2:20" ht="15.75" customHeight="1" x14ac:dyDescent="0.2">
      <c r="B177" s="13" t="s">
        <v>166</v>
      </c>
      <c r="C177" s="10">
        <v>0.24</v>
      </c>
      <c r="D177" s="11">
        <f>+VLOOKUP(B177,'PRECIO PROVEEDORES'!$A$2:$B$716,2,0)</f>
        <v>1940</v>
      </c>
      <c r="E177" s="12">
        <f t="shared" si="31"/>
        <v>465.59999999999997</v>
      </c>
      <c r="G177" s="13" t="s">
        <v>166</v>
      </c>
      <c r="H177" s="10">
        <v>0.15</v>
      </c>
      <c r="I177" s="11">
        <f>+VLOOKUP(G177,'PRECIO PROVEEDORES'!$A$2:$B$716,2,0)</f>
        <v>1940</v>
      </c>
      <c r="J177" s="12">
        <f t="shared" si="32"/>
        <v>291</v>
      </c>
      <c r="L177" s="13" t="s">
        <v>230</v>
      </c>
      <c r="M177" s="10">
        <v>0.02</v>
      </c>
      <c r="N177" s="11">
        <f>+VLOOKUP(L177,'PRECIO PROVEEDORES'!$A$2:$B$716,2,0)</f>
        <v>5400</v>
      </c>
      <c r="O177" s="12">
        <f t="shared" si="33"/>
        <v>108</v>
      </c>
      <c r="Q177" s="13" t="s">
        <v>174</v>
      </c>
      <c r="R177" s="10">
        <v>5.1999999999999998E-2</v>
      </c>
      <c r="S177" s="11">
        <f>+VLOOKUP(Q177,'PRECIO PROVEEDORES'!$A$2:$B$716,2,0)</f>
        <v>15388</v>
      </c>
      <c r="T177" s="12">
        <f t="shared" si="34"/>
        <v>800.17599999999993</v>
      </c>
    </row>
    <row r="178" spans="2:20" ht="15.75" customHeight="1" x14ac:dyDescent="0.2">
      <c r="B178" s="13"/>
      <c r="C178" s="10"/>
      <c r="D178" s="11"/>
      <c r="E178" s="12"/>
      <c r="G178" s="13" t="s">
        <v>231</v>
      </c>
      <c r="H178" s="10">
        <v>7.4999999999999997E-2</v>
      </c>
      <c r="I178" s="11">
        <f>+VLOOKUP(G178,'PRECIO PROVEEDORES'!$A$2:$B$716,2,0)</f>
        <v>7354.43</v>
      </c>
      <c r="J178" s="12">
        <f t="shared" si="32"/>
        <v>551.58225000000004</v>
      </c>
      <c r="L178" s="101" t="s">
        <v>191</v>
      </c>
      <c r="M178" s="10">
        <v>0.23</v>
      </c>
      <c r="N178" s="11">
        <f>+VLOOKUP(L178,'PRECIO PROVEEDORES'!$A$2:$B$716,2,0)</f>
        <v>1755.33</v>
      </c>
      <c r="O178" s="12">
        <f t="shared" si="33"/>
        <v>403.72590000000002</v>
      </c>
      <c r="Q178" s="93" t="s">
        <v>172</v>
      </c>
      <c r="R178" s="10">
        <v>2.5000000000000001E-2</v>
      </c>
      <c r="S178" s="11">
        <f>+VLOOKUP(Q178,'PRECIO PROVEEDORES'!$A$2:$B$716,2,0)</f>
        <v>9561</v>
      </c>
      <c r="T178" s="12">
        <f t="shared" si="34"/>
        <v>239.02500000000001</v>
      </c>
    </row>
    <row r="179" spans="2:20" ht="15.75" customHeight="1" x14ac:dyDescent="0.2">
      <c r="B179" s="19"/>
      <c r="C179" s="7"/>
      <c r="D179" s="11"/>
      <c r="E179" s="12"/>
      <c r="G179" s="19"/>
      <c r="H179" s="7"/>
      <c r="I179" s="11"/>
      <c r="J179" s="12"/>
      <c r="L179" s="13" t="s">
        <v>192</v>
      </c>
      <c r="M179" s="10">
        <v>0.08</v>
      </c>
      <c r="N179" s="11">
        <f>+VLOOKUP(L179,'PRECIO PROVEEDORES'!$A$2:$B$716,2,0)</f>
        <v>400</v>
      </c>
      <c r="O179" s="12">
        <f t="shared" si="33"/>
        <v>32</v>
      </c>
      <c r="Q179" s="93" t="s">
        <v>192</v>
      </c>
      <c r="R179" s="10">
        <v>0.1</v>
      </c>
      <c r="S179" s="11">
        <f>+VLOOKUP(Q179,'PRECIO PROVEEDORES'!$A$2:$B$716,2,0)</f>
        <v>400</v>
      </c>
      <c r="T179" s="12">
        <f t="shared" si="34"/>
        <v>40</v>
      </c>
    </row>
    <row r="180" spans="2:20" ht="15.75" customHeight="1" x14ac:dyDescent="0.2">
      <c r="B180" s="5"/>
      <c r="C180" s="7"/>
      <c r="D180" s="11"/>
      <c r="E180" s="12"/>
      <c r="G180" s="5"/>
      <c r="H180" s="7"/>
      <c r="I180" s="11"/>
      <c r="J180" s="12"/>
      <c r="L180" s="13"/>
      <c r="M180" s="102"/>
      <c r="N180" s="20"/>
      <c r="O180" s="11"/>
      <c r="Q180" s="5"/>
      <c r="R180" s="7"/>
      <c r="S180" s="11"/>
      <c r="T180" s="12"/>
    </row>
    <row r="181" spans="2:20" ht="15.75" customHeight="1" x14ac:dyDescent="0.2">
      <c r="B181" s="5"/>
      <c r="C181" s="7"/>
      <c r="D181" s="11"/>
      <c r="E181" s="12"/>
      <c r="G181" s="5"/>
      <c r="H181" s="7"/>
      <c r="I181" s="11"/>
      <c r="J181" s="12"/>
      <c r="L181" s="5"/>
      <c r="M181" s="7"/>
      <c r="N181" s="11"/>
      <c r="O181" s="12"/>
      <c r="Q181" s="5"/>
      <c r="R181" s="7"/>
      <c r="S181" s="11"/>
      <c r="T181" s="12"/>
    </row>
    <row r="182" spans="2:20" ht="15.75" customHeight="1" x14ac:dyDescent="0.2">
      <c r="B182" s="5"/>
      <c r="C182" s="7"/>
      <c r="D182" s="11"/>
      <c r="E182" s="12"/>
      <c r="G182" s="5"/>
      <c r="H182" s="7"/>
      <c r="I182" s="11"/>
      <c r="J182" s="12"/>
      <c r="L182" s="5"/>
      <c r="M182" s="7"/>
      <c r="N182" s="11"/>
      <c r="O182" s="12"/>
      <c r="Q182" s="5"/>
      <c r="R182" s="7"/>
      <c r="S182" s="11"/>
      <c r="T182" s="12"/>
    </row>
    <row r="183" spans="2:20" ht="15.75" customHeight="1" x14ac:dyDescent="0.2">
      <c r="B183" s="21" t="s">
        <v>52</v>
      </c>
      <c r="C183" s="22"/>
      <c r="D183" s="23"/>
      <c r="E183" s="24">
        <f>SUM(E176:E182)</f>
        <v>2415.6</v>
      </c>
      <c r="G183" s="21" t="s">
        <v>52</v>
      </c>
      <c r="H183" s="22"/>
      <c r="I183" s="23"/>
      <c r="J183" s="24">
        <f>SUM(J176:J182)</f>
        <v>2792.5822499999999</v>
      </c>
      <c r="L183" s="5"/>
      <c r="M183" s="7"/>
      <c r="N183" s="11"/>
      <c r="O183" s="12"/>
      <c r="Q183" s="21" t="s">
        <v>52</v>
      </c>
      <c r="R183" s="22"/>
      <c r="S183" s="23"/>
      <c r="T183" s="24">
        <f>SUM(T176:T182)</f>
        <v>1467.201</v>
      </c>
    </row>
    <row r="184" spans="2:20" ht="15.75" customHeight="1" x14ac:dyDescent="0.2">
      <c r="B184" s="19" t="s">
        <v>53</v>
      </c>
      <c r="C184" s="27"/>
      <c r="D184" s="28"/>
      <c r="E184" s="29">
        <f>SUM(E183)</f>
        <v>2415.6</v>
      </c>
      <c r="G184" s="19" t="s">
        <v>53</v>
      </c>
      <c r="H184" s="27"/>
      <c r="I184" s="28"/>
      <c r="J184" s="29">
        <f>SUM(J183)</f>
        <v>2792.5822499999999</v>
      </c>
      <c r="L184" s="21" t="s">
        <v>52</v>
      </c>
      <c r="M184" s="22"/>
      <c r="N184" s="23"/>
      <c r="O184" s="24">
        <f>SUM(O176:O183)</f>
        <v>1419.7258999999999</v>
      </c>
      <c r="Q184" s="19" t="s">
        <v>53</v>
      </c>
      <c r="R184" s="27"/>
      <c r="S184" s="28"/>
      <c r="T184" s="29">
        <f>SUM(T183)</f>
        <v>1467.201</v>
      </c>
    </row>
    <row r="185" spans="2:20" ht="15.75" customHeight="1" x14ac:dyDescent="0.2">
      <c r="B185" s="19" t="s">
        <v>54</v>
      </c>
      <c r="C185" s="27"/>
      <c r="D185" s="28"/>
      <c r="E185" s="29">
        <f>+E184</f>
        <v>2415.6</v>
      </c>
      <c r="G185" s="19" t="s">
        <v>54</v>
      </c>
      <c r="H185" s="27"/>
      <c r="I185" s="28"/>
      <c r="J185" s="29">
        <f>+J184</f>
        <v>2792.5822499999999</v>
      </c>
      <c r="L185" s="19" t="s">
        <v>53</v>
      </c>
      <c r="M185" s="27"/>
      <c r="N185" s="28"/>
      <c r="O185" s="29">
        <f>SUM(O184)</f>
        <v>1419.7258999999999</v>
      </c>
      <c r="Q185" s="19" t="s">
        <v>54</v>
      </c>
      <c r="R185" s="27"/>
      <c r="S185" s="28"/>
      <c r="T185" s="29">
        <f>+T184</f>
        <v>1467.201</v>
      </c>
    </row>
    <row r="186" spans="2:20" ht="15.75" customHeight="1" x14ac:dyDescent="0.2">
      <c r="B186" s="19" t="s">
        <v>55</v>
      </c>
      <c r="C186" s="27"/>
      <c r="D186" s="31">
        <v>0.3</v>
      </c>
      <c r="E186" s="29"/>
      <c r="G186" s="19" t="s">
        <v>55</v>
      </c>
      <c r="H186" s="27"/>
      <c r="I186" s="31">
        <v>0.3</v>
      </c>
      <c r="J186" s="29"/>
      <c r="L186" s="19" t="s">
        <v>54</v>
      </c>
      <c r="M186" s="27"/>
      <c r="N186" s="28"/>
      <c r="O186" s="29">
        <f>+O185</f>
        <v>1419.7258999999999</v>
      </c>
      <c r="Q186" s="19" t="s">
        <v>55</v>
      </c>
      <c r="R186" s="27"/>
      <c r="S186" s="31">
        <v>0.3</v>
      </c>
      <c r="T186" s="29"/>
    </row>
    <row r="187" spans="2:20" ht="15.75" customHeight="1" x14ac:dyDescent="0.2">
      <c r="B187" s="19" t="s">
        <v>56</v>
      </c>
      <c r="C187" s="27"/>
      <c r="D187" s="31"/>
      <c r="E187" s="29">
        <f>+E185*3.33333333333333</f>
        <v>8051.9999999999918</v>
      </c>
      <c r="G187" s="19" t="s">
        <v>56</v>
      </c>
      <c r="H187" s="27"/>
      <c r="I187" s="31"/>
      <c r="J187" s="29">
        <f>+J185*3.33333333333333</f>
        <v>9308.607499999991</v>
      </c>
      <c r="L187" s="19" t="s">
        <v>55</v>
      </c>
      <c r="M187" s="27"/>
      <c r="N187" s="31">
        <v>0.3</v>
      </c>
      <c r="O187" s="29"/>
      <c r="Q187" s="19" t="s">
        <v>56</v>
      </c>
      <c r="R187" s="27"/>
      <c r="S187" s="31"/>
      <c r="T187" s="29">
        <f>+T185*3.33333333333333</f>
        <v>4890.6699999999955</v>
      </c>
    </row>
    <row r="188" spans="2:20" ht="15.75" customHeight="1" x14ac:dyDescent="0.2">
      <c r="B188" s="19" t="s">
        <v>57</v>
      </c>
      <c r="C188" s="27"/>
      <c r="D188" s="27"/>
      <c r="E188" s="29">
        <v>8300</v>
      </c>
      <c r="G188" s="19" t="s">
        <v>57</v>
      </c>
      <c r="H188" s="27"/>
      <c r="I188" s="27"/>
      <c r="J188" s="29">
        <v>9400</v>
      </c>
      <c r="L188" s="19" t="s">
        <v>56</v>
      </c>
      <c r="M188" s="27"/>
      <c r="N188" s="31"/>
      <c r="O188" s="29">
        <f>+O186*3.33333333333333</f>
        <v>4732.4196666666612</v>
      </c>
      <c r="Q188" s="19" t="s">
        <v>57</v>
      </c>
      <c r="R188" s="27"/>
      <c r="S188" s="27"/>
      <c r="T188" s="29">
        <v>6300</v>
      </c>
    </row>
    <row r="189" spans="2:20" ht="15.75" customHeight="1" x14ac:dyDescent="0.2">
      <c r="B189" s="19"/>
      <c r="C189" s="27"/>
      <c r="D189" s="28"/>
      <c r="E189" s="24">
        <f>+E188-E187</f>
        <v>248.00000000000819</v>
      </c>
      <c r="G189" s="19"/>
      <c r="H189" s="27"/>
      <c r="I189" s="28"/>
      <c r="J189" s="24">
        <f>+J188-J187</f>
        <v>91.392500000009022</v>
      </c>
      <c r="L189" s="19" t="s">
        <v>57</v>
      </c>
      <c r="M189" s="27"/>
      <c r="N189" s="27"/>
      <c r="O189" s="29">
        <v>6500</v>
      </c>
      <c r="Q189" s="19"/>
      <c r="R189" s="27"/>
      <c r="S189" s="28"/>
      <c r="T189" s="24">
        <f>+T188-T187</f>
        <v>1409.3300000000045</v>
      </c>
    </row>
    <row r="190" spans="2:20" ht="15.75" customHeight="1" x14ac:dyDescent="0.2">
      <c r="B190" s="32" t="s">
        <v>58</v>
      </c>
      <c r="C190" s="33"/>
      <c r="D190" s="33"/>
      <c r="E190" s="34">
        <f>E185/E188</f>
        <v>0.29103614457831323</v>
      </c>
      <c r="G190" s="32" t="s">
        <v>58</v>
      </c>
      <c r="H190" s="33"/>
      <c r="I190" s="33"/>
      <c r="J190" s="34">
        <f>J185/J188</f>
        <v>0.29708321808510635</v>
      </c>
      <c r="L190" s="19"/>
      <c r="M190" s="27"/>
      <c r="N190" s="28"/>
      <c r="O190" s="24">
        <f>+O189-O188</f>
        <v>1767.5803333333388</v>
      </c>
      <c r="Q190" s="32" t="s">
        <v>58</v>
      </c>
      <c r="R190" s="33"/>
      <c r="S190" s="33"/>
      <c r="T190" s="34">
        <f>T185/T188</f>
        <v>0.23288904761904763</v>
      </c>
    </row>
    <row r="191" spans="2:20" ht="15.75" customHeight="1" x14ac:dyDescent="0.2">
      <c r="L191" s="32" t="s">
        <v>58</v>
      </c>
      <c r="M191" s="33"/>
      <c r="N191" s="33"/>
      <c r="O191" s="34">
        <f>O186/O189</f>
        <v>0.21841936923076921</v>
      </c>
    </row>
    <row r="192" spans="2:20"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sheetData>
  <mergeCells count="48">
    <mergeCell ref="B136:E136"/>
    <mergeCell ref="G136:J136"/>
    <mergeCell ref="B98:E98"/>
    <mergeCell ref="B117:E117"/>
    <mergeCell ref="G117:J117"/>
    <mergeCell ref="L117:O117"/>
    <mergeCell ref="Q117:T117"/>
    <mergeCell ref="B155:E155"/>
    <mergeCell ref="G155:J155"/>
    <mergeCell ref="L155:O155"/>
    <mergeCell ref="Q155:T155"/>
    <mergeCell ref="B174:E174"/>
    <mergeCell ref="G174:J174"/>
    <mergeCell ref="L174:O174"/>
    <mergeCell ref="Q174:T174"/>
    <mergeCell ref="G98:J98"/>
    <mergeCell ref="L98:O98"/>
    <mergeCell ref="Q98:T98"/>
    <mergeCell ref="L136:O136"/>
    <mergeCell ref="Q136:T136"/>
    <mergeCell ref="V64:Y64"/>
    <mergeCell ref="AA64:AD64"/>
    <mergeCell ref="B78:E78"/>
    <mergeCell ref="G78:J78"/>
    <mergeCell ref="L78:O78"/>
    <mergeCell ref="Q78:T78"/>
    <mergeCell ref="B40:E40"/>
    <mergeCell ref="B59:E59"/>
    <mergeCell ref="G59:J59"/>
    <mergeCell ref="L59:O59"/>
    <mergeCell ref="Q59:T59"/>
    <mergeCell ref="G40:J40"/>
    <mergeCell ref="L40:O40"/>
    <mergeCell ref="Q40:T40"/>
    <mergeCell ref="V43:Y43"/>
    <mergeCell ref="AA43:AD43"/>
    <mergeCell ref="Q21:T21"/>
    <mergeCell ref="V22:Y22"/>
    <mergeCell ref="AA22:AD22"/>
    <mergeCell ref="B2:E2"/>
    <mergeCell ref="G2:J2"/>
    <mergeCell ref="L2:O2"/>
    <mergeCell ref="Q2:T2"/>
    <mergeCell ref="V2:Y2"/>
    <mergeCell ref="AA2:AD2"/>
    <mergeCell ref="B21:E21"/>
    <mergeCell ref="G21:J21"/>
    <mergeCell ref="L21:O21"/>
  </mergeCells>
  <conditionalFormatting sqref="E18 J18 O18 T18 E37 J37 O37 T37 E56 J56 O56 T56 E75 J75 O75 T75 E95 J95 O95 T95 E114 J114 O114 T114 E133 J133 O133 T133 E152 J152 O152 T152 E171 E190 J190 T190 O191">
    <cfRule type="cellIs" dxfId="12" priority="1" operator="lessThanOrEqual">
      <formula>"25%"</formula>
    </cfRule>
    <cfRule type="cellIs" dxfId="11" priority="2" operator="between">
      <formula>"25%"</formula>
      <formula>"30%"</formula>
    </cfRule>
    <cfRule type="cellIs" dxfId="10" priority="3" operator="greaterThanOrEqual">
      <formula>"30%"</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'PRECIO PROVEEDORES'!$A$3:$A$543</xm:f>
          </x14:formula1>
          <xm:sqref>L4:L5 Q4:Q5 B4:B6 G4:G10 Q23:Q24 B23:B25 G23:G25 L23:L25 L42:L43 Q42:Q43 B42:B44 G42:G44 B61 G61 L61 Q61 B80:B82 Q80:Q82 G80:G83 L80:L83 B100:B102 G100:G102 Q100:Q102 L100:L103 G119:G120 Q119:Q120 L119:L121 B119:B123 B138:B140 Q138:Q140 G138:G142 L138:L144 B157 L176:L179 Q176:Q179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992"/>
  <sheetViews>
    <sheetView showGridLines="0" workbookViewId="0"/>
  </sheetViews>
  <sheetFormatPr baseColWidth="10" defaultColWidth="12.6640625" defaultRowHeight="15" customHeight="1" x14ac:dyDescent="0.15"/>
  <cols>
    <col min="1" max="1" width="3.33203125" customWidth="1"/>
    <col min="2" max="2" width="34.83203125" customWidth="1"/>
    <col min="3" max="3" width="10.33203125" customWidth="1"/>
    <col min="4" max="4" width="13.1640625" customWidth="1"/>
    <col min="5" max="5" width="9.33203125" customWidth="1"/>
    <col min="7" max="7" width="33.83203125" customWidth="1"/>
    <col min="12" max="12" width="34.83203125" customWidth="1"/>
    <col min="17" max="17" width="31.33203125" customWidth="1"/>
    <col min="22" max="22" width="28" customWidth="1"/>
    <col min="27" max="27" width="25.5" customWidth="1"/>
  </cols>
  <sheetData>
    <row r="1" spans="2:30" x14ac:dyDescent="0.2">
      <c r="B1" s="2"/>
      <c r="C1" s="2"/>
      <c r="D1" s="2"/>
      <c r="E1" s="2"/>
    </row>
    <row r="2" spans="2:30" x14ac:dyDescent="0.2">
      <c r="B2" s="212" t="s">
        <v>232</v>
      </c>
      <c r="C2" s="213"/>
      <c r="D2" s="213"/>
      <c r="E2" s="214"/>
      <c r="G2" s="212" t="s">
        <v>233</v>
      </c>
      <c r="H2" s="213"/>
      <c r="I2" s="213"/>
      <c r="J2" s="214"/>
      <c r="L2" s="218" t="s">
        <v>234</v>
      </c>
      <c r="M2" s="213"/>
      <c r="N2" s="213"/>
      <c r="O2" s="214"/>
      <c r="Q2" s="219"/>
      <c r="R2" s="220"/>
      <c r="S2" s="220"/>
      <c r="T2" s="220"/>
      <c r="V2" s="219"/>
      <c r="W2" s="220"/>
      <c r="X2" s="220"/>
      <c r="Y2" s="220"/>
      <c r="AA2" s="219"/>
      <c r="AB2" s="220"/>
      <c r="AC2" s="220"/>
      <c r="AD2" s="220"/>
    </row>
    <row r="3" spans="2:30" ht="16" x14ac:dyDescent="0.2">
      <c r="B3" s="5"/>
      <c r="C3" s="6" t="s">
        <v>8</v>
      </c>
      <c r="D3" s="7" t="s">
        <v>9</v>
      </c>
      <c r="E3" s="8" t="s">
        <v>10</v>
      </c>
      <c r="G3" s="13"/>
      <c r="H3" s="6" t="s">
        <v>8</v>
      </c>
      <c r="I3" s="7" t="s">
        <v>9</v>
      </c>
      <c r="J3" s="8" t="s">
        <v>10</v>
      </c>
      <c r="L3" s="64"/>
      <c r="M3" s="65" t="s">
        <v>8</v>
      </c>
      <c r="N3" s="7" t="s">
        <v>9</v>
      </c>
      <c r="O3" s="8" t="s">
        <v>10</v>
      </c>
      <c r="Q3" s="2"/>
      <c r="R3" s="86"/>
      <c r="S3" s="2"/>
      <c r="T3" s="2"/>
      <c r="V3" s="2"/>
      <c r="W3" s="86"/>
      <c r="X3" s="2"/>
      <c r="Y3" s="2"/>
      <c r="AA3" s="2"/>
      <c r="AB3" s="86"/>
      <c r="AC3" s="2"/>
      <c r="AD3" s="2"/>
    </row>
    <row r="4" spans="2:30" ht="16" x14ac:dyDescent="0.2">
      <c r="B4" s="13" t="s">
        <v>235</v>
      </c>
      <c r="C4" s="10">
        <v>0.45</v>
      </c>
      <c r="D4" s="11">
        <f>+VLOOKUP(B4,'PRECIO PROVEEDORES'!$A$2:$B$716,2,0)</f>
        <v>13662</v>
      </c>
      <c r="E4" s="12">
        <f t="shared" ref="E4:E14" si="0">+C4*D4</f>
        <v>6147.9000000000005</v>
      </c>
      <c r="G4" s="7" t="s">
        <v>236</v>
      </c>
      <c r="H4" s="10">
        <v>4.0000000000000001E-3</v>
      </c>
      <c r="I4" s="11">
        <f>+VLOOKUP(G4,'PRECIO PROVEEDORES'!$A$2:$B$716,2,0)</f>
        <v>78338</v>
      </c>
      <c r="J4" s="12">
        <f t="shared" ref="J4:J9" si="1">+H4*I4</f>
        <v>313.35200000000003</v>
      </c>
      <c r="L4" s="13" t="s">
        <v>237</v>
      </c>
      <c r="M4" s="10">
        <v>1.8</v>
      </c>
      <c r="N4" s="94">
        <f>+VLOOKUP(L4,'PRECIO PROVEEDORES'!$A$2:$B$716,2,0)</f>
        <v>1043.22</v>
      </c>
      <c r="O4" s="12">
        <f t="shared" ref="O4:O12" si="2">+M4*N4</f>
        <v>1877.796</v>
      </c>
      <c r="Q4" s="105"/>
      <c r="R4" s="106"/>
      <c r="S4" s="87"/>
      <c r="T4" s="37"/>
      <c r="V4" s="2"/>
      <c r="W4" s="2"/>
      <c r="X4" s="87"/>
      <c r="Y4" s="37"/>
      <c r="AA4" s="2"/>
      <c r="AB4" s="2"/>
      <c r="AC4" s="87"/>
      <c r="AD4" s="37"/>
    </row>
    <row r="5" spans="2:30" ht="16" x14ac:dyDescent="0.2">
      <c r="B5" s="13" t="s">
        <v>210</v>
      </c>
      <c r="C5" s="10">
        <v>0.4</v>
      </c>
      <c r="D5" s="11">
        <f>+VLOOKUP(B5,'PRECIO PROVEEDORES'!$A$2:$B$716,2,0)</f>
        <v>1352</v>
      </c>
      <c r="E5" s="12">
        <f t="shared" si="0"/>
        <v>540.80000000000007</v>
      </c>
      <c r="G5" s="107" t="s">
        <v>238</v>
      </c>
      <c r="H5" s="10">
        <v>0.03</v>
      </c>
      <c r="I5" s="11">
        <f>+VLOOKUP(G5,'PRECIO PROVEEDORES'!$A$2:$B$716,2,0)</f>
        <v>36068</v>
      </c>
      <c r="J5" s="12">
        <f t="shared" si="1"/>
        <v>1082.04</v>
      </c>
      <c r="L5" s="13" t="s">
        <v>239</v>
      </c>
      <c r="M5" s="10">
        <v>0.2</v>
      </c>
      <c r="N5" s="94">
        <f>+VLOOKUP(L5,'PRECIO PROVEEDORES'!$A$2:$B$716,2,0)</f>
        <v>890</v>
      </c>
      <c r="O5" s="12">
        <f t="shared" si="2"/>
        <v>178</v>
      </c>
      <c r="Q5" s="105"/>
      <c r="R5" s="106"/>
      <c r="S5" s="87"/>
      <c r="T5" s="37"/>
      <c r="V5" s="2"/>
      <c r="W5" s="2"/>
      <c r="X5" s="87"/>
      <c r="Y5" s="37"/>
      <c r="AA5" s="2"/>
      <c r="AB5" s="2"/>
      <c r="AC5" s="87"/>
      <c r="AD5" s="37"/>
    </row>
    <row r="6" spans="2:30" ht="16" x14ac:dyDescent="0.2">
      <c r="B6" s="7" t="s">
        <v>240</v>
      </c>
      <c r="C6" s="10">
        <v>0.4</v>
      </c>
      <c r="D6" s="11">
        <f>+VLOOKUP(B6,'PRECIO PROVEEDORES'!$A$2:$B$716,2,0)</f>
        <v>1624.77</v>
      </c>
      <c r="E6" s="12">
        <f t="shared" si="0"/>
        <v>649.90800000000002</v>
      </c>
      <c r="G6" s="13" t="s">
        <v>241</v>
      </c>
      <c r="H6" s="10">
        <v>0.02</v>
      </c>
      <c r="I6" s="11">
        <f>+VLOOKUP(G6,'PRECIO PROVEEDORES'!$A$2:$B$716,2,0)</f>
        <v>10203</v>
      </c>
      <c r="J6" s="12">
        <f t="shared" si="1"/>
        <v>204.06</v>
      </c>
      <c r="L6" s="13" t="s">
        <v>210</v>
      </c>
      <c r="M6" s="10">
        <v>0.25</v>
      </c>
      <c r="N6" s="94">
        <f>+VLOOKUP(L6,'PRECIO PROVEEDORES'!$A$2:$B$716,2,0)</f>
        <v>1352</v>
      </c>
      <c r="O6" s="12">
        <f t="shared" si="2"/>
        <v>338</v>
      </c>
      <c r="Q6" s="105"/>
      <c r="R6" s="106"/>
      <c r="S6" s="87"/>
      <c r="T6" s="37"/>
      <c r="V6" s="2"/>
      <c r="W6" s="2"/>
      <c r="X6" s="87"/>
      <c r="Y6" s="37"/>
      <c r="AA6" s="2"/>
      <c r="AB6" s="2"/>
      <c r="AC6" s="87"/>
      <c r="AD6" s="37"/>
    </row>
    <row r="7" spans="2:30" ht="16" x14ac:dyDescent="0.2">
      <c r="B7" s="7" t="s">
        <v>97</v>
      </c>
      <c r="C7" s="10">
        <v>4</v>
      </c>
      <c r="D7" s="11">
        <f>+VLOOKUP(B7,'PRECIO PROVEEDORES'!$A$2:$B$716,2,0)</f>
        <v>192</v>
      </c>
      <c r="E7" s="12">
        <f t="shared" si="0"/>
        <v>768</v>
      </c>
      <c r="G7" s="13" t="s">
        <v>242</v>
      </c>
      <c r="H7" s="10">
        <v>2E-3</v>
      </c>
      <c r="I7" s="11">
        <f>+VLOOKUP(G7,'PRECIO PROVEEDORES'!$A$2:$B$716,2,0)</f>
        <v>6062</v>
      </c>
      <c r="J7" s="12">
        <f t="shared" si="1"/>
        <v>12.124000000000001</v>
      </c>
      <c r="L7" s="13" t="s">
        <v>243</v>
      </c>
      <c r="M7" s="10">
        <v>0.02</v>
      </c>
      <c r="N7" s="94">
        <f>+VLOOKUP(L7,'PRECIO PROVEEDORES'!$A$2:$B$716,2,0)</f>
        <v>17780</v>
      </c>
      <c r="O7" s="12">
        <f t="shared" si="2"/>
        <v>355.6</v>
      </c>
      <c r="Q7" s="105"/>
      <c r="R7" s="106"/>
      <c r="S7" s="87"/>
      <c r="T7" s="37"/>
      <c r="V7" s="2"/>
      <c r="W7" s="2"/>
      <c r="X7" s="87"/>
      <c r="Y7" s="37"/>
      <c r="AA7" s="2"/>
      <c r="AB7" s="2"/>
      <c r="AC7" s="87"/>
      <c r="AD7" s="37"/>
    </row>
    <row r="8" spans="2:30" ht="16" x14ac:dyDescent="0.2">
      <c r="B8" s="13" t="s">
        <v>237</v>
      </c>
      <c r="C8" s="10">
        <v>0.92</v>
      </c>
      <c r="D8" s="11">
        <f>+VLOOKUP(B8,'PRECIO PROVEEDORES'!$A$2:$B$716,2,0)</f>
        <v>1043.22</v>
      </c>
      <c r="E8" s="12">
        <f t="shared" si="0"/>
        <v>959.76240000000007</v>
      </c>
      <c r="G8" s="13" t="s">
        <v>244</v>
      </c>
      <c r="H8" s="10">
        <v>0.03</v>
      </c>
      <c r="I8" s="11">
        <f>+VLOOKUP(G8,'PRECIO PROVEEDORES'!$A$2:$B$716,2,0)</f>
        <v>24829</v>
      </c>
      <c r="J8" s="12">
        <f t="shared" si="1"/>
        <v>744.87</v>
      </c>
      <c r="L8" s="13" t="s">
        <v>49</v>
      </c>
      <c r="M8" s="10">
        <v>0.04</v>
      </c>
      <c r="N8" s="94">
        <f>+VLOOKUP(L8,'PRECIO PROVEEDORES'!$A$2:$B$716,2,0)</f>
        <v>1633</v>
      </c>
      <c r="O8" s="12">
        <f t="shared" si="2"/>
        <v>65.320000000000007</v>
      </c>
      <c r="Q8" s="105"/>
      <c r="R8" s="106"/>
      <c r="S8" s="87"/>
      <c r="T8" s="37"/>
      <c r="V8" s="2"/>
      <c r="W8" s="2"/>
      <c r="X8" s="87"/>
      <c r="Y8" s="37"/>
      <c r="AA8" s="2"/>
      <c r="AB8" s="2"/>
      <c r="AC8" s="87"/>
      <c r="AD8" s="37"/>
    </row>
    <row r="9" spans="2:30" ht="16" x14ac:dyDescent="0.2">
      <c r="B9" s="101" t="s">
        <v>245</v>
      </c>
      <c r="C9" s="10">
        <v>0.01</v>
      </c>
      <c r="D9" s="11">
        <f>+VLOOKUP(B9,'PRECIO PROVEEDORES'!$A$2:$B$716,2,0)</f>
        <v>2517</v>
      </c>
      <c r="E9" s="12">
        <f t="shared" si="0"/>
        <v>25.17</v>
      </c>
      <c r="G9" s="13" t="s">
        <v>210</v>
      </c>
      <c r="H9" s="10">
        <v>0.01</v>
      </c>
      <c r="I9" s="11">
        <f>+VLOOKUP(G9,'PRECIO PROVEEDORES'!$A$2:$B$716,2,0)</f>
        <v>1352</v>
      </c>
      <c r="J9" s="12">
        <f t="shared" si="1"/>
        <v>13.52</v>
      </c>
      <c r="L9" s="13" t="s">
        <v>166</v>
      </c>
      <c r="M9" s="10">
        <v>0.5</v>
      </c>
      <c r="N9" s="94">
        <f>+VLOOKUP(L9,'PRECIO PROVEEDORES'!$A$2:$B$716,2,0)</f>
        <v>1940</v>
      </c>
      <c r="O9" s="12">
        <f t="shared" si="2"/>
        <v>970</v>
      </c>
      <c r="Q9" s="105"/>
      <c r="R9" s="106"/>
      <c r="S9" s="87"/>
      <c r="T9" s="37"/>
      <c r="V9" s="2"/>
      <c r="W9" s="2"/>
      <c r="X9" s="87"/>
      <c r="Y9" s="37"/>
      <c r="AA9" s="2"/>
      <c r="AB9" s="2"/>
      <c r="AC9" s="87"/>
      <c r="AD9" s="37"/>
    </row>
    <row r="10" spans="2:30" ht="16" x14ac:dyDescent="0.2">
      <c r="B10" s="7" t="s">
        <v>246</v>
      </c>
      <c r="C10" s="10">
        <v>1.4E-2</v>
      </c>
      <c r="D10" s="11">
        <f>+VLOOKUP(B10,'PRECIO PROVEEDORES'!$A$2:$B$716,2,0)</f>
        <v>6040</v>
      </c>
      <c r="E10" s="12">
        <f t="shared" si="0"/>
        <v>84.56</v>
      </c>
      <c r="G10" s="13"/>
      <c r="H10" s="10"/>
      <c r="I10" s="11"/>
      <c r="J10" s="12"/>
      <c r="L10" s="13" t="s">
        <v>17</v>
      </c>
      <c r="M10" s="10">
        <v>6</v>
      </c>
      <c r="N10" s="94">
        <f>+VLOOKUP(L10,'PRECIO PROVEEDORES'!$A$2:$B$716,2,0)</f>
        <v>192</v>
      </c>
      <c r="O10" s="12">
        <f t="shared" si="2"/>
        <v>1152</v>
      </c>
      <c r="Q10" s="105"/>
      <c r="R10" s="106"/>
      <c r="S10" s="87"/>
      <c r="T10" s="37"/>
      <c r="V10" s="2"/>
      <c r="W10" s="2"/>
      <c r="X10" s="87"/>
      <c r="Y10" s="37"/>
      <c r="AA10" s="2"/>
      <c r="AB10" s="2"/>
      <c r="AC10" s="87"/>
      <c r="AD10" s="37"/>
    </row>
    <row r="11" spans="2:30" ht="16" x14ac:dyDescent="0.2">
      <c r="B11" s="13" t="s">
        <v>49</v>
      </c>
      <c r="C11" s="36">
        <v>1.4E-2</v>
      </c>
      <c r="D11" s="11">
        <f>+VLOOKUP(B11,'PRECIO PROVEEDORES'!$A$2:$B$716,2,0)</f>
        <v>1633</v>
      </c>
      <c r="E11" s="12">
        <f t="shared" si="0"/>
        <v>22.862000000000002</v>
      </c>
      <c r="G11" s="13"/>
      <c r="H11" s="10"/>
      <c r="I11" s="11"/>
      <c r="J11" s="12"/>
      <c r="L11" s="13" t="s">
        <v>242</v>
      </c>
      <c r="M11" s="10">
        <v>0.06</v>
      </c>
      <c r="N11" s="94">
        <f>+VLOOKUP(L11,'PRECIO PROVEEDORES'!$A$2:$B$716,2,0)</f>
        <v>6062</v>
      </c>
      <c r="O11" s="12">
        <f t="shared" si="2"/>
        <v>363.71999999999997</v>
      </c>
      <c r="Q11" s="105"/>
      <c r="R11" s="106"/>
      <c r="S11" s="87"/>
      <c r="T11" s="37"/>
      <c r="V11" s="2"/>
      <c r="W11" s="2"/>
      <c r="X11" s="87"/>
      <c r="Y11" s="37"/>
      <c r="AA11" s="2"/>
      <c r="AB11" s="2"/>
      <c r="AC11" s="87"/>
      <c r="AD11" s="37"/>
    </row>
    <row r="12" spans="2:30" ht="16" x14ac:dyDescent="0.2">
      <c r="B12" s="107" t="s">
        <v>238</v>
      </c>
      <c r="C12" s="36">
        <v>0.25</v>
      </c>
      <c r="D12" s="11">
        <f>+VLOOKUP(B12,'PRECIO PROVEEDORES'!$A$2:$B$716,2,0)</f>
        <v>36068</v>
      </c>
      <c r="E12" s="12">
        <f t="shared" si="0"/>
        <v>9017</v>
      </c>
      <c r="G12" s="13"/>
      <c r="H12" s="10"/>
      <c r="I12" s="11"/>
      <c r="J12" s="12"/>
      <c r="L12" s="13" t="s">
        <v>247</v>
      </c>
      <c r="M12" s="10">
        <v>0.56999999999999995</v>
      </c>
      <c r="N12" s="94">
        <f>+VLOOKUP(L12,'PRECIO PROVEEDORES'!$A$2:$B$716,2,0)</f>
        <v>12000</v>
      </c>
      <c r="O12" s="12">
        <f t="shared" si="2"/>
        <v>6839.9999999999991</v>
      </c>
      <c r="Q12" s="105"/>
      <c r="R12" s="106"/>
      <c r="S12" s="87"/>
      <c r="T12" s="37"/>
      <c r="V12" s="2"/>
      <c r="W12" s="2"/>
      <c r="X12" s="87"/>
      <c r="Y12" s="37"/>
      <c r="AA12" s="2"/>
      <c r="AB12" s="2"/>
      <c r="AC12" s="87"/>
      <c r="AD12" s="37"/>
    </row>
    <row r="13" spans="2:30" ht="16" x14ac:dyDescent="0.2">
      <c r="B13" s="108" t="s">
        <v>248</v>
      </c>
      <c r="C13" s="36">
        <v>0.25</v>
      </c>
      <c r="D13" s="11">
        <f>+VLOOKUP(B13,'PRECIO PROVEEDORES'!$A$2:$B$716,2,0)</f>
        <v>39988</v>
      </c>
      <c r="E13" s="12">
        <f t="shared" si="0"/>
        <v>9997</v>
      </c>
      <c r="G13" s="19"/>
      <c r="H13" s="7"/>
      <c r="I13" s="11"/>
      <c r="J13" s="12"/>
      <c r="L13" s="71"/>
      <c r="M13" s="66"/>
      <c r="N13" s="69"/>
      <c r="O13" s="70"/>
      <c r="Q13" s="2"/>
      <c r="R13" s="2"/>
      <c r="S13" s="87"/>
      <c r="T13" s="37"/>
      <c r="V13" s="2"/>
      <c r="W13" s="2"/>
      <c r="X13" s="87"/>
      <c r="Y13" s="37"/>
      <c r="AA13" s="2"/>
      <c r="AB13" s="2"/>
      <c r="AC13" s="87"/>
      <c r="AD13" s="37"/>
    </row>
    <row r="14" spans="2:30" ht="16" x14ac:dyDescent="0.2">
      <c r="B14" s="7" t="s">
        <v>249</v>
      </c>
      <c r="C14" s="36">
        <v>0.01</v>
      </c>
      <c r="D14" s="11">
        <f>+VLOOKUP(B14,'PRECIO PROVEEDORES'!$A$2:$B$716,2,0)</f>
        <v>2118</v>
      </c>
      <c r="E14" s="12">
        <f t="shared" si="0"/>
        <v>21.18</v>
      </c>
      <c r="G14" s="19"/>
      <c r="H14" s="7"/>
      <c r="I14" s="11"/>
      <c r="J14" s="12"/>
      <c r="L14" s="71"/>
      <c r="M14" s="66"/>
      <c r="N14" s="69"/>
      <c r="O14" s="70"/>
      <c r="Q14" s="2"/>
      <c r="R14" s="2"/>
      <c r="S14" s="87"/>
      <c r="T14" s="37"/>
      <c r="V14" s="2"/>
      <c r="W14" s="2"/>
      <c r="X14" s="87"/>
      <c r="Y14" s="37"/>
      <c r="AA14" s="2"/>
      <c r="AB14" s="2"/>
      <c r="AC14" s="87"/>
      <c r="AD14" s="37"/>
    </row>
    <row r="15" spans="2:30" x14ac:dyDescent="0.2">
      <c r="B15" s="19"/>
      <c r="C15" s="7"/>
      <c r="D15" s="11"/>
      <c r="E15" s="12"/>
      <c r="G15" s="19"/>
      <c r="H15" s="7"/>
      <c r="I15" s="11"/>
      <c r="J15" s="12"/>
      <c r="L15" s="71"/>
      <c r="M15" s="66"/>
      <c r="N15" s="69"/>
      <c r="O15" s="70"/>
      <c r="Q15" s="2"/>
      <c r="R15" s="2"/>
      <c r="S15" s="87"/>
      <c r="T15" s="37"/>
      <c r="V15" s="2"/>
      <c r="W15" s="2"/>
      <c r="X15" s="87"/>
      <c r="Y15" s="37"/>
      <c r="AA15" s="2"/>
      <c r="AB15" s="2"/>
      <c r="AC15" s="87"/>
      <c r="AD15" s="37"/>
    </row>
    <row r="16" spans="2:30" x14ac:dyDescent="0.2">
      <c r="B16" s="5"/>
      <c r="C16" s="7"/>
      <c r="D16" s="11"/>
      <c r="E16" s="12"/>
      <c r="G16" s="5"/>
      <c r="H16" s="7"/>
      <c r="I16" s="11"/>
      <c r="J16" s="12"/>
      <c r="L16" s="64"/>
      <c r="M16" s="66"/>
      <c r="N16" s="69"/>
      <c r="O16" s="70"/>
      <c r="Q16" s="2"/>
      <c r="R16" s="2"/>
      <c r="S16" s="87"/>
      <c r="T16" s="37"/>
      <c r="V16" s="2"/>
      <c r="W16" s="2"/>
      <c r="X16" s="87"/>
      <c r="Y16" s="37"/>
      <c r="AA16" s="2"/>
      <c r="AB16" s="2"/>
      <c r="AC16" s="87"/>
      <c r="AD16" s="37"/>
    </row>
    <row r="17" spans="1:30" ht="15.75" customHeight="1" x14ac:dyDescent="0.2">
      <c r="B17" s="5"/>
      <c r="C17" s="7"/>
      <c r="D17" s="11"/>
      <c r="E17" s="12"/>
      <c r="G17" s="5"/>
      <c r="H17" s="7"/>
      <c r="I17" s="11"/>
      <c r="J17" s="12"/>
      <c r="L17" s="64"/>
      <c r="M17" s="66"/>
      <c r="N17" s="69"/>
      <c r="O17" s="70"/>
      <c r="Q17" s="2"/>
      <c r="R17" s="2"/>
      <c r="S17" s="87"/>
      <c r="T17" s="37"/>
      <c r="V17" s="2"/>
      <c r="W17" s="2"/>
      <c r="X17" s="87"/>
      <c r="Y17" s="37"/>
      <c r="AA17" s="2"/>
      <c r="AB17" s="2"/>
      <c r="AC17" s="87"/>
      <c r="AD17" s="37"/>
    </row>
    <row r="18" spans="1:30" ht="15.75" customHeight="1" x14ac:dyDescent="0.2">
      <c r="B18" s="5"/>
      <c r="C18" s="7"/>
      <c r="D18" s="11"/>
      <c r="E18" s="12"/>
      <c r="G18" s="5"/>
      <c r="H18" s="7"/>
      <c r="I18" s="11"/>
      <c r="J18" s="12"/>
      <c r="L18" s="64"/>
      <c r="M18" s="66"/>
      <c r="N18" s="69"/>
      <c r="O18" s="70"/>
      <c r="Q18" s="2"/>
      <c r="R18" s="2"/>
      <c r="S18" s="87"/>
      <c r="T18" s="37"/>
      <c r="V18" s="2"/>
      <c r="W18" s="2"/>
      <c r="X18" s="87"/>
      <c r="Y18" s="37"/>
      <c r="AA18" s="2"/>
      <c r="AB18" s="2"/>
      <c r="AC18" s="87"/>
      <c r="AD18" s="37"/>
    </row>
    <row r="19" spans="1:30" ht="15.75" customHeight="1" x14ac:dyDescent="0.2">
      <c r="B19" s="21" t="s">
        <v>52</v>
      </c>
      <c r="C19" s="22"/>
      <c r="D19" s="23"/>
      <c r="E19" s="24">
        <f>SUM(E4:E18)</f>
        <v>28234.142400000001</v>
      </c>
      <c r="G19" s="21" t="s">
        <v>52</v>
      </c>
      <c r="H19" s="22"/>
      <c r="I19" s="23"/>
      <c r="J19" s="24">
        <f>SUM(J4:J18)</f>
        <v>2369.9659999999999</v>
      </c>
      <c r="L19" s="72" t="s">
        <v>52</v>
      </c>
      <c r="M19" s="73"/>
      <c r="N19" s="74"/>
      <c r="O19" s="95">
        <f>SUM(O4:O18)</f>
        <v>12140.436</v>
      </c>
      <c r="Q19" s="88"/>
      <c r="R19" s="88"/>
      <c r="S19" s="89"/>
      <c r="T19" s="89"/>
      <c r="V19" s="88"/>
      <c r="W19" s="88"/>
      <c r="X19" s="89"/>
      <c r="Y19" s="89"/>
      <c r="AA19" s="88"/>
      <c r="AB19" s="88"/>
      <c r="AC19" s="89"/>
      <c r="AD19" s="89"/>
    </row>
    <row r="20" spans="1:30" ht="15.75" customHeight="1" x14ac:dyDescent="0.2">
      <c r="A20" s="2"/>
      <c r="B20" s="19" t="s">
        <v>53</v>
      </c>
      <c r="C20" s="27"/>
      <c r="D20" s="28"/>
      <c r="E20" s="29">
        <f>SUM(E19)</f>
        <v>28234.142400000001</v>
      </c>
      <c r="G20" s="19" t="s">
        <v>53</v>
      </c>
      <c r="H20" s="27"/>
      <c r="I20" s="28"/>
      <c r="J20" s="29">
        <f>SUM(J19)</f>
        <v>2369.9659999999999</v>
      </c>
      <c r="L20" s="76" t="s">
        <v>53</v>
      </c>
      <c r="M20" s="77"/>
      <c r="N20" s="78"/>
      <c r="O20" s="96">
        <f>SUM(O19)</f>
        <v>12140.436</v>
      </c>
      <c r="Q20" s="2"/>
      <c r="R20" s="2"/>
      <c r="S20" s="90"/>
      <c r="T20" s="90"/>
      <c r="V20" s="2"/>
      <c r="W20" s="2"/>
      <c r="X20" s="90"/>
      <c r="Y20" s="90"/>
      <c r="AA20" s="2"/>
      <c r="AB20" s="2"/>
      <c r="AC20" s="90"/>
      <c r="AD20" s="90"/>
    </row>
    <row r="21" spans="1:30" ht="15.75" customHeight="1" x14ac:dyDescent="0.2">
      <c r="A21" s="2"/>
      <c r="B21" s="19" t="s">
        <v>54</v>
      </c>
      <c r="C21" s="27"/>
      <c r="D21" s="28"/>
      <c r="E21" s="29">
        <f>+E20/29</f>
        <v>973.59111724137938</v>
      </c>
      <c r="G21" s="19" t="s">
        <v>54</v>
      </c>
      <c r="H21" s="27"/>
      <c r="I21" s="28"/>
      <c r="J21" s="29">
        <f>+J20</f>
        <v>2369.9659999999999</v>
      </c>
      <c r="L21" s="76" t="s">
        <v>54</v>
      </c>
      <c r="M21" s="77"/>
      <c r="N21" s="78"/>
      <c r="O21" s="96">
        <f>+O20/42</f>
        <v>289.05799999999999</v>
      </c>
      <c r="Q21" s="2"/>
      <c r="R21" s="2"/>
      <c r="S21" s="90"/>
      <c r="T21" s="90"/>
      <c r="V21" s="2"/>
      <c r="W21" s="2"/>
      <c r="X21" s="90"/>
      <c r="Y21" s="90"/>
      <c r="AA21" s="2"/>
      <c r="AB21" s="2"/>
      <c r="AC21" s="90"/>
      <c r="AD21" s="90"/>
    </row>
    <row r="22" spans="1:30" ht="15.75" customHeight="1" x14ac:dyDescent="0.2">
      <c r="A22" s="2"/>
      <c r="B22" s="19" t="s">
        <v>55</v>
      </c>
      <c r="C22" s="27"/>
      <c r="D22" s="31">
        <v>0.3</v>
      </c>
      <c r="E22" s="29"/>
      <c r="G22" s="19" t="s">
        <v>55</v>
      </c>
      <c r="H22" s="27"/>
      <c r="I22" s="31">
        <v>0.3</v>
      </c>
      <c r="J22" s="29"/>
      <c r="L22" s="76" t="s">
        <v>55</v>
      </c>
      <c r="M22" s="77"/>
      <c r="N22" s="80">
        <v>0.3</v>
      </c>
      <c r="O22" s="81"/>
      <c r="Q22" s="2"/>
      <c r="R22" s="2"/>
      <c r="S22" s="91"/>
      <c r="T22" s="90"/>
      <c r="V22" s="2"/>
      <c r="W22" s="2"/>
      <c r="X22" s="91"/>
      <c r="Y22" s="90"/>
      <c r="AA22" s="2"/>
      <c r="AB22" s="2"/>
      <c r="AC22" s="91"/>
      <c r="AD22" s="90"/>
    </row>
    <row r="23" spans="1:30" ht="15.75" customHeight="1" x14ac:dyDescent="0.2">
      <c r="A23" s="2"/>
      <c r="B23" s="19" t="s">
        <v>56</v>
      </c>
      <c r="C23" s="27"/>
      <c r="D23" s="31"/>
      <c r="E23" s="29">
        <f>+E21*3.33333333333333</f>
        <v>3245.3037241379279</v>
      </c>
      <c r="G23" s="19" t="s">
        <v>56</v>
      </c>
      <c r="H23" s="27"/>
      <c r="I23" s="31"/>
      <c r="J23" s="29">
        <f>+J21*3.33333333333333</f>
        <v>7899.8866666666581</v>
      </c>
      <c r="L23" s="76" t="s">
        <v>56</v>
      </c>
      <c r="M23" s="77"/>
      <c r="N23" s="82"/>
      <c r="O23" s="96">
        <f>+O21*3.33333333333333</f>
        <v>963.52666666666562</v>
      </c>
      <c r="Q23" s="2"/>
      <c r="R23" s="2"/>
      <c r="S23" s="91"/>
      <c r="T23" s="90"/>
      <c r="V23" s="2"/>
      <c r="W23" s="2"/>
      <c r="X23" s="91"/>
      <c r="Y23" s="90"/>
      <c r="AA23" s="2"/>
      <c r="AB23" s="2"/>
      <c r="AC23" s="91"/>
      <c r="AD23" s="90"/>
    </row>
    <row r="24" spans="1:30" ht="15.75" customHeight="1" x14ac:dyDescent="0.2">
      <c r="A24" s="2"/>
      <c r="B24" s="76" t="s">
        <v>250</v>
      </c>
      <c r="C24" s="27"/>
      <c r="D24" s="27"/>
      <c r="E24" s="29">
        <v>2140</v>
      </c>
      <c r="G24" s="19" t="s">
        <v>57</v>
      </c>
      <c r="H24" s="27"/>
      <c r="I24" s="27"/>
      <c r="J24" s="29">
        <v>6800</v>
      </c>
      <c r="L24" s="76"/>
      <c r="M24" s="77"/>
      <c r="N24" s="77"/>
      <c r="O24" s="96">
        <v>1200</v>
      </c>
      <c r="Q24" s="2"/>
      <c r="R24" s="2"/>
      <c r="S24" s="2"/>
      <c r="T24" s="90"/>
      <c r="V24" s="2"/>
      <c r="W24" s="2"/>
      <c r="X24" s="2"/>
      <c r="Y24" s="90"/>
      <c r="AA24" s="2"/>
      <c r="AB24" s="2"/>
      <c r="AC24" s="2"/>
      <c r="AD24" s="90"/>
    </row>
    <row r="25" spans="1:30" ht="15.75" customHeight="1" x14ac:dyDescent="0.2">
      <c r="A25" s="2"/>
      <c r="B25" s="19"/>
      <c r="C25" s="27"/>
      <c r="D25" s="28"/>
      <c r="E25" s="24">
        <f>+E24-E23</f>
        <v>-1105.3037241379279</v>
      </c>
      <c r="G25" s="19"/>
      <c r="H25" s="27"/>
      <c r="I25" s="28"/>
      <c r="J25" s="24">
        <f>+J24-J23</f>
        <v>-1099.8866666666581</v>
      </c>
      <c r="L25" s="71"/>
      <c r="M25" s="77"/>
      <c r="N25" s="78"/>
      <c r="O25" s="95">
        <f>+O24-O23</f>
        <v>236.47333333333438</v>
      </c>
      <c r="Q25" s="2"/>
      <c r="R25" s="2"/>
      <c r="S25" s="2"/>
      <c r="T25" s="90"/>
      <c r="V25" s="2"/>
      <c r="W25" s="2"/>
      <c r="X25" s="2"/>
      <c r="Y25" s="90"/>
      <c r="AA25" s="2"/>
      <c r="AB25" s="2"/>
      <c r="AC25" s="2"/>
      <c r="AD25" s="90"/>
    </row>
    <row r="26" spans="1:30" ht="15.75" customHeight="1" x14ac:dyDescent="0.2">
      <c r="A26" s="2"/>
      <c r="B26" s="32" t="s">
        <v>58</v>
      </c>
      <c r="C26" s="33"/>
      <c r="D26" s="33"/>
      <c r="E26" s="34">
        <f>E21/E24</f>
        <v>0.45494912020625206</v>
      </c>
      <c r="G26" s="32" t="s">
        <v>58</v>
      </c>
      <c r="H26" s="33"/>
      <c r="I26" s="33"/>
      <c r="J26" s="34">
        <f>J21/J24</f>
        <v>0.34852441176470589</v>
      </c>
      <c r="L26" s="32" t="s">
        <v>58</v>
      </c>
      <c r="M26" s="83"/>
      <c r="N26" s="97"/>
      <c r="O26" s="98">
        <f>O21/O24</f>
        <v>0.24088166666666666</v>
      </c>
      <c r="Q26" s="2"/>
      <c r="R26" s="2"/>
      <c r="S26" s="90"/>
      <c r="T26" s="89"/>
      <c r="V26" s="2"/>
      <c r="W26" s="2"/>
      <c r="X26" s="90"/>
      <c r="Y26" s="89"/>
      <c r="AA26" s="2"/>
      <c r="AB26" s="2"/>
      <c r="AC26" s="90"/>
      <c r="AD26" s="89"/>
    </row>
    <row r="27" spans="1:30" ht="15.75" customHeight="1" x14ac:dyDescent="0.2">
      <c r="B27" s="2"/>
      <c r="C27" s="2"/>
      <c r="D27" s="2"/>
      <c r="E27" s="91"/>
      <c r="G27" s="2"/>
      <c r="H27" s="2"/>
      <c r="I27" s="2"/>
      <c r="J27" s="91"/>
      <c r="L27" s="2"/>
      <c r="M27" s="2"/>
      <c r="N27" s="2"/>
      <c r="O27" s="91"/>
      <c r="Q27" s="2"/>
      <c r="R27" s="2"/>
      <c r="S27" s="2"/>
      <c r="T27" s="91"/>
      <c r="V27" s="2"/>
      <c r="W27" s="2"/>
      <c r="X27" s="2"/>
      <c r="Y27" s="91"/>
      <c r="AA27" s="2"/>
      <c r="AB27" s="2"/>
      <c r="AC27" s="2"/>
      <c r="AD27" s="91"/>
    </row>
    <row r="28" spans="1:30" ht="15.75" customHeight="1" x14ac:dyDescent="0.15"/>
    <row r="29" spans="1:30" ht="15.75" customHeight="1" x14ac:dyDescent="0.2">
      <c r="B29" s="218" t="s">
        <v>251</v>
      </c>
      <c r="C29" s="213"/>
      <c r="D29" s="213"/>
      <c r="E29" s="214"/>
      <c r="G29" s="218" t="s">
        <v>252</v>
      </c>
      <c r="H29" s="213"/>
      <c r="I29" s="213"/>
      <c r="J29" s="214"/>
      <c r="L29" s="218" t="s">
        <v>253</v>
      </c>
      <c r="M29" s="213"/>
      <c r="N29" s="213"/>
      <c r="O29" s="214"/>
    </row>
    <row r="30" spans="1:30" ht="15.75" customHeight="1" x14ac:dyDescent="0.2">
      <c r="B30" s="64"/>
      <c r="C30" s="65" t="s">
        <v>8</v>
      </c>
      <c r="D30" s="7" t="s">
        <v>9</v>
      </c>
      <c r="E30" s="8" t="s">
        <v>10</v>
      </c>
      <c r="G30" s="64"/>
      <c r="H30" s="65" t="s">
        <v>8</v>
      </c>
      <c r="I30" s="7" t="s">
        <v>9</v>
      </c>
      <c r="J30" s="8" t="s">
        <v>10</v>
      </c>
      <c r="L30" s="64"/>
      <c r="M30" s="65" t="s">
        <v>8</v>
      </c>
      <c r="N30" s="7" t="s">
        <v>9</v>
      </c>
      <c r="O30" s="8" t="s">
        <v>10</v>
      </c>
      <c r="Q30" s="221"/>
      <c r="R30" s="220"/>
      <c r="S30" s="220"/>
      <c r="T30" s="220"/>
      <c r="V30" s="219"/>
      <c r="W30" s="220"/>
      <c r="X30" s="220"/>
      <c r="Y30" s="220"/>
      <c r="AA30" s="219"/>
      <c r="AB30" s="220"/>
      <c r="AC30" s="220"/>
      <c r="AD30" s="220"/>
    </row>
    <row r="31" spans="1:30" ht="15.75" customHeight="1" x14ac:dyDescent="0.2">
      <c r="B31" s="13" t="s">
        <v>237</v>
      </c>
      <c r="C31" s="10">
        <v>2</v>
      </c>
      <c r="D31" s="94">
        <f>+VLOOKUP(B31,'PRECIO PROVEEDORES'!$A$2:$B$716,2,0)</f>
        <v>1043.22</v>
      </c>
      <c r="E31" s="12">
        <f t="shared" ref="E31:E37" si="3">+C31*D31</f>
        <v>2086.44</v>
      </c>
      <c r="G31" s="13" t="s">
        <v>247</v>
      </c>
      <c r="H31" s="10">
        <v>0.32</v>
      </c>
      <c r="I31" s="94">
        <f>+VLOOKUP(G31,'PRECIO PROVEEDORES'!$A$2:$B$716,2,0)</f>
        <v>12000</v>
      </c>
      <c r="J31" s="12">
        <f t="shared" ref="J31:J38" si="4">+H31*I31</f>
        <v>3840</v>
      </c>
      <c r="L31" s="13" t="s">
        <v>254</v>
      </c>
      <c r="M31" s="10">
        <v>0.26500000000000001</v>
      </c>
      <c r="N31" s="94">
        <f>+VLOOKUP(L31,'PRECIO PROVEEDORES'!$A$2:$B$716,2,0)</f>
        <v>5400</v>
      </c>
      <c r="O31" s="12">
        <f t="shared" ref="O31:O44" si="5">+M31*N31</f>
        <v>1431</v>
      </c>
      <c r="Q31" s="2"/>
      <c r="R31" s="86"/>
      <c r="S31" s="2"/>
      <c r="T31" s="2"/>
      <c r="V31" s="2"/>
      <c r="W31" s="86"/>
      <c r="X31" s="2"/>
      <c r="Y31" s="2"/>
      <c r="AA31" s="2"/>
      <c r="AB31" s="86"/>
      <c r="AC31" s="2"/>
      <c r="AD31" s="2"/>
    </row>
    <row r="32" spans="1:30" ht="15.75" customHeight="1" x14ac:dyDescent="0.2">
      <c r="B32" s="13" t="s">
        <v>239</v>
      </c>
      <c r="C32" s="10">
        <v>0.5</v>
      </c>
      <c r="D32" s="94">
        <f>+VLOOKUP(B32,'PRECIO PROVEEDORES'!$A$2:$B$716,2,0)</f>
        <v>890</v>
      </c>
      <c r="E32" s="12">
        <f t="shared" si="3"/>
        <v>445</v>
      </c>
      <c r="G32" s="13" t="s">
        <v>210</v>
      </c>
      <c r="H32" s="10">
        <v>0.4</v>
      </c>
      <c r="I32" s="94">
        <f>+VLOOKUP(G32,'PRECIO PROVEEDORES'!$A$2:$B$716,2,0)</f>
        <v>1352</v>
      </c>
      <c r="J32" s="12">
        <f t="shared" si="4"/>
        <v>540.80000000000007</v>
      </c>
      <c r="L32" s="13" t="s">
        <v>173</v>
      </c>
      <c r="M32" s="10">
        <v>0.88</v>
      </c>
      <c r="N32" s="94">
        <f>+VLOOKUP(L32,'PRECIO PROVEEDORES'!$A$2:$B$716,2,0)</f>
        <v>12675</v>
      </c>
      <c r="O32" s="12">
        <f t="shared" si="5"/>
        <v>11154</v>
      </c>
      <c r="Q32" s="105"/>
      <c r="R32" s="106"/>
      <c r="S32" s="87"/>
      <c r="T32" s="37"/>
      <c r="V32" s="2"/>
      <c r="W32" s="2"/>
      <c r="X32" s="87"/>
      <c r="Y32" s="37"/>
      <c r="AA32" s="2"/>
      <c r="AB32" s="2"/>
      <c r="AC32" s="87"/>
      <c r="AD32" s="37"/>
    </row>
    <row r="33" spans="2:30" ht="15.75" customHeight="1" x14ac:dyDescent="0.2">
      <c r="B33" s="13" t="s">
        <v>210</v>
      </c>
      <c r="C33" s="10">
        <v>0.25</v>
      </c>
      <c r="D33" s="94">
        <f>+VLOOKUP(B33,'PRECIO PROVEEDORES'!$A$2:$B$716,2,0)</f>
        <v>1352</v>
      </c>
      <c r="E33" s="12">
        <f t="shared" si="3"/>
        <v>338</v>
      </c>
      <c r="G33" s="13" t="s">
        <v>17</v>
      </c>
      <c r="H33" s="10">
        <v>2</v>
      </c>
      <c r="I33" s="94">
        <f>+VLOOKUP(G33,'PRECIO PROVEEDORES'!$A$2:$B$716,2,0)</f>
        <v>192</v>
      </c>
      <c r="J33" s="12">
        <f t="shared" si="4"/>
        <v>384</v>
      </c>
      <c r="L33" s="13" t="s">
        <v>17</v>
      </c>
      <c r="M33" s="10">
        <v>6</v>
      </c>
      <c r="N33" s="94">
        <f>+VLOOKUP(L33,'PRECIO PROVEEDORES'!$A$2:$B$716,2,0)</f>
        <v>192</v>
      </c>
      <c r="O33" s="12">
        <f t="shared" si="5"/>
        <v>1152</v>
      </c>
      <c r="Q33" s="105"/>
      <c r="R33" s="106"/>
      <c r="S33" s="87"/>
      <c r="T33" s="37"/>
      <c r="V33" s="2"/>
      <c r="W33" s="2"/>
      <c r="X33" s="87"/>
      <c r="Y33" s="37"/>
      <c r="AA33" s="2"/>
      <c r="AB33" s="2"/>
      <c r="AC33" s="87"/>
      <c r="AD33" s="37"/>
    </row>
    <row r="34" spans="2:30" ht="15.75" customHeight="1" x14ac:dyDescent="0.2">
      <c r="B34" s="13" t="s">
        <v>243</v>
      </c>
      <c r="C34" s="10">
        <v>1.6E-2</v>
      </c>
      <c r="D34" s="94">
        <f>+VLOOKUP(B34,'PRECIO PROVEEDORES'!$A$2:$B$716,2,0)</f>
        <v>17780</v>
      </c>
      <c r="E34" s="12">
        <f t="shared" si="3"/>
        <v>284.48</v>
      </c>
      <c r="G34" s="13" t="s">
        <v>237</v>
      </c>
      <c r="H34" s="10">
        <v>0.53500000000000003</v>
      </c>
      <c r="I34" s="94">
        <f>+VLOOKUP(G34,'PRECIO PROVEEDORES'!$A$2:$B$716,2,0)</f>
        <v>1043.22</v>
      </c>
      <c r="J34" s="12">
        <f t="shared" si="4"/>
        <v>558.12270000000001</v>
      </c>
      <c r="L34" s="13" t="s">
        <v>239</v>
      </c>
      <c r="M34" s="10">
        <v>0.18</v>
      </c>
      <c r="N34" s="94">
        <f>+VLOOKUP(L34,'PRECIO PROVEEDORES'!$A$2:$B$716,2,0)</f>
        <v>890</v>
      </c>
      <c r="O34" s="12">
        <f t="shared" si="5"/>
        <v>160.19999999999999</v>
      </c>
      <c r="Q34" s="105"/>
      <c r="R34" s="106"/>
      <c r="S34" s="87"/>
      <c r="T34" s="37"/>
      <c r="V34" s="2"/>
      <c r="W34" s="2"/>
      <c r="X34" s="87"/>
      <c r="Y34" s="37"/>
      <c r="AA34" s="2"/>
      <c r="AB34" s="2"/>
      <c r="AC34" s="87"/>
      <c r="AD34" s="37"/>
    </row>
    <row r="35" spans="2:30" ht="15.75" customHeight="1" x14ac:dyDescent="0.2">
      <c r="B35" s="13" t="s">
        <v>17</v>
      </c>
      <c r="C35" s="10">
        <v>3</v>
      </c>
      <c r="D35" s="94">
        <f>+VLOOKUP(B35,'PRECIO PROVEEDORES'!$A$2:$B$716,2,0)</f>
        <v>192</v>
      </c>
      <c r="E35" s="12">
        <f t="shared" si="3"/>
        <v>576</v>
      </c>
      <c r="G35" s="7" t="s">
        <v>246</v>
      </c>
      <c r="H35" s="10">
        <v>0.01</v>
      </c>
      <c r="I35" s="94">
        <f>+VLOOKUP(G35,'PRECIO PROVEEDORES'!$A$2:$B$716,2,0)</f>
        <v>6040</v>
      </c>
      <c r="J35" s="12">
        <f t="shared" si="4"/>
        <v>60.4</v>
      </c>
      <c r="L35" s="13" t="s">
        <v>255</v>
      </c>
      <c r="M35" s="10">
        <v>1E-3</v>
      </c>
      <c r="N35" s="94">
        <f>+VLOOKUP(L35,'PRECIO PROVEEDORES'!$A$2:$B$716,2,0)</f>
        <v>10061.64</v>
      </c>
      <c r="O35" s="12">
        <f t="shared" si="5"/>
        <v>10.061639999999999</v>
      </c>
      <c r="Q35" s="105"/>
      <c r="R35" s="106"/>
      <c r="S35" s="87"/>
      <c r="T35" s="37"/>
      <c r="V35" s="2"/>
      <c r="W35" s="2"/>
      <c r="X35" s="87"/>
      <c r="Y35" s="37"/>
      <c r="AA35" s="2"/>
      <c r="AB35" s="2"/>
      <c r="AC35" s="87"/>
      <c r="AD35" s="37"/>
    </row>
    <row r="36" spans="2:30" ht="15.75" customHeight="1" x14ac:dyDescent="0.2">
      <c r="B36" s="13" t="s">
        <v>247</v>
      </c>
      <c r="C36" s="10">
        <v>0.7</v>
      </c>
      <c r="D36" s="94">
        <f>+VLOOKUP(B36,'PRECIO PROVEEDORES'!$A$2:$B$716,2,0)</f>
        <v>12000</v>
      </c>
      <c r="E36" s="12">
        <f t="shared" si="3"/>
        <v>8400</v>
      </c>
      <c r="G36" s="7" t="s">
        <v>249</v>
      </c>
      <c r="H36" s="10">
        <v>0.01</v>
      </c>
      <c r="I36" s="94">
        <f>+VLOOKUP(G36,'PRECIO PROVEEDORES'!$A$2:$B$716,2,0)</f>
        <v>2118</v>
      </c>
      <c r="J36" s="12">
        <f t="shared" si="4"/>
        <v>21.18</v>
      </c>
      <c r="L36" s="13" t="s">
        <v>210</v>
      </c>
      <c r="M36" s="10">
        <v>0.152</v>
      </c>
      <c r="N36" s="94">
        <f>+VLOOKUP(L36,'PRECIO PROVEEDORES'!$A$2:$B$716,2,0)</f>
        <v>1352</v>
      </c>
      <c r="O36" s="12">
        <f t="shared" si="5"/>
        <v>205.50399999999999</v>
      </c>
      <c r="Q36" s="105"/>
      <c r="R36" s="106"/>
      <c r="S36" s="87"/>
      <c r="T36" s="37"/>
      <c r="V36" s="2"/>
      <c r="W36" s="2"/>
      <c r="X36" s="87"/>
      <c r="Y36" s="37"/>
      <c r="AA36" s="2"/>
      <c r="AB36" s="2"/>
      <c r="AC36" s="87"/>
      <c r="AD36" s="37"/>
    </row>
    <row r="37" spans="2:30" ht="15.75" customHeight="1" x14ac:dyDescent="0.2">
      <c r="B37" s="66" t="s">
        <v>49</v>
      </c>
      <c r="C37" s="103">
        <v>4.3999999999999997E-2</v>
      </c>
      <c r="D37" s="94">
        <f>+VLOOKUP(B37,'PRECIO PROVEEDORES'!$A$2:$B$716,2,0)</f>
        <v>1633</v>
      </c>
      <c r="E37" s="12">
        <f t="shared" si="3"/>
        <v>71.85199999999999</v>
      </c>
      <c r="G37" s="108" t="s">
        <v>256</v>
      </c>
      <c r="H37" s="10">
        <v>0.2</v>
      </c>
      <c r="I37" s="94">
        <f>+VLOOKUP(G37,'PRECIO PROVEEDORES'!$A$2:$B$716,2,0)</f>
        <v>34892</v>
      </c>
      <c r="J37" s="12">
        <f t="shared" si="4"/>
        <v>6978.4000000000005</v>
      </c>
      <c r="L37" s="13" t="s">
        <v>245</v>
      </c>
      <c r="M37" s="10">
        <v>3.0000000000000001E-3</v>
      </c>
      <c r="N37" s="94">
        <f>+VLOOKUP(L37,'PRECIO PROVEEDORES'!$A$2:$B$716,2,0)</f>
        <v>2517</v>
      </c>
      <c r="O37" s="12">
        <f t="shared" si="5"/>
        <v>7.5510000000000002</v>
      </c>
      <c r="Q37" s="2"/>
      <c r="R37" s="2"/>
      <c r="S37" s="87"/>
      <c r="T37" s="37"/>
      <c r="V37" s="2"/>
      <c r="W37" s="2"/>
      <c r="X37" s="87"/>
      <c r="Y37" s="37"/>
      <c r="AA37" s="2"/>
      <c r="AB37" s="2"/>
      <c r="AC37" s="87"/>
      <c r="AD37" s="37"/>
    </row>
    <row r="38" spans="2:30" ht="15.75" customHeight="1" x14ac:dyDescent="0.2">
      <c r="B38" s="64"/>
      <c r="C38" s="66"/>
      <c r="D38" s="69"/>
      <c r="E38" s="70"/>
      <c r="G38" s="109" t="s">
        <v>244</v>
      </c>
      <c r="H38" s="10">
        <v>0.12</v>
      </c>
      <c r="I38" s="94">
        <f>+VLOOKUP(G38,'PRECIO PROVEEDORES'!$A$2:$B$716,2,0)</f>
        <v>24829</v>
      </c>
      <c r="J38" s="12">
        <f t="shared" si="4"/>
        <v>2979.48</v>
      </c>
      <c r="L38" s="13" t="s">
        <v>49</v>
      </c>
      <c r="M38" s="10">
        <v>1E-3</v>
      </c>
      <c r="N38" s="94">
        <f>+VLOOKUP(L38,'PRECIO PROVEEDORES'!$A$2:$B$716,2,0)</f>
        <v>1633</v>
      </c>
      <c r="O38" s="12">
        <f t="shared" si="5"/>
        <v>1.633</v>
      </c>
      <c r="Q38" s="2"/>
      <c r="R38" s="2"/>
      <c r="S38" s="87"/>
      <c r="T38" s="37"/>
      <c r="V38" s="2"/>
      <c r="W38" s="2"/>
      <c r="X38" s="87"/>
      <c r="Y38" s="37"/>
      <c r="AA38" s="2"/>
      <c r="AB38" s="2"/>
      <c r="AC38" s="87"/>
      <c r="AD38" s="37"/>
    </row>
    <row r="39" spans="2:30" ht="15.75" customHeight="1" x14ac:dyDescent="0.2">
      <c r="B39" s="71" t="s">
        <v>257</v>
      </c>
      <c r="C39" s="66"/>
      <c r="D39" s="69"/>
      <c r="E39" s="70"/>
      <c r="G39" s="71"/>
      <c r="H39" s="66"/>
      <c r="I39" s="69"/>
      <c r="J39" s="70"/>
      <c r="L39" s="13" t="s">
        <v>247</v>
      </c>
      <c r="M39" s="10">
        <v>0.16700000000000001</v>
      </c>
      <c r="N39" s="94">
        <f>+VLOOKUP(L39,'PRECIO PROVEEDORES'!$A$2:$B$716,2,0)</f>
        <v>12000</v>
      </c>
      <c r="O39" s="12">
        <f t="shared" si="5"/>
        <v>2004.0000000000002</v>
      </c>
      <c r="Q39" s="2"/>
      <c r="R39" s="2"/>
      <c r="S39" s="87"/>
      <c r="T39" s="37"/>
      <c r="V39" s="2"/>
      <c r="W39" s="2"/>
      <c r="X39" s="87"/>
      <c r="Y39" s="37"/>
      <c r="AA39" s="2"/>
      <c r="AB39" s="2"/>
      <c r="AC39" s="87"/>
      <c r="AD39" s="37"/>
    </row>
    <row r="40" spans="2:30" ht="15.75" customHeight="1" x14ac:dyDescent="0.2">
      <c r="B40" s="71"/>
      <c r="C40" s="66"/>
      <c r="D40" s="69"/>
      <c r="E40" s="70"/>
      <c r="G40" s="71"/>
      <c r="H40" s="66"/>
      <c r="I40" s="69"/>
      <c r="J40" s="70"/>
      <c r="L40" s="13" t="s">
        <v>166</v>
      </c>
      <c r="M40" s="10">
        <v>6.7000000000000004E-2</v>
      </c>
      <c r="N40" s="94">
        <f>+VLOOKUP(L40,'PRECIO PROVEEDORES'!$A$2:$B$716,2,0)</f>
        <v>1940</v>
      </c>
      <c r="O40" s="12">
        <f t="shared" si="5"/>
        <v>129.98000000000002</v>
      </c>
      <c r="Q40" s="2"/>
      <c r="R40" s="2"/>
      <c r="S40" s="87"/>
      <c r="T40" s="37"/>
      <c r="V40" s="2"/>
      <c r="W40" s="2"/>
      <c r="X40" s="87"/>
      <c r="Y40" s="37"/>
      <c r="AA40" s="2"/>
      <c r="AB40" s="2"/>
      <c r="AC40" s="87"/>
      <c r="AD40" s="37"/>
    </row>
    <row r="41" spans="2:30" ht="15.75" customHeight="1" x14ac:dyDescent="0.2">
      <c r="B41" s="71"/>
      <c r="C41" s="66"/>
      <c r="D41" s="69"/>
      <c r="E41" s="70"/>
      <c r="G41" s="71"/>
      <c r="H41" s="66"/>
      <c r="I41" s="69"/>
      <c r="J41" s="70"/>
      <c r="L41" s="13" t="s">
        <v>242</v>
      </c>
      <c r="M41" s="10">
        <v>1.7000000000000001E-2</v>
      </c>
      <c r="N41" s="94">
        <f>+VLOOKUP(L41,'PRECIO PROVEEDORES'!$A$2:$B$716,2,0)</f>
        <v>6062</v>
      </c>
      <c r="O41" s="12">
        <f t="shared" si="5"/>
        <v>103.054</v>
      </c>
      <c r="Q41" s="2"/>
      <c r="R41" s="2"/>
      <c r="S41" s="87"/>
      <c r="T41" s="37"/>
      <c r="V41" s="2"/>
      <c r="W41" s="2"/>
      <c r="X41" s="87"/>
      <c r="Y41" s="37"/>
      <c r="AA41" s="2"/>
      <c r="AB41" s="2"/>
      <c r="AC41" s="87"/>
      <c r="AD41" s="37"/>
    </row>
    <row r="42" spans="2:30" ht="15.75" customHeight="1" x14ac:dyDescent="0.2">
      <c r="B42" s="71"/>
      <c r="C42" s="66"/>
      <c r="D42" s="69"/>
      <c r="E42" s="70"/>
      <c r="G42" s="71"/>
      <c r="H42" s="66"/>
      <c r="I42" s="69"/>
      <c r="J42" s="70"/>
      <c r="L42" s="7" t="s">
        <v>258</v>
      </c>
      <c r="M42" s="10">
        <v>0.12</v>
      </c>
      <c r="N42" s="94">
        <f>+VLOOKUP(L42,'PRECIO PROVEEDORES'!$A$2:$B$716,2,0)</f>
        <v>10203</v>
      </c>
      <c r="O42" s="12">
        <f t="shared" si="5"/>
        <v>1224.3599999999999</v>
      </c>
      <c r="Q42" s="2"/>
      <c r="R42" s="2"/>
      <c r="S42" s="87"/>
      <c r="T42" s="37"/>
      <c r="V42" s="2"/>
      <c r="W42" s="2"/>
      <c r="X42" s="87"/>
      <c r="Y42" s="37"/>
      <c r="AA42" s="2"/>
      <c r="AB42" s="2"/>
      <c r="AC42" s="87"/>
      <c r="AD42" s="37"/>
    </row>
    <row r="43" spans="2:30" ht="15.75" customHeight="1" x14ac:dyDescent="0.2">
      <c r="B43" s="64"/>
      <c r="C43" s="66"/>
      <c r="D43" s="69"/>
      <c r="E43" s="70"/>
      <c r="G43" s="64"/>
      <c r="H43" s="66"/>
      <c r="I43" s="69"/>
      <c r="J43" s="70"/>
      <c r="L43" s="13" t="s">
        <v>259</v>
      </c>
      <c r="M43" s="10">
        <v>0.01</v>
      </c>
      <c r="N43" s="94">
        <f>+VLOOKUP(L43,'PRECIO PROVEEDORES'!$A$2:$B$716,2,0)</f>
        <v>25872</v>
      </c>
      <c r="O43" s="12">
        <f t="shared" si="5"/>
        <v>258.72000000000003</v>
      </c>
      <c r="Q43" s="2"/>
      <c r="R43" s="2"/>
      <c r="S43" s="87"/>
      <c r="T43" s="37"/>
      <c r="V43" s="2"/>
      <c r="W43" s="2"/>
      <c r="X43" s="87"/>
      <c r="Y43" s="37"/>
      <c r="AA43" s="2"/>
      <c r="AB43" s="2"/>
      <c r="AC43" s="87"/>
      <c r="AD43" s="37"/>
    </row>
    <row r="44" spans="2:30" ht="15.75" customHeight="1" x14ac:dyDescent="0.2">
      <c r="B44" s="64"/>
      <c r="C44" s="66"/>
      <c r="D44" s="69"/>
      <c r="E44" s="70"/>
      <c r="G44" s="64"/>
      <c r="H44" s="66"/>
      <c r="I44" s="69"/>
      <c r="J44" s="70"/>
      <c r="L44" s="108" t="s">
        <v>256</v>
      </c>
      <c r="M44" s="10">
        <v>0.01</v>
      </c>
      <c r="N44" s="94">
        <f>+VLOOKUP(L44,'PRECIO PROVEEDORES'!$A$2:$B$716,2,0)</f>
        <v>34892</v>
      </c>
      <c r="O44" s="12">
        <f t="shared" si="5"/>
        <v>348.92</v>
      </c>
      <c r="Q44" s="2"/>
      <c r="R44" s="2"/>
      <c r="S44" s="87"/>
      <c r="T44" s="37"/>
      <c r="V44" s="2"/>
      <c r="W44" s="2"/>
      <c r="X44" s="87"/>
      <c r="Y44" s="37"/>
      <c r="AA44" s="2"/>
      <c r="AB44" s="2"/>
      <c r="AC44" s="87"/>
      <c r="AD44" s="37"/>
    </row>
    <row r="45" spans="2:30" ht="15.75" customHeight="1" x14ac:dyDescent="0.2">
      <c r="B45" s="64"/>
      <c r="C45" s="66"/>
      <c r="D45" s="69"/>
      <c r="E45" s="70"/>
      <c r="G45" s="64"/>
      <c r="H45" s="66"/>
      <c r="I45" s="69"/>
      <c r="J45" s="70"/>
      <c r="L45" s="64"/>
      <c r="M45" s="66"/>
      <c r="N45" s="69"/>
      <c r="O45" s="70"/>
      <c r="Q45" s="2"/>
      <c r="R45" s="2"/>
      <c r="S45" s="87"/>
      <c r="T45" s="37"/>
      <c r="V45" s="2"/>
      <c r="W45" s="2"/>
      <c r="X45" s="87"/>
      <c r="Y45" s="37"/>
      <c r="AA45" s="2"/>
      <c r="AB45" s="2"/>
      <c r="AC45" s="87"/>
      <c r="AD45" s="37"/>
    </row>
    <row r="46" spans="2:30" ht="15.75" customHeight="1" x14ac:dyDescent="0.2">
      <c r="B46" s="72" t="s">
        <v>52</v>
      </c>
      <c r="C46" s="73"/>
      <c r="D46" s="74"/>
      <c r="E46" s="95">
        <f>SUM(E31:E45)</f>
        <v>12201.772000000001</v>
      </c>
      <c r="G46" s="72" t="s">
        <v>52</v>
      </c>
      <c r="H46" s="73"/>
      <c r="I46" s="74"/>
      <c r="J46" s="95">
        <f>SUM(J31:J45)</f>
        <v>15362.3827</v>
      </c>
      <c r="L46" s="72" t="s">
        <v>52</v>
      </c>
      <c r="M46" s="73"/>
      <c r="N46" s="74"/>
      <c r="O46" s="95">
        <f>SUM(O31:O45)</f>
        <v>18190.983639999999</v>
      </c>
      <c r="Q46" s="2"/>
      <c r="R46" s="2"/>
      <c r="S46" s="87"/>
      <c r="T46" s="37"/>
      <c r="V46" s="2"/>
      <c r="W46" s="2"/>
      <c r="X46" s="87"/>
      <c r="Y46" s="37"/>
      <c r="AA46" s="2"/>
      <c r="AB46" s="2"/>
      <c r="AC46" s="87"/>
      <c r="AD46" s="37"/>
    </row>
    <row r="47" spans="2:30" ht="15.75" customHeight="1" x14ac:dyDescent="0.2">
      <c r="B47" s="76" t="s">
        <v>53</v>
      </c>
      <c r="C47" s="77"/>
      <c r="D47" s="78"/>
      <c r="E47" s="96">
        <f>SUM(E46)</f>
        <v>12201.772000000001</v>
      </c>
      <c r="G47" s="76" t="s">
        <v>53</v>
      </c>
      <c r="H47" s="77"/>
      <c r="I47" s="78"/>
      <c r="J47" s="96">
        <f>SUM(J46)</f>
        <v>15362.3827</v>
      </c>
      <c r="L47" s="76" t="s">
        <v>53</v>
      </c>
      <c r="M47" s="77"/>
      <c r="N47" s="78"/>
      <c r="O47" s="96">
        <f>SUM(O46)</f>
        <v>18190.983639999999</v>
      </c>
      <c r="Q47" s="88"/>
      <c r="R47" s="88"/>
      <c r="S47" s="89"/>
      <c r="T47" s="89"/>
      <c r="V47" s="88"/>
      <c r="W47" s="88"/>
      <c r="X47" s="89"/>
      <c r="Y47" s="89"/>
      <c r="AA47" s="88"/>
      <c r="AB47" s="88"/>
      <c r="AC47" s="89"/>
      <c r="AD47" s="89"/>
    </row>
    <row r="48" spans="2:30" ht="15.75" customHeight="1" x14ac:dyDescent="0.2">
      <c r="B48" s="76" t="s">
        <v>54</v>
      </c>
      <c r="C48" s="77"/>
      <c r="D48" s="78"/>
      <c r="E48" s="96">
        <f>+E47/28</f>
        <v>435.77757142857143</v>
      </c>
      <c r="G48" s="76" t="s">
        <v>54</v>
      </c>
      <c r="H48" s="77"/>
      <c r="I48" s="78"/>
      <c r="J48" s="96">
        <f>+J47/16</f>
        <v>960.14891875000001</v>
      </c>
      <c r="L48" s="76" t="s">
        <v>54</v>
      </c>
      <c r="M48" s="77"/>
      <c r="N48" s="78"/>
      <c r="O48" s="96">
        <f>+O47/8</f>
        <v>2273.8729549999998</v>
      </c>
      <c r="Q48" s="2"/>
      <c r="R48" s="2"/>
      <c r="S48" s="90"/>
      <c r="T48" s="90"/>
      <c r="V48" s="2"/>
      <c r="W48" s="2"/>
      <c r="X48" s="90"/>
      <c r="Y48" s="90"/>
      <c r="AA48" s="2"/>
      <c r="AB48" s="2"/>
      <c r="AC48" s="90"/>
      <c r="AD48" s="90"/>
    </row>
    <row r="49" spans="2:30" ht="15.75" customHeight="1" x14ac:dyDescent="0.2">
      <c r="B49" s="76" t="s">
        <v>55</v>
      </c>
      <c r="C49" s="77"/>
      <c r="D49" s="80">
        <v>0.3</v>
      </c>
      <c r="E49" s="81"/>
      <c r="G49" s="76" t="s">
        <v>55</v>
      </c>
      <c r="H49" s="77"/>
      <c r="I49" s="80">
        <v>0.3</v>
      </c>
      <c r="J49" s="81"/>
      <c r="L49" s="76" t="s">
        <v>55</v>
      </c>
      <c r="M49" s="77"/>
      <c r="N49" s="80">
        <v>0.3</v>
      </c>
      <c r="O49" s="81"/>
      <c r="Q49" s="2"/>
      <c r="R49" s="2"/>
      <c r="S49" s="90"/>
      <c r="T49" s="90"/>
      <c r="V49" s="2"/>
      <c r="W49" s="2"/>
      <c r="X49" s="90"/>
      <c r="Y49" s="90"/>
      <c r="AA49" s="2"/>
      <c r="AB49" s="2"/>
      <c r="AC49" s="90"/>
      <c r="AD49" s="90"/>
    </row>
    <row r="50" spans="2:30" ht="15.75" customHeight="1" x14ac:dyDescent="0.2">
      <c r="B50" s="76" t="s">
        <v>56</v>
      </c>
      <c r="C50" s="77"/>
      <c r="D50" s="82"/>
      <c r="E50" s="96">
        <f>+E48*3.33333333333333</f>
        <v>1452.5919047619034</v>
      </c>
      <c r="G50" s="76" t="s">
        <v>56</v>
      </c>
      <c r="H50" s="77"/>
      <c r="I50" s="82"/>
      <c r="J50" s="96">
        <f>+J48*3.33333333333333</f>
        <v>3200.4963958333301</v>
      </c>
      <c r="L50" s="76" t="s">
        <v>56</v>
      </c>
      <c r="M50" s="77"/>
      <c r="N50" s="82"/>
      <c r="O50" s="96">
        <f>+O48*3.33333333333333</f>
        <v>7579.5765166666579</v>
      </c>
      <c r="Q50" s="2"/>
      <c r="R50" s="2"/>
      <c r="S50" s="91"/>
      <c r="T50" s="90"/>
      <c r="V50" s="2"/>
      <c r="W50" s="2"/>
      <c r="X50" s="91"/>
      <c r="Y50" s="90"/>
      <c r="AA50" s="2"/>
      <c r="AB50" s="2"/>
      <c r="AC50" s="91"/>
      <c r="AD50" s="90"/>
    </row>
    <row r="51" spans="2:30" ht="15.75" customHeight="1" x14ac:dyDescent="0.2">
      <c r="B51" s="76" t="s">
        <v>250</v>
      </c>
      <c r="C51" s="77"/>
      <c r="D51" s="82"/>
      <c r="E51" s="96">
        <v>1307</v>
      </c>
      <c r="G51" s="76" t="s">
        <v>250</v>
      </c>
      <c r="H51" s="77"/>
      <c r="I51" s="82"/>
      <c r="J51" s="96">
        <v>2758</v>
      </c>
      <c r="L51" s="76" t="s">
        <v>250</v>
      </c>
      <c r="M51" s="77"/>
      <c r="N51" s="82"/>
      <c r="O51" s="96">
        <v>6816</v>
      </c>
      <c r="Q51" s="2"/>
      <c r="R51" s="2"/>
      <c r="S51" s="91"/>
      <c r="T51" s="90"/>
      <c r="V51" s="2"/>
      <c r="W51" s="2"/>
      <c r="X51" s="91"/>
      <c r="Y51" s="90"/>
      <c r="AA51" s="2"/>
      <c r="AB51" s="2"/>
      <c r="AC51" s="91"/>
      <c r="AD51" s="90"/>
    </row>
    <row r="52" spans="2:30" ht="15.75" customHeight="1" x14ac:dyDescent="0.2">
      <c r="B52" s="71"/>
      <c r="C52" s="77"/>
      <c r="D52" s="78"/>
      <c r="E52" s="95">
        <f>+E51-E50</f>
        <v>-145.59190476190338</v>
      </c>
      <c r="G52" s="71"/>
      <c r="H52" s="77"/>
      <c r="I52" s="78"/>
      <c r="J52" s="95">
        <f>+J51-J50</f>
        <v>-442.4963958333301</v>
      </c>
      <c r="L52" s="71"/>
      <c r="M52" s="77"/>
      <c r="N52" s="78"/>
      <c r="O52" s="95">
        <f>+O51-O50</f>
        <v>-763.57651666665788</v>
      </c>
      <c r="Q52" s="2"/>
      <c r="R52" s="2"/>
      <c r="S52" s="2"/>
      <c r="T52" s="90"/>
      <c r="V52" s="2"/>
      <c r="W52" s="2"/>
      <c r="X52" s="2"/>
      <c r="Y52" s="90"/>
      <c r="AA52" s="2"/>
      <c r="AB52" s="2"/>
      <c r="AC52" s="2"/>
      <c r="AD52" s="90"/>
    </row>
    <row r="53" spans="2:30" ht="15.75" customHeight="1" x14ac:dyDescent="0.2">
      <c r="B53" s="32" t="s">
        <v>58</v>
      </c>
      <c r="C53" s="83"/>
      <c r="D53" s="83"/>
      <c r="E53" s="98">
        <f>E48/E51</f>
        <v>0.33341818778008525</v>
      </c>
      <c r="G53" s="32" t="s">
        <v>58</v>
      </c>
      <c r="H53" s="83"/>
      <c r="I53" s="83"/>
      <c r="J53" s="98">
        <f>J48/J51</f>
        <v>0.34813231281725887</v>
      </c>
      <c r="L53" s="32" t="s">
        <v>58</v>
      </c>
      <c r="M53" s="83"/>
      <c r="N53" s="83"/>
      <c r="O53" s="98">
        <f>O48/O51</f>
        <v>0.33360812133215961</v>
      </c>
      <c r="Q53" s="2"/>
      <c r="R53" s="2"/>
      <c r="S53" s="2"/>
      <c r="T53" s="90"/>
      <c r="V53" s="2"/>
      <c r="W53" s="2"/>
      <c r="X53" s="2"/>
      <c r="Y53" s="90"/>
      <c r="AA53" s="2"/>
      <c r="AB53" s="2"/>
      <c r="AC53" s="2"/>
      <c r="AD53" s="90"/>
    </row>
    <row r="54" spans="2:30" ht="15.75" customHeight="1" x14ac:dyDescent="0.2">
      <c r="B54" s="2"/>
      <c r="C54" s="2"/>
      <c r="D54" s="90"/>
      <c r="E54" s="89"/>
      <c r="G54" s="2"/>
      <c r="H54" s="2"/>
      <c r="I54" s="90"/>
      <c r="J54" s="89"/>
      <c r="L54" s="2"/>
      <c r="M54" s="2"/>
      <c r="N54" s="90"/>
      <c r="O54" s="89"/>
      <c r="Q54" s="2"/>
      <c r="R54" s="2"/>
      <c r="S54" s="90"/>
      <c r="T54" s="89"/>
      <c r="V54" s="2"/>
      <c r="W54" s="2"/>
      <c r="X54" s="90"/>
      <c r="Y54" s="89"/>
      <c r="AA54" s="2"/>
      <c r="AB54" s="2"/>
      <c r="AC54" s="90"/>
      <c r="AD54" s="89"/>
    </row>
    <row r="55" spans="2:30" ht="15.75" customHeight="1" x14ac:dyDescent="0.2">
      <c r="B55" s="2"/>
      <c r="C55" s="2"/>
      <c r="D55" s="2"/>
      <c r="E55" s="91"/>
      <c r="G55" s="2"/>
      <c r="H55" s="2"/>
      <c r="I55" s="2"/>
      <c r="J55" s="91"/>
      <c r="L55" s="2"/>
      <c r="M55" s="2"/>
      <c r="N55" s="2"/>
      <c r="O55" s="91"/>
      <c r="Q55" s="2"/>
      <c r="R55" s="2"/>
      <c r="S55" s="2"/>
      <c r="T55" s="91"/>
      <c r="V55" s="2"/>
      <c r="W55" s="2"/>
      <c r="X55" s="2"/>
      <c r="Y55" s="91"/>
      <c r="AA55" s="2"/>
      <c r="AB55" s="2"/>
      <c r="AC55" s="2"/>
      <c r="AD55" s="91"/>
    </row>
    <row r="56" spans="2:30" ht="15.75" customHeight="1" x14ac:dyDescent="0.2">
      <c r="B56" s="218" t="s">
        <v>260</v>
      </c>
      <c r="C56" s="213"/>
      <c r="D56" s="213"/>
      <c r="E56" s="214"/>
      <c r="G56" s="218" t="s">
        <v>261</v>
      </c>
      <c r="H56" s="213"/>
      <c r="I56" s="213"/>
      <c r="J56" s="214"/>
      <c r="L56" s="218" t="s">
        <v>262</v>
      </c>
      <c r="M56" s="213"/>
      <c r="N56" s="213"/>
      <c r="O56" s="214"/>
    </row>
    <row r="57" spans="2:30" ht="15.75" customHeight="1" x14ac:dyDescent="0.2">
      <c r="B57" s="64"/>
      <c r="C57" s="65" t="s">
        <v>8</v>
      </c>
      <c r="D57" s="7" t="s">
        <v>9</v>
      </c>
      <c r="E57" s="8" t="s">
        <v>10</v>
      </c>
      <c r="G57" s="64"/>
      <c r="H57" s="65" t="s">
        <v>8</v>
      </c>
      <c r="I57" s="7" t="s">
        <v>9</v>
      </c>
      <c r="J57" s="8" t="s">
        <v>10</v>
      </c>
      <c r="L57" s="64"/>
      <c r="M57" s="65" t="s">
        <v>8</v>
      </c>
      <c r="N57" s="7" t="s">
        <v>9</v>
      </c>
      <c r="O57" s="8" t="s">
        <v>10</v>
      </c>
    </row>
    <row r="58" spans="2:30" ht="15.75" customHeight="1" x14ac:dyDescent="0.2">
      <c r="B58" s="13" t="s">
        <v>247</v>
      </c>
      <c r="C58" s="10">
        <v>2.2499999999999999E-2</v>
      </c>
      <c r="D58" s="94">
        <f>+VLOOKUP(B58,'PRECIO PROVEEDORES'!$A$2:$B$716,2,0)</f>
        <v>12000</v>
      </c>
      <c r="E58" s="12">
        <f t="shared" ref="E58:E72" si="6">+C58*D58</f>
        <v>270</v>
      </c>
      <c r="G58" s="13" t="s">
        <v>247</v>
      </c>
      <c r="H58" s="10">
        <v>0.27500000000000002</v>
      </c>
      <c r="I58" s="94">
        <f>+VLOOKUP(G58,'PRECIO PROVEEDORES'!$A$2:$B$716,2,0)</f>
        <v>12000</v>
      </c>
      <c r="J58" s="12">
        <f t="shared" ref="J58:J68" si="7">+H58*I58</f>
        <v>3300.0000000000005</v>
      </c>
      <c r="L58" s="13" t="s">
        <v>237</v>
      </c>
      <c r="M58" s="10">
        <v>1.8</v>
      </c>
      <c r="N58" s="94">
        <f>+VLOOKUP(L58,'PRECIO PROVEEDORES'!$A$2:$B$716,2,0)</f>
        <v>1043.22</v>
      </c>
      <c r="O58" s="12">
        <f t="shared" ref="O58:O71" si="8">+M58*N58</f>
        <v>1877.796</v>
      </c>
      <c r="Q58" s="219"/>
      <c r="R58" s="220"/>
      <c r="S58" s="220"/>
      <c r="T58" s="220"/>
      <c r="V58" s="219"/>
      <c r="W58" s="220"/>
      <c r="X58" s="220"/>
      <c r="Y58" s="220"/>
      <c r="AA58" s="219"/>
      <c r="AB58" s="220"/>
      <c r="AC58" s="220"/>
      <c r="AD58" s="220"/>
    </row>
    <row r="59" spans="2:30" ht="15.75" customHeight="1" x14ac:dyDescent="0.2">
      <c r="B59" s="13" t="s">
        <v>210</v>
      </c>
      <c r="C59" s="10">
        <v>0.2</v>
      </c>
      <c r="D59" s="94">
        <f>+VLOOKUP(B59,'PRECIO PROVEEDORES'!$A$2:$B$716,2,0)</f>
        <v>1352</v>
      </c>
      <c r="E59" s="12">
        <f t="shared" si="6"/>
        <v>270.40000000000003</v>
      </c>
      <c r="G59" s="13" t="s">
        <v>210</v>
      </c>
      <c r="H59" s="10">
        <v>0.47499999999999998</v>
      </c>
      <c r="I59" s="94">
        <f>+VLOOKUP(G59,'PRECIO PROVEEDORES'!$A$2:$B$716,2,0)</f>
        <v>1352</v>
      </c>
      <c r="J59" s="12">
        <f t="shared" si="7"/>
        <v>642.19999999999993</v>
      </c>
      <c r="L59" s="13" t="s">
        <v>239</v>
      </c>
      <c r="M59" s="10">
        <v>0.2</v>
      </c>
      <c r="N59" s="94">
        <f>+VLOOKUP(L59,'PRECIO PROVEEDORES'!$A$2:$B$716,2,0)</f>
        <v>890</v>
      </c>
      <c r="O59" s="12">
        <f t="shared" si="8"/>
        <v>178</v>
      </c>
      <c r="Q59" s="2"/>
      <c r="R59" s="86"/>
      <c r="S59" s="2"/>
      <c r="T59" s="2"/>
      <c r="V59" s="2"/>
      <c r="W59" s="86"/>
      <c r="X59" s="2"/>
      <c r="Y59" s="2"/>
      <c r="AA59" s="2"/>
      <c r="AB59" s="86"/>
      <c r="AC59" s="2"/>
      <c r="AD59" s="2"/>
    </row>
    <row r="60" spans="2:30" ht="15.75" customHeight="1" x14ac:dyDescent="0.2">
      <c r="B60" s="7" t="s">
        <v>240</v>
      </c>
      <c r="C60" s="10">
        <v>0.2</v>
      </c>
      <c r="D60" s="94">
        <f>+VLOOKUP(B60,'PRECIO PROVEEDORES'!$A$2:$B$716,2,0)</f>
        <v>1624.77</v>
      </c>
      <c r="E60" s="12">
        <f t="shared" si="6"/>
        <v>324.95400000000001</v>
      </c>
      <c r="G60" s="13" t="s">
        <v>263</v>
      </c>
      <c r="H60" s="10">
        <v>0.125</v>
      </c>
      <c r="I60" s="94">
        <f>+VLOOKUP(G60,'PRECIO PROVEEDORES'!$A$2:$B$716,2,0)</f>
        <v>1624.77</v>
      </c>
      <c r="J60" s="12">
        <f t="shared" si="7"/>
        <v>203.09625</v>
      </c>
      <c r="L60" s="13" t="s">
        <v>210</v>
      </c>
      <c r="M60" s="10">
        <v>0.35</v>
      </c>
      <c r="N60" s="94">
        <f>+VLOOKUP(L60,'PRECIO PROVEEDORES'!$A$2:$B$716,2,0)</f>
        <v>1352</v>
      </c>
      <c r="O60" s="12">
        <f t="shared" si="8"/>
        <v>473.2</v>
      </c>
      <c r="Q60" s="2"/>
      <c r="R60" s="2"/>
      <c r="S60" s="87"/>
      <c r="T60" s="37"/>
      <c r="V60" s="2"/>
      <c r="W60" s="2"/>
      <c r="X60" s="87"/>
      <c r="Y60" s="37"/>
      <c r="AA60" s="2"/>
      <c r="AB60" s="2"/>
      <c r="AC60" s="87"/>
      <c r="AD60" s="37"/>
    </row>
    <row r="61" spans="2:30" ht="15.75" customHeight="1" x14ac:dyDescent="0.2">
      <c r="B61" s="13" t="s">
        <v>264</v>
      </c>
      <c r="C61" s="10">
        <v>3.0000000000000001E-3</v>
      </c>
      <c r="D61" s="67">
        <f>'PRECIO PROVEEDORES'!B359</f>
        <v>5400</v>
      </c>
      <c r="E61" s="12">
        <f t="shared" si="6"/>
        <v>16.2</v>
      </c>
      <c r="G61" s="13" t="s">
        <v>17</v>
      </c>
      <c r="H61" s="10">
        <v>2</v>
      </c>
      <c r="I61" s="94">
        <f>+VLOOKUP(G61,'PRECIO PROVEEDORES'!$A$2:$B$716,2,0)</f>
        <v>192</v>
      </c>
      <c r="J61" s="12">
        <f t="shared" si="7"/>
        <v>384</v>
      </c>
      <c r="L61" s="13" t="s">
        <v>243</v>
      </c>
      <c r="M61" s="10">
        <v>0.02</v>
      </c>
      <c r="N61" s="94">
        <f>+VLOOKUP(L61,'PRECIO PROVEEDORES'!$A$2:$B$716,2,0)</f>
        <v>17780</v>
      </c>
      <c r="O61" s="12">
        <f t="shared" si="8"/>
        <v>355.6</v>
      </c>
      <c r="Q61" s="2"/>
      <c r="R61" s="2"/>
      <c r="S61" s="87"/>
      <c r="T61" s="37"/>
      <c r="V61" s="2"/>
      <c r="W61" s="2"/>
      <c r="X61" s="87"/>
      <c r="Y61" s="37"/>
      <c r="AA61" s="2"/>
      <c r="AB61" s="2"/>
      <c r="AC61" s="87"/>
      <c r="AD61" s="37"/>
    </row>
    <row r="62" spans="2:30" ht="15.75" customHeight="1" x14ac:dyDescent="0.2">
      <c r="B62" s="13" t="s">
        <v>265</v>
      </c>
      <c r="C62" s="10">
        <v>5.0000000000000001E-3</v>
      </c>
      <c r="D62" s="94">
        <f>+VLOOKUP(B62,'PRECIO PROVEEDORES'!$A$2:$B$716,2,0)</f>
        <v>2118</v>
      </c>
      <c r="E62" s="12">
        <f t="shared" si="6"/>
        <v>10.59</v>
      </c>
      <c r="G62" s="13" t="s">
        <v>237</v>
      </c>
      <c r="H62" s="10">
        <v>0.33</v>
      </c>
      <c r="I62" s="94">
        <f>+VLOOKUP(G62,'PRECIO PROVEEDORES'!$A$2:$B$716,2,0)</f>
        <v>1043.22</v>
      </c>
      <c r="J62" s="12">
        <f t="shared" si="7"/>
        <v>344.26260000000002</v>
      </c>
      <c r="L62" s="13" t="s">
        <v>49</v>
      </c>
      <c r="M62" s="10">
        <v>0.04</v>
      </c>
      <c r="N62" s="94">
        <f>+VLOOKUP(L62,'PRECIO PROVEEDORES'!$A$2:$B$716,2,0)</f>
        <v>1633</v>
      </c>
      <c r="O62" s="12">
        <f t="shared" si="8"/>
        <v>65.320000000000007</v>
      </c>
      <c r="Q62" s="2"/>
      <c r="R62" s="2"/>
      <c r="S62" s="87"/>
      <c r="T62" s="37"/>
      <c r="V62" s="2"/>
      <c r="W62" s="2"/>
      <c r="X62" s="87"/>
      <c r="Y62" s="37"/>
      <c r="AA62" s="2"/>
      <c r="AB62" s="2"/>
      <c r="AC62" s="87"/>
      <c r="AD62" s="37"/>
    </row>
    <row r="63" spans="2:30" ht="15.75" customHeight="1" x14ac:dyDescent="0.2">
      <c r="B63" s="13" t="s">
        <v>237</v>
      </c>
      <c r="C63" s="10">
        <v>0.42</v>
      </c>
      <c r="D63" s="94">
        <f>+VLOOKUP(B63,'PRECIO PROVEEDORES'!$A$2:$B$716,2,0)</f>
        <v>1043.22</v>
      </c>
      <c r="E63" s="12">
        <f t="shared" si="6"/>
        <v>438.1524</v>
      </c>
      <c r="G63" s="13" t="s">
        <v>266</v>
      </c>
      <c r="H63" s="10">
        <v>8.0000000000000002E-3</v>
      </c>
      <c r="I63" s="94">
        <f>+VLOOKUP(G63,'PRECIO PROVEEDORES'!$A$2:$B$716,2,0)</f>
        <v>6040</v>
      </c>
      <c r="J63" s="12">
        <f t="shared" si="7"/>
        <v>48.32</v>
      </c>
      <c r="L63" s="13" t="s">
        <v>166</v>
      </c>
      <c r="M63" s="10">
        <v>0.5</v>
      </c>
      <c r="N63" s="94">
        <f>+VLOOKUP(L63,'PRECIO PROVEEDORES'!$A$2:$B$716,2,0)</f>
        <v>1940</v>
      </c>
      <c r="O63" s="12">
        <f t="shared" si="8"/>
        <v>970</v>
      </c>
      <c r="Q63" s="2"/>
      <c r="R63" s="2"/>
      <c r="S63" s="87"/>
      <c r="T63" s="37"/>
      <c r="V63" s="2"/>
      <c r="W63" s="2"/>
      <c r="X63" s="87"/>
      <c r="Y63" s="37"/>
      <c r="AA63" s="2"/>
      <c r="AB63" s="2"/>
      <c r="AC63" s="87"/>
      <c r="AD63" s="37"/>
    </row>
    <row r="64" spans="2:30" ht="15.75" customHeight="1" x14ac:dyDescent="0.2">
      <c r="B64" s="7" t="s">
        <v>267</v>
      </c>
      <c r="C64" s="10">
        <v>0.02</v>
      </c>
      <c r="D64" s="94">
        <f>+VLOOKUP(B64,'PRECIO PROVEEDORES'!$A$2:$B$716,2,0)</f>
        <v>13205</v>
      </c>
      <c r="E64" s="12">
        <f t="shared" si="6"/>
        <v>264.10000000000002</v>
      </c>
      <c r="G64" s="7" t="s">
        <v>268</v>
      </c>
      <c r="H64" s="10">
        <v>0.4</v>
      </c>
      <c r="I64" s="94">
        <f>+VLOOKUP(G64,'PRECIO PROVEEDORES'!$A$2:$B$716,2,0)</f>
        <v>2180</v>
      </c>
      <c r="J64" s="12">
        <f t="shared" si="7"/>
        <v>872</v>
      </c>
      <c r="L64" s="13" t="s">
        <v>17</v>
      </c>
      <c r="M64" s="10">
        <v>6</v>
      </c>
      <c r="N64" s="94">
        <f>+VLOOKUP(L64,'PRECIO PROVEEDORES'!$A$2:$B$716,2,0)</f>
        <v>192</v>
      </c>
      <c r="O64" s="12">
        <f t="shared" si="8"/>
        <v>1152</v>
      </c>
      <c r="Q64" s="2"/>
      <c r="R64" s="2"/>
      <c r="S64" s="87"/>
      <c r="T64" s="37"/>
      <c r="V64" s="2"/>
      <c r="W64" s="2"/>
      <c r="X64" s="87"/>
      <c r="Y64" s="37"/>
      <c r="AA64" s="2"/>
      <c r="AB64" s="2"/>
      <c r="AC64" s="87"/>
      <c r="AD64" s="37"/>
    </row>
    <row r="65" spans="2:30" ht="15.75" customHeight="1" x14ac:dyDescent="0.2">
      <c r="B65" s="13" t="s">
        <v>245</v>
      </c>
      <c r="C65" s="36">
        <v>4.0000000000000001E-3</v>
      </c>
      <c r="D65" s="94">
        <f>+VLOOKUP(B65,'PRECIO PROVEEDORES'!$A$2:$B$716,2,0)</f>
        <v>2517</v>
      </c>
      <c r="E65" s="12">
        <f t="shared" si="6"/>
        <v>10.068</v>
      </c>
      <c r="G65" s="13" t="s">
        <v>166</v>
      </c>
      <c r="H65" s="36">
        <v>2.5000000000000001E-2</v>
      </c>
      <c r="I65" s="94">
        <f>+VLOOKUP(G65,'PRECIO PROVEEDORES'!$A$2:$B$716,2,0)</f>
        <v>1940</v>
      </c>
      <c r="J65" s="12">
        <f t="shared" si="7"/>
        <v>48.5</v>
      </c>
      <c r="L65" s="13" t="s">
        <v>242</v>
      </c>
      <c r="M65" s="10">
        <v>0.06</v>
      </c>
      <c r="N65" s="94">
        <f>+VLOOKUP(L65,'PRECIO PROVEEDORES'!$A$2:$B$716,2,0)</f>
        <v>6062</v>
      </c>
      <c r="O65" s="12">
        <f t="shared" si="8"/>
        <v>363.71999999999997</v>
      </c>
      <c r="Q65" s="2"/>
      <c r="R65" s="2"/>
      <c r="S65" s="87"/>
      <c r="T65" s="37"/>
      <c r="V65" s="2"/>
      <c r="W65" s="2"/>
      <c r="X65" s="87"/>
      <c r="Y65" s="37"/>
      <c r="AA65" s="2"/>
      <c r="AB65" s="2"/>
      <c r="AC65" s="87"/>
      <c r="AD65" s="37"/>
    </row>
    <row r="66" spans="2:30" ht="15.75" customHeight="1" x14ac:dyDescent="0.2">
      <c r="B66" s="13" t="s">
        <v>269</v>
      </c>
      <c r="C66" s="36">
        <v>8.4000000000000005E-2</v>
      </c>
      <c r="D66" s="94">
        <f>+VLOOKUP(B66,'PRECIO PROVEEDORES'!$A$2:$B$716,2,0)</f>
        <v>6600</v>
      </c>
      <c r="E66" s="12">
        <f t="shared" si="6"/>
        <v>554.40000000000009</v>
      </c>
      <c r="G66" s="7" t="s">
        <v>270</v>
      </c>
      <c r="H66" s="36">
        <v>7.4999999999999997E-2</v>
      </c>
      <c r="I66" s="94">
        <f>+VLOOKUP(G66,'PRECIO PROVEEDORES'!$A$2:$B$716,2,0)</f>
        <v>6292</v>
      </c>
      <c r="J66" s="12">
        <f t="shared" si="7"/>
        <v>471.9</v>
      </c>
      <c r="L66" s="13" t="s">
        <v>247</v>
      </c>
      <c r="M66" s="10">
        <v>0.72</v>
      </c>
      <c r="N66" s="94">
        <f>+VLOOKUP(L66,'PRECIO PROVEEDORES'!$A$2:$B$716,2,0)</f>
        <v>12000</v>
      </c>
      <c r="O66" s="12">
        <f t="shared" si="8"/>
        <v>8640</v>
      </c>
      <c r="Q66" s="2"/>
      <c r="R66" s="2"/>
      <c r="S66" s="87"/>
      <c r="T66" s="37"/>
      <c r="V66" s="2"/>
      <c r="W66" s="2"/>
      <c r="X66" s="87"/>
      <c r="Y66" s="37"/>
      <c r="AA66" s="2"/>
      <c r="AB66" s="2"/>
      <c r="AC66" s="87"/>
      <c r="AD66" s="37"/>
    </row>
    <row r="67" spans="2:30" ht="15.75" customHeight="1" x14ac:dyDescent="0.2">
      <c r="B67" s="13" t="s">
        <v>271</v>
      </c>
      <c r="C67" s="36">
        <v>4.2000000000000003E-2</v>
      </c>
      <c r="D67" s="94">
        <f>+VLOOKUP(B67,'PRECIO PROVEEDORES'!$A$2:$B$716,2,0)</f>
        <v>1684</v>
      </c>
      <c r="E67" s="12">
        <f t="shared" si="6"/>
        <v>70.728000000000009</v>
      </c>
      <c r="G67" s="7" t="s">
        <v>272</v>
      </c>
      <c r="H67" s="36">
        <v>7.4999999999999997E-2</v>
      </c>
      <c r="I67" s="94">
        <f>+VLOOKUP(G67,'PRECIO PROVEEDORES'!$A$2:$B$716,2,0)</f>
        <v>27769.5</v>
      </c>
      <c r="J67" s="12">
        <f t="shared" si="7"/>
        <v>2082.7125000000001</v>
      </c>
      <c r="L67" s="108" t="s">
        <v>248</v>
      </c>
      <c r="M67" s="10">
        <v>0.3</v>
      </c>
      <c r="N67" s="94">
        <f>+VLOOKUP(L67,'PRECIO PROVEEDORES'!$A$2:$B$716,2,0)</f>
        <v>39988</v>
      </c>
      <c r="O67" s="12">
        <f t="shared" si="8"/>
        <v>11996.4</v>
      </c>
      <c r="Q67" s="2"/>
      <c r="R67" s="2"/>
      <c r="S67" s="87"/>
      <c r="T67" s="37"/>
      <c r="V67" s="2"/>
      <c r="W67" s="2"/>
      <c r="X67" s="87"/>
      <c r="Y67" s="37"/>
      <c r="AA67" s="2"/>
      <c r="AB67" s="2"/>
      <c r="AC67" s="87"/>
      <c r="AD67" s="37"/>
    </row>
    <row r="68" spans="2:30" ht="15.75" customHeight="1" x14ac:dyDescent="0.2">
      <c r="B68" s="13" t="s">
        <v>273</v>
      </c>
      <c r="C68" s="36">
        <v>7.0000000000000001E-3</v>
      </c>
      <c r="D68" s="94">
        <f>+VLOOKUP(B68,'PRECIO PROVEEDORES'!$A$2:$B$716,2,0)</f>
        <v>2191</v>
      </c>
      <c r="E68" s="12">
        <f t="shared" si="6"/>
        <v>15.337</v>
      </c>
      <c r="G68" s="109" t="s">
        <v>274</v>
      </c>
      <c r="H68" s="36">
        <v>7.4999999999999997E-2</v>
      </c>
      <c r="I68" s="94">
        <f>+VLOOKUP(G68,'PRECIO PROVEEDORES'!$A$2:$B$716,2,0)</f>
        <v>5987</v>
      </c>
      <c r="J68" s="12">
        <f t="shared" si="7"/>
        <v>449.02499999999998</v>
      </c>
      <c r="L68" s="13" t="s">
        <v>275</v>
      </c>
      <c r="M68" s="10">
        <v>0.04</v>
      </c>
      <c r="N68" s="94">
        <f>+VLOOKUP(L68,'PRECIO PROVEEDORES'!$A$2:$B$716,2,0)</f>
        <v>13205</v>
      </c>
      <c r="O68" s="12">
        <f t="shared" si="8"/>
        <v>528.20000000000005</v>
      </c>
      <c r="Q68" s="2"/>
      <c r="R68" s="2"/>
      <c r="S68" s="87"/>
      <c r="T68" s="37"/>
      <c r="V68" s="2"/>
      <c r="W68" s="2"/>
      <c r="X68" s="87"/>
      <c r="Y68" s="37"/>
      <c r="AA68" s="2"/>
      <c r="AB68" s="2"/>
      <c r="AC68" s="87"/>
      <c r="AD68" s="37"/>
    </row>
    <row r="69" spans="2:30" ht="15.75" customHeight="1" x14ac:dyDescent="0.2">
      <c r="B69" s="13" t="s">
        <v>17</v>
      </c>
      <c r="C69" s="36">
        <v>2</v>
      </c>
      <c r="D69" s="94">
        <f>+VLOOKUP(B69,'PRECIO PROVEEDORES'!$A$2:$B$716,2,0)</f>
        <v>192</v>
      </c>
      <c r="E69" s="12">
        <f t="shared" si="6"/>
        <v>384</v>
      </c>
      <c r="G69" s="71"/>
      <c r="H69" s="66"/>
      <c r="I69" s="69"/>
      <c r="J69" s="70"/>
      <c r="L69" s="13" t="s">
        <v>271</v>
      </c>
      <c r="M69" s="10">
        <v>0.1</v>
      </c>
      <c r="N69" s="94">
        <f>+VLOOKUP(L69,'PRECIO PROVEEDORES'!$A$2:$B$716,2,0)</f>
        <v>1684</v>
      </c>
      <c r="O69" s="12">
        <f t="shared" si="8"/>
        <v>168.4</v>
      </c>
      <c r="Q69" s="2"/>
      <c r="R69" s="2"/>
      <c r="S69" s="87"/>
      <c r="T69" s="37"/>
      <c r="V69" s="2"/>
      <c r="W69" s="2"/>
      <c r="X69" s="87"/>
      <c r="Y69" s="37"/>
      <c r="AA69" s="2"/>
      <c r="AB69" s="2"/>
      <c r="AC69" s="87"/>
      <c r="AD69" s="37"/>
    </row>
    <row r="70" spans="2:30" ht="15.75" customHeight="1" x14ac:dyDescent="0.2">
      <c r="B70" s="108" t="s">
        <v>256</v>
      </c>
      <c r="C70" s="36">
        <v>0.3</v>
      </c>
      <c r="D70" s="94">
        <f>+VLOOKUP(B70,'PRECIO PROVEEDORES'!$A$2:$B$716,2,0)</f>
        <v>34892</v>
      </c>
      <c r="E70" s="12">
        <f t="shared" si="6"/>
        <v>10467.6</v>
      </c>
      <c r="G70" s="64"/>
      <c r="H70" s="66"/>
      <c r="I70" s="69"/>
      <c r="J70" s="70"/>
      <c r="L70" s="13" t="s">
        <v>273</v>
      </c>
      <c r="M70" s="10">
        <v>1.4999999999999999E-2</v>
      </c>
      <c r="N70" s="94">
        <f>+VLOOKUP(L70,'PRECIO PROVEEDORES'!$A$2:$B$716,2,0)</f>
        <v>2191</v>
      </c>
      <c r="O70" s="12">
        <f t="shared" si="8"/>
        <v>32.865000000000002</v>
      </c>
      <c r="Q70" s="2"/>
      <c r="R70" s="2"/>
      <c r="S70" s="87"/>
      <c r="T70" s="37"/>
      <c r="V70" s="2"/>
      <c r="W70" s="2"/>
      <c r="X70" s="87"/>
      <c r="Y70" s="37"/>
      <c r="AA70" s="2"/>
      <c r="AB70" s="2"/>
      <c r="AC70" s="87"/>
      <c r="AD70" s="37"/>
    </row>
    <row r="71" spans="2:30" ht="15.75" customHeight="1" x14ac:dyDescent="0.2">
      <c r="B71" s="13" t="s">
        <v>166</v>
      </c>
      <c r="C71" s="36">
        <v>0.02</v>
      </c>
      <c r="D71" s="94">
        <f>+VLOOKUP(B71,'PRECIO PROVEEDORES'!$A$2:$B$716,2,0)</f>
        <v>1940</v>
      </c>
      <c r="E71" s="12">
        <f t="shared" si="6"/>
        <v>38.800000000000004</v>
      </c>
      <c r="G71" s="64"/>
      <c r="H71" s="66"/>
      <c r="I71" s="69"/>
      <c r="J71" s="70"/>
      <c r="L71" s="109" t="s">
        <v>244</v>
      </c>
      <c r="M71" s="66">
        <v>0.2</v>
      </c>
      <c r="N71" s="94">
        <f>+VLOOKUP(L71,'PRECIO PROVEEDORES'!$A$2:$B$716,2,0)</f>
        <v>24829</v>
      </c>
      <c r="O71" s="12">
        <f t="shared" si="8"/>
        <v>4965.8</v>
      </c>
      <c r="Q71" s="2"/>
      <c r="R71" s="2"/>
      <c r="S71" s="87"/>
      <c r="T71" s="37"/>
      <c r="V71" s="2"/>
      <c r="W71" s="2"/>
      <c r="X71" s="87"/>
      <c r="Y71" s="37"/>
      <c r="AA71" s="2"/>
      <c r="AB71" s="2"/>
      <c r="AC71" s="87"/>
      <c r="AD71" s="37"/>
    </row>
    <row r="72" spans="2:30" ht="15.75" customHeight="1" x14ac:dyDescent="0.2">
      <c r="B72" s="13" t="s">
        <v>266</v>
      </c>
      <c r="C72" s="36">
        <v>8.0000000000000002E-3</v>
      </c>
      <c r="D72" s="94">
        <f>+VLOOKUP(B72,'PRECIO PROVEEDORES'!$A$2:$B$716,2,0)</f>
        <v>6040</v>
      </c>
      <c r="E72" s="12">
        <f t="shared" si="6"/>
        <v>48.32</v>
      </c>
      <c r="G72" s="64"/>
      <c r="H72" s="66"/>
      <c r="I72" s="69"/>
      <c r="J72" s="70"/>
      <c r="L72" s="64"/>
      <c r="M72" s="66"/>
      <c r="N72" s="69"/>
      <c r="O72" s="70"/>
      <c r="Q72" s="2"/>
      <c r="R72" s="2"/>
      <c r="S72" s="87"/>
      <c r="T72" s="37"/>
      <c r="V72" s="2"/>
      <c r="W72" s="2"/>
      <c r="X72" s="87"/>
      <c r="Y72" s="37"/>
      <c r="AA72" s="2"/>
      <c r="AB72" s="2"/>
      <c r="AC72" s="87"/>
      <c r="AD72" s="37"/>
    </row>
    <row r="73" spans="2:30" ht="15.75" customHeight="1" x14ac:dyDescent="0.2">
      <c r="B73" s="13"/>
      <c r="C73" s="66"/>
      <c r="D73" s="69"/>
      <c r="E73" s="70"/>
      <c r="G73" s="64"/>
      <c r="H73" s="66"/>
      <c r="I73" s="69"/>
      <c r="J73" s="70"/>
      <c r="L73" s="64"/>
      <c r="M73" s="66"/>
      <c r="N73" s="69"/>
      <c r="O73" s="70"/>
      <c r="Q73" s="2"/>
      <c r="R73" s="2"/>
      <c r="S73" s="87"/>
      <c r="T73" s="37"/>
      <c r="V73" s="2"/>
      <c r="W73" s="2"/>
      <c r="X73" s="87"/>
      <c r="Y73" s="37"/>
      <c r="AA73" s="2"/>
      <c r="AB73" s="2"/>
      <c r="AC73" s="87"/>
      <c r="AD73" s="37"/>
    </row>
    <row r="74" spans="2:30" ht="15.75" customHeight="1" x14ac:dyDescent="0.2">
      <c r="B74" s="13"/>
      <c r="C74" s="66"/>
      <c r="D74" s="69"/>
      <c r="E74" s="70"/>
      <c r="G74" s="64"/>
      <c r="H74" s="66"/>
      <c r="I74" s="69"/>
      <c r="J74" s="70"/>
      <c r="L74" s="64"/>
      <c r="M74" s="66"/>
      <c r="N74" s="69"/>
      <c r="O74" s="70"/>
      <c r="Q74" s="2"/>
      <c r="R74" s="2"/>
      <c r="S74" s="87"/>
      <c r="T74" s="37"/>
      <c r="V74" s="2"/>
      <c r="W74" s="2"/>
      <c r="X74" s="87"/>
      <c r="Y74" s="37"/>
      <c r="AA74" s="2"/>
      <c r="AB74" s="2"/>
      <c r="AC74" s="87"/>
      <c r="AD74" s="37"/>
    </row>
    <row r="75" spans="2:30" ht="15.75" customHeight="1" x14ac:dyDescent="0.2">
      <c r="B75" s="72" t="s">
        <v>52</v>
      </c>
      <c r="C75" s="73"/>
      <c r="D75" s="74"/>
      <c r="E75" s="95">
        <f>SUM(E58:E72)</f>
        <v>13183.6494</v>
      </c>
      <c r="G75" s="72" t="s">
        <v>52</v>
      </c>
      <c r="H75" s="73"/>
      <c r="I75" s="74"/>
      <c r="J75" s="95">
        <f>SUM(J58:J72)</f>
        <v>8846.0163499999999</v>
      </c>
      <c r="L75" s="72" t="s">
        <v>52</v>
      </c>
      <c r="M75" s="73"/>
      <c r="N75" s="74"/>
      <c r="O75" s="95">
        <f>SUM(O58:O72)</f>
        <v>31767.301000000003</v>
      </c>
      <c r="Q75" s="2"/>
      <c r="R75" s="2"/>
      <c r="S75" s="87"/>
      <c r="T75" s="37"/>
      <c r="V75" s="2"/>
      <c r="W75" s="2"/>
      <c r="X75" s="87"/>
      <c r="Y75" s="37"/>
      <c r="AA75" s="2"/>
      <c r="AB75" s="2"/>
      <c r="AC75" s="87"/>
      <c r="AD75" s="37"/>
    </row>
    <row r="76" spans="2:30" ht="15.75" customHeight="1" x14ac:dyDescent="0.2">
      <c r="B76" s="76" t="s">
        <v>53</v>
      </c>
      <c r="C76" s="77"/>
      <c r="D76" s="78"/>
      <c r="E76" s="96">
        <f>SUM(E75)</f>
        <v>13183.6494</v>
      </c>
      <c r="G76" s="76" t="s">
        <v>53</v>
      </c>
      <c r="H76" s="77"/>
      <c r="I76" s="78"/>
      <c r="J76" s="96">
        <f>SUM(J75)</f>
        <v>8846.0163499999999</v>
      </c>
      <c r="L76" s="76" t="s">
        <v>53</v>
      </c>
      <c r="M76" s="77"/>
      <c r="N76" s="78"/>
      <c r="O76" s="96">
        <f>SUM(O75)</f>
        <v>31767.301000000003</v>
      </c>
      <c r="Q76" s="2"/>
      <c r="R76" s="2"/>
      <c r="S76" s="87"/>
      <c r="T76" s="37"/>
      <c r="V76" s="2"/>
      <c r="W76" s="2"/>
      <c r="X76" s="87"/>
      <c r="Y76" s="37"/>
      <c r="AA76" s="2"/>
      <c r="AB76" s="2"/>
      <c r="AC76" s="87"/>
      <c r="AD76" s="37"/>
    </row>
    <row r="77" spans="2:30" ht="15.75" customHeight="1" x14ac:dyDescent="0.2">
      <c r="B77" s="76" t="s">
        <v>54</v>
      </c>
      <c r="C77" s="77"/>
      <c r="D77" s="78"/>
      <c r="E77" s="96">
        <f>+E76/14</f>
        <v>941.68924285714286</v>
      </c>
      <c r="G77" s="76" t="s">
        <v>54</v>
      </c>
      <c r="H77" s="77"/>
      <c r="I77" s="78"/>
      <c r="J77" s="96">
        <f>+J76/18</f>
        <v>491.44535277777777</v>
      </c>
      <c r="L77" s="76" t="s">
        <v>54</v>
      </c>
      <c r="M77" s="77"/>
      <c r="N77" s="78"/>
      <c r="O77" s="96">
        <f>+O76/24</f>
        <v>1323.6375416666667</v>
      </c>
      <c r="Q77" s="88"/>
      <c r="R77" s="88"/>
      <c r="S77" s="89"/>
      <c r="T77" s="89"/>
      <c r="V77" s="88"/>
      <c r="W77" s="88"/>
      <c r="X77" s="89"/>
      <c r="Y77" s="89"/>
      <c r="AA77" s="88"/>
      <c r="AB77" s="88"/>
      <c r="AC77" s="89"/>
      <c r="AD77" s="89"/>
    </row>
    <row r="78" spans="2:30" ht="15.75" customHeight="1" x14ac:dyDescent="0.2">
      <c r="B78" s="76" t="s">
        <v>55</v>
      </c>
      <c r="C78" s="77"/>
      <c r="D78" s="80">
        <v>0.3</v>
      </c>
      <c r="E78" s="81"/>
      <c r="G78" s="76" t="s">
        <v>55</v>
      </c>
      <c r="H78" s="77"/>
      <c r="I78" s="80">
        <v>0.3</v>
      </c>
      <c r="J78" s="81"/>
      <c r="L78" s="76" t="s">
        <v>55</v>
      </c>
      <c r="M78" s="77"/>
      <c r="N78" s="80">
        <v>0.3</v>
      </c>
      <c r="O78" s="81"/>
      <c r="Q78" s="2"/>
      <c r="R78" s="2"/>
      <c r="S78" s="90"/>
      <c r="T78" s="90"/>
      <c r="V78" s="2"/>
      <c r="W78" s="2"/>
      <c r="X78" s="90"/>
      <c r="Y78" s="90"/>
      <c r="AA78" s="2"/>
      <c r="AB78" s="2"/>
      <c r="AC78" s="90"/>
      <c r="AD78" s="90"/>
    </row>
    <row r="79" spans="2:30" ht="15.75" customHeight="1" x14ac:dyDescent="0.2">
      <c r="B79" s="76" t="s">
        <v>56</v>
      </c>
      <c r="C79" s="77"/>
      <c r="D79" s="82"/>
      <c r="E79" s="96">
        <f>+E77*3.33333333333333</f>
        <v>3138.9641428571394</v>
      </c>
      <c r="G79" s="76" t="s">
        <v>56</v>
      </c>
      <c r="H79" s="77"/>
      <c r="I79" s="82"/>
      <c r="J79" s="96">
        <f>+J77*3.33333333333333</f>
        <v>1638.1511759259242</v>
      </c>
      <c r="L79" s="76" t="s">
        <v>56</v>
      </c>
      <c r="M79" s="77"/>
      <c r="N79" s="82"/>
      <c r="O79" s="96">
        <f>+O77*3.33333333333333</f>
        <v>4412.125138888885</v>
      </c>
      <c r="Q79" s="2"/>
      <c r="R79" s="2"/>
      <c r="S79" s="90"/>
      <c r="T79" s="90"/>
      <c r="V79" s="2"/>
      <c r="W79" s="2"/>
      <c r="X79" s="90"/>
      <c r="Y79" s="90"/>
      <c r="AA79" s="2"/>
      <c r="AB79" s="2"/>
      <c r="AC79" s="90"/>
      <c r="AD79" s="90"/>
    </row>
    <row r="80" spans="2:30" ht="15.75" customHeight="1" x14ac:dyDescent="0.2">
      <c r="B80" s="76" t="s">
        <v>57</v>
      </c>
      <c r="C80" s="77"/>
      <c r="D80" s="82"/>
      <c r="E80" s="96">
        <v>4500</v>
      </c>
      <c r="G80" s="76" t="s">
        <v>57</v>
      </c>
      <c r="H80" s="77"/>
      <c r="I80" s="82"/>
      <c r="J80" s="96"/>
      <c r="L80" s="76" t="s">
        <v>57</v>
      </c>
      <c r="M80" s="77"/>
      <c r="N80" s="82"/>
      <c r="O80" s="96">
        <v>4600</v>
      </c>
      <c r="Q80" s="2"/>
      <c r="R80" s="2"/>
      <c r="S80" s="91"/>
      <c r="T80" s="90"/>
      <c r="V80" s="2"/>
      <c r="W80" s="2"/>
      <c r="X80" s="91"/>
      <c r="Y80" s="90"/>
      <c r="AA80" s="2"/>
      <c r="AB80" s="2"/>
      <c r="AC80" s="91"/>
      <c r="AD80" s="90"/>
    </row>
    <row r="81" spans="2:30" ht="15.75" customHeight="1" x14ac:dyDescent="0.2">
      <c r="B81" s="71"/>
      <c r="C81" s="77"/>
      <c r="D81" s="78"/>
      <c r="E81" s="95">
        <f>+E80-E79</f>
        <v>1361.0358571428606</v>
      </c>
      <c r="G81" s="71"/>
      <c r="H81" s="77"/>
      <c r="I81" s="78"/>
      <c r="J81" s="95">
        <f>+J80-J79</f>
        <v>-1638.1511759259242</v>
      </c>
      <c r="L81" s="71"/>
      <c r="M81" s="77"/>
      <c r="N81" s="78"/>
      <c r="O81" s="95">
        <f>+O80-O79</f>
        <v>187.87486111111502</v>
      </c>
      <c r="Q81" s="2"/>
      <c r="R81" s="2"/>
      <c r="S81" s="91"/>
      <c r="T81" s="90"/>
      <c r="V81" s="2"/>
      <c r="W81" s="2"/>
      <c r="X81" s="91"/>
      <c r="Y81" s="90"/>
      <c r="AA81" s="2"/>
      <c r="AB81" s="2"/>
      <c r="AC81" s="91"/>
      <c r="AD81" s="90"/>
    </row>
    <row r="82" spans="2:30" ht="15.75" customHeight="1" x14ac:dyDescent="0.2">
      <c r="B82" s="32" t="s">
        <v>58</v>
      </c>
      <c r="C82" s="83"/>
      <c r="D82" s="83"/>
      <c r="E82" s="98">
        <f>E77/E80</f>
        <v>0.20926427619047619</v>
      </c>
      <c r="G82" s="32" t="s">
        <v>58</v>
      </c>
      <c r="H82" s="83"/>
      <c r="I82" s="83"/>
      <c r="J82" s="98" t="e">
        <f>J77/J80</f>
        <v>#DIV/0!</v>
      </c>
      <c r="L82" s="32" t="s">
        <v>58</v>
      </c>
      <c r="M82" s="83"/>
      <c r="N82" s="83"/>
      <c r="O82" s="98">
        <f>O77/O80</f>
        <v>0.28774729166666668</v>
      </c>
      <c r="Q82" s="2"/>
      <c r="R82" s="2"/>
      <c r="S82" s="2"/>
      <c r="T82" s="90"/>
      <c r="V82" s="2"/>
      <c r="W82" s="2"/>
      <c r="X82" s="2"/>
      <c r="Y82" s="90"/>
      <c r="AA82" s="2"/>
      <c r="AB82" s="2"/>
      <c r="AC82" s="2"/>
      <c r="AD82" s="90"/>
    </row>
    <row r="83" spans="2:30" ht="15.75" customHeight="1" x14ac:dyDescent="0.2">
      <c r="B83" s="2"/>
      <c r="C83" s="2"/>
      <c r="D83" s="2"/>
      <c r="E83" s="90"/>
      <c r="G83" s="2"/>
      <c r="H83" s="2"/>
      <c r="I83" s="2"/>
      <c r="J83" s="90"/>
      <c r="L83" s="2"/>
      <c r="M83" s="2"/>
      <c r="N83" s="2"/>
      <c r="O83" s="90"/>
      <c r="Q83" s="2"/>
      <c r="R83" s="2"/>
      <c r="S83" s="2"/>
      <c r="T83" s="90"/>
      <c r="V83" s="2"/>
      <c r="W83" s="2"/>
      <c r="X83" s="2"/>
      <c r="Y83" s="90"/>
      <c r="AA83" s="2"/>
      <c r="AB83" s="2"/>
      <c r="AC83" s="2"/>
      <c r="AD83" s="90"/>
    </row>
    <row r="84" spans="2:30" ht="15.75" customHeight="1" x14ac:dyDescent="0.2">
      <c r="B84" s="2"/>
      <c r="C84" s="2"/>
      <c r="D84" s="90"/>
      <c r="E84" s="89"/>
      <c r="G84" s="2"/>
      <c r="H84" s="2"/>
      <c r="I84" s="90"/>
      <c r="J84" s="89"/>
      <c r="L84" s="2"/>
      <c r="M84" s="2"/>
      <c r="N84" s="90"/>
      <c r="O84" s="89"/>
      <c r="Q84" s="2"/>
      <c r="R84" s="2"/>
      <c r="S84" s="90"/>
      <c r="T84" s="89"/>
      <c r="V84" s="2"/>
      <c r="W84" s="2"/>
      <c r="X84" s="90"/>
      <c r="Y84" s="89"/>
      <c r="AA84" s="2"/>
      <c r="AB84" s="2"/>
      <c r="AC84" s="90"/>
      <c r="AD84" s="89"/>
    </row>
    <row r="85" spans="2:30" ht="15.75" customHeight="1" x14ac:dyDescent="0.2">
      <c r="B85" s="218" t="s">
        <v>276</v>
      </c>
      <c r="C85" s="213"/>
      <c r="D85" s="213"/>
      <c r="E85" s="214"/>
      <c r="G85" s="218" t="s">
        <v>277</v>
      </c>
      <c r="H85" s="213"/>
      <c r="I85" s="213"/>
      <c r="J85" s="214"/>
      <c r="L85" s="218" t="s">
        <v>278</v>
      </c>
      <c r="M85" s="213"/>
      <c r="N85" s="213"/>
      <c r="O85" s="214"/>
      <c r="Q85" s="2"/>
      <c r="R85" s="2"/>
      <c r="S85" s="2"/>
      <c r="T85" s="91"/>
      <c r="V85" s="2"/>
      <c r="W85" s="2"/>
      <c r="X85" s="2"/>
      <c r="Y85" s="91"/>
      <c r="AA85" s="2"/>
      <c r="AB85" s="2"/>
      <c r="AC85" s="2"/>
      <c r="AD85" s="91"/>
    </row>
    <row r="86" spans="2:30" ht="15.75" customHeight="1" x14ac:dyDescent="0.2">
      <c r="B86" s="64"/>
      <c r="C86" s="65" t="s">
        <v>8</v>
      </c>
      <c r="D86" s="7" t="s">
        <v>9</v>
      </c>
      <c r="E86" s="8" t="s">
        <v>10</v>
      </c>
      <c r="G86" s="64"/>
      <c r="H86" s="65" t="s">
        <v>8</v>
      </c>
      <c r="I86" s="7" t="s">
        <v>9</v>
      </c>
      <c r="J86" s="8" t="s">
        <v>10</v>
      </c>
      <c r="L86" s="64"/>
      <c r="M86" s="65" t="s">
        <v>8</v>
      </c>
      <c r="N86" s="7" t="s">
        <v>9</v>
      </c>
      <c r="O86" s="8" t="s">
        <v>10</v>
      </c>
    </row>
    <row r="87" spans="2:30" ht="15.75" customHeight="1" x14ac:dyDescent="0.2">
      <c r="B87" s="13" t="s">
        <v>279</v>
      </c>
      <c r="C87" s="10">
        <v>2</v>
      </c>
      <c r="D87" s="94">
        <f>+VLOOKUP(B87,'PRECIO PROVEEDORES'!$A$2:$B$716,2,0)</f>
        <v>248.90714736842102</v>
      </c>
      <c r="E87" s="12">
        <f t="shared" ref="E87:E90" si="9">+C87*D87</f>
        <v>497.81429473684204</v>
      </c>
      <c r="G87" s="13" t="s">
        <v>280</v>
      </c>
      <c r="H87" s="106">
        <v>0.16</v>
      </c>
      <c r="I87" s="94">
        <f>+VLOOKUP(G87,'PRECIO PROVEEDORES'!$A$2:$B$716,2,0)</f>
        <v>3356</v>
      </c>
      <c r="J87" s="12">
        <f t="shared" ref="J87:J98" si="10">+H87*I87</f>
        <v>536.96</v>
      </c>
      <c r="L87" s="13" t="s">
        <v>166</v>
      </c>
      <c r="M87" s="10">
        <v>0.32</v>
      </c>
      <c r="N87" s="94">
        <f>+VLOOKUP(L87,'PRECIO PROVEEDORES'!$A$2:$B$716,2,0)</f>
        <v>1940</v>
      </c>
      <c r="O87" s="12">
        <f t="shared" ref="O87:O98" si="11">+M87*N87</f>
        <v>620.80000000000007</v>
      </c>
    </row>
    <row r="88" spans="2:30" ht="15.75" customHeight="1" x14ac:dyDescent="0.2">
      <c r="B88" s="7" t="s">
        <v>281</v>
      </c>
      <c r="C88" s="10">
        <v>3.5000000000000003E-2</v>
      </c>
      <c r="D88" s="94">
        <f>+VLOOKUP(B88,'PRECIO PROVEEDORES'!$A$2:$B$716,2,0)</f>
        <v>3356</v>
      </c>
      <c r="E88" s="12">
        <f t="shared" si="9"/>
        <v>117.46000000000001</v>
      </c>
      <c r="G88" s="13" t="s">
        <v>247</v>
      </c>
      <c r="H88" s="10">
        <v>0.45</v>
      </c>
      <c r="I88" s="94">
        <f>+VLOOKUP(G88,'PRECIO PROVEEDORES'!$A$2:$B$716,2,0)</f>
        <v>12000</v>
      </c>
      <c r="J88" s="12">
        <f t="shared" si="10"/>
        <v>5400</v>
      </c>
      <c r="L88" s="13" t="s">
        <v>247</v>
      </c>
      <c r="M88" s="10">
        <v>0.14499999999999999</v>
      </c>
      <c r="N88" s="94">
        <f>+VLOOKUP(L88,'PRECIO PROVEEDORES'!$A$2:$B$716,2,0)</f>
        <v>12000</v>
      </c>
      <c r="O88" s="12">
        <f t="shared" si="11"/>
        <v>1739.9999999999998</v>
      </c>
      <c r="Q88" s="219"/>
      <c r="R88" s="220"/>
      <c r="S88" s="220"/>
      <c r="T88" s="220"/>
      <c r="V88" s="219"/>
      <c r="W88" s="220"/>
      <c r="X88" s="220"/>
      <c r="Y88" s="220"/>
      <c r="AA88" s="219"/>
      <c r="AB88" s="220"/>
      <c r="AC88" s="220"/>
      <c r="AD88" s="220"/>
    </row>
    <row r="89" spans="2:30" ht="15.75" customHeight="1" x14ac:dyDescent="0.2">
      <c r="B89" s="93" t="s">
        <v>172</v>
      </c>
      <c r="C89" s="10">
        <v>0.02</v>
      </c>
      <c r="D89" s="94">
        <f>+VLOOKUP(B89,'PRECIO PROVEEDORES'!$A$2:$B$716,2,0)</f>
        <v>9561</v>
      </c>
      <c r="E89" s="12">
        <f t="shared" si="9"/>
        <v>191.22</v>
      </c>
      <c r="G89" s="13" t="s">
        <v>210</v>
      </c>
      <c r="H89" s="10">
        <v>0.4</v>
      </c>
      <c r="I89" s="94">
        <f>+VLOOKUP(G89,'PRECIO PROVEEDORES'!$A$2:$B$716,2,0)</f>
        <v>1352</v>
      </c>
      <c r="J89" s="12">
        <f t="shared" si="10"/>
        <v>540.80000000000007</v>
      </c>
      <c r="L89" s="13" t="s">
        <v>17</v>
      </c>
      <c r="M89" s="10">
        <v>4</v>
      </c>
      <c r="N89" s="94">
        <f>+VLOOKUP(L89,'PRECIO PROVEEDORES'!$A$2:$B$716,2,0)</f>
        <v>192</v>
      </c>
      <c r="O89" s="12">
        <f t="shared" si="11"/>
        <v>768</v>
      </c>
      <c r="Q89" s="2"/>
      <c r="R89" s="86"/>
      <c r="S89" s="2"/>
      <c r="T89" s="2"/>
      <c r="V89" s="2"/>
      <c r="W89" s="86"/>
      <c r="X89" s="2"/>
      <c r="Y89" s="2"/>
      <c r="AA89" s="2"/>
      <c r="AB89" s="86"/>
      <c r="AC89" s="2"/>
      <c r="AD89" s="2"/>
    </row>
    <row r="90" spans="2:30" ht="15.75" customHeight="1" x14ac:dyDescent="0.2">
      <c r="B90" s="7" t="s">
        <v>282</v>
      </c>
      <c r="C90" s="10">
        <v>5.0000000000000001E-3</v>
      </c>
      <c r="D90" s="94">
        <f>+VLOOKUP(B90,'PRECIO PROVEEDORES'!$A$2:$B$716,2,0)</f>
        <v>25872</v>
      </c>
      <c r="E90" s="12">
        <f t="shared" si="9"/>
        <v>129.36000000000001</v>
      </c>
      <c r="G90" s="13" t="s">
        <v>263</v>
      </c>
      <c r="H90" s="10">
        <v>0.4</v>
      </c>
      <c r="I90" s="94">
        <f>+VLOOKUP(G90,'PRECIO PROVEEDORES'!$A$2:$B$716,2,0)</f>
        <v>1624.77</v>
      </c>
      <c r="J90" s="12">
        <f t="shared" si="10"/>
        <v>649.90800000000002</v>
      </c>
      <c r="L90" s="13" t="s">
        <v>210</v>
      </c>
      <c r="M90" s="10">
        <v>0.45</v>
      </c>
      <c r="N90" s="94">
        <f>+VLOOKUP(L90,'PRECIO PROVEEDORES'!$A$2:$B$716,2,0)</f>
        <v>1352</v>
      </c>
      <c r="O90" s="12">
        <f t="shared" si="11"/>
        <v>608.4</v>
      </c>
      <c r="Q90" s="2"/>
      <c r="R90" s="2"/>
      <c r="S90" s="87"/>
      <c r="T90" s="37"/>
      <c r="V90" s="2"/>
      <c r="W90" s="2"/>
      <c r="X90" s="87"/>
      <c r="Y90" s="37"/>
      <c r="AA90" s="2"/>
      <c r="AB90" s="2"/>
      <c r="AC90" s="87"/>
      <c r="AD90" s="37"/>
    </row>
    <row r="91" spans="2:30" ht="15.75" customHeight="1" x14ac:dyDescent="0.2">
      <c r="B91" s="66"/>
      <c r="C91" s="103"/>
      <c r="D91" s="94"/>
      <c r="E91" s="12"/>
      <c r="G91" s="13" t="s">
        <v>17</v>
      </c>
      <c r="H91" s="10">
        <v>4</v>
      </c>
      <c r="I91" s="94">
        <f>+VLOOKUP(G91,'PRECIO PROVEEDORES'!$A$2:$B$716,2,0)</f>
        <v>192</v>
      </c>
      <c r="J91" s="12">
        <f t="shared" si="10"/>
        <v>768</v>
      </c>
      <c r="L91" s="13" t="s">
        <v>237</v>
      </c>
      <c r="M91" s="10">
        <v>0.31</v>
      </c>
      <c r="N91" s="94">
        <f>+VLOOKUP(L91,'PRECIO PROVEEDORES'!$A$2:$B$716,2,0)</f>
        <v>1043.22</v>
      </c>
      <c r="O91" s="12">
        <f t="shared" si="11"/>
        <v>323.39820000000003</v>
      </c>
      <c r="Q91" s="2"/>
      <c r="R91" s="2"/>
      <c r="S91" s="87"/>
      <c r="T91" s="37"/>
      <c r="V91" s="2"/>
      <c r="W91" s="2"/>
      <c r="X91" s="87"/>
      <c r="Y91" s="37"/>
      <c r="AA91" s="2"/>
      <c r="AB91" s="2"/>
      <c r="AC91" s="87"/>
      <c r="AD91" s="37"/>
    </row>
    <row r="92" spans="2:30" ht="15.75" customHeight="1" x14ac:dyDescent="0.2">
      <c r="B92" s="66"/>
      <c r="C92" s="68"/>
      <c r="D92" s="69"/>
      <c r="E92" s="12"/>
      <c r="G92" s="13" t="s">
        <v>237</v>
      </c>
      <c r="H92" s="10">
        <v>0.92</v>
      </c>
      <c r="I92" s="94">
        <f>+VLOOKUP(G92,'PRECIO PROVEEDORES'!$A$2:$B$716,2,0)</f>
        <v>1043.22</v>
      </c>
      <c r="J92" s="12">
        <f t="shared" si="10"/>
        <v>959.76240000000007</v>
      </c>
      <c r="L92" s="13" t="s">
        <v>275</v>
      </c>
      <c r="M92" s="10">
        <v>0.06</v>
      </c>
      <c r="N92" s="94">
        <f>+VLOOKUP(L92,'PRECIO PROVEEDORES'!$A$2:$B$716,2,0)</f>
        <v>13205</v>
      </c>
      <c r="O92" s="12">
        <f t="shared" si="11"/>
        <v>792.3</v>
      </c>
      <c r="Q92" s="2"/>
      <c r="R92" s="2"/>
      <c r="S92" s="87"/>
      <c r="T92" s="37"/>
      <c r="V92" s="2"/>
      <c r="W92" s="2"/>
      <c r="X92" s="87"/>
      <c r="Y92" s="37"/>
      <c r="AA92" s="2"/>
      <c r="AB92" s="2"/>
      <c r="AC92" s="87"/>
      <c r="AD92" s="37"/>
    </row>
    <row r="93" spans="2:30" ht="15.75" customHeight="1" x14ac:dyDescent="0.2">
      <c r="B93" s="66"/>
      <c r="C93" s="103"/>
      <c r="D93" s="69"/>
      <c r="E93" s="70"/>
      <c r="G93" s="13" t="s">
        <v>245</v>
      </c>
      <c r="H93" s="10">
        <v>0.01</v>
      </c>
      <c r="I93" s="94">
        <f>+VLOOKUP(G93,'PRECIO PROVEEDORES'!$A$2:$B$716,2,0)</f>
        <v>2517</v>
      </c>
      <c r="J93" s="12">
        <f t="shared" si="10"/>
        <v>25.17</v>
      </c>
      <c r="L93" s="13" t="s">
        <v>245</v>
      </c>
      <c r="M93" s="10">
        <v>5.0000000000000001E-3</v>
      </c>
      <c r="N93" s="94">
        <f>+VLOOKUP(L93,'PRECIO PROVEEDORES'!$A$2:$B$716,2,0)</f>
        <v>2517</v>
      </c>
      <c r="O93" s="12">
        <f t="shared" si="11"/>
        <v>12.585000000000001</v>
      </c>
      <c r="Q93" s="2"/>
      <c r="R93" s="2"/>
      <c r="S93" s="87"/>
      <c r="T93" s="37"/>
      <c r="V93" s="2"/>
      <c r="W93" s="2"/>
      <c r="X93" s="87"/>
      <c r="Y93" s="37"/>
      <c r="AA93" s="2"/>
      <c r="AB93" s="2"/>
      <c r="AC93" s="87"/>
      <c r="AD93" s="37"/>
    </row>
    <row r="94" spans="2:30" ht="15.75" customHeight="1" x14ac:dyDescent="0.2">
      <c r="B94" s="64"/>
      <c r="C94" s="66"/>
      <c r="D94" s="69"/>
      <c r="E94" s="70"/>
      <c r="G94" s="13" t="s">
        <v>266</v>
      </c>
      <c r="H94" s="36">
        <v>1.4E-2</v>
      </c>
      <c r="I94" s="94">
        <f>+VLOOKUP(G94,'PRECIO PROVEEDORES'!$A$2:$B$716,2,0)</f>
        <v>6040</v>
      </c>
      <c r="J94" s="12">
        <f t="shared" si="10"/>
        <v>84.56</v>
      </c>
      <c r="L94" s="13" t="s">
        <v>283</v>
      </c>
      <c r="M94" s="36">
        <v>5.0000000000000001E-3</v>
      </c>
      <c r="N94" s="94">
        <f>+VLOOKUP(L94,'PRECIO PROVEEDORES'!$A$2:$B$716,2,0)</f>
        <v>36376.47</v>
      </c>
      <c r="O94" s="12">
        <f t="shared" si="11"/>
        <v>181.88235</v>
      </c>
      <c r="Q94" s="2"/>
      <c r="R94" s="2"/>
      <c r="S94" s="87"/>
      <c r="T94" s="37"/>
      <c r="V94" s="2"/>
      <c r="W94" s="2"/>
      <c r="X94" s="87"/>
      <c r="Y94" s="37"/>
      <c r="AA94" s="2"/>
      <c r="AB94" s="2"/>
      <c r="AC94" s="87"/>
      <c r="AD94" s="37"/>
    </row>
    <row r="95" spans="2:30" ht="15.75" customHeight="1" x14ac:dyDescent="0.2">
      <c r="B95" s="71"/>
      <c r="C95" s="66"/>
      <c r="D95" s="69"/>
      <c r="E95" s="70"/>
      <c r="G95" s="13" t="s">
        <v>49</v>
      </c>
      <c r="H95" s="36">
        <v>1.4E-2</v>
      </c>
      <c r="I95" s="94">
        <f>+VLOOKUP(G95,'PRECIO PROVEEDORES'!$A$2:$B$716,2,0)</f>
        <v>1633</v>
      </c>
      <c r="J95" s="12">
        <f t="shared" si="10"/>
        <v>22.862000000000002</v>
      </c>
      <c r="L95" s="13" t="s">
        <v>280</v>
      </c>
      <c r="M95" s="36">
        <v>0.6</v>
      </c>
      <c r="N95" s="94">
        <f>+VLOOKUP(L95,'PRECIO PROVEEDORES'!$A$2:$B$716,2,0)</f>
        <v>3356</v>
      </c>
      <c r="O95" s="12">
        <f t="shared" si="11"/>
        <v>2013.6</v>
      </c>
      <c r="Q95" s="2"/>
      <c r="R95" s="2"/>
      <c r="S95" s="87"/>
      <c r="T95" s="37"/>
      <c r="V95" s="2"/>
      <c r="W95" s="2"/>
      <c r="X95" s="87"/>
      <c r="Y95" s="37"/>
      <c r="AA95" s="2"/>
      <c r="AB95" s="2"/>
      <c r="AC95" s="87"/>
      <c r="AD95" s="37"/>
    </row>
    <row r="96" spans="2:30" ht="15.75" customHeight="1" x14ac:dyDescent="0.2">
      <c r="B96" s="71"/>
      <c r="C96" s="66"/>
      <c r="D96" s="69"/>
      <c r="E96" s="70"/>
      <c r="G96" s="107" t="s">
        <v>238</v>
      </c>
      <c r="H96" s="36">
        <v>0.25</v>
      </c>
      <c r="I96" s="94">
        <f>+VLOOKUP(G96,'PRECIO PROVEEDORES'!$A$2:$B$716,2,0)</f>
        <v>36068</v>
      </c>
      <c r="J96" s="12">
        <f t="shared" si="10"/>
        <v>9017</v>
      </c>
      <c r="L96" s="7" t="s">
        <v>258</v>
      </c>
      <c r="M96" s="36">
        <v>0.2</v>
      </c>
      <c r="N96" s="94">
        <f>+VLOOKUP(L96,'PRECIO PROVEEDORES'!$A$2:$B$716,2,0)</f>
        <v>10203</v>
      </c>
      <c r="O96" s="12">
        <f t="shared" si="11"/>
        <v>2040.6000000000001</v>
      </c>
      <c r="Q96" s="2"/>
      <c r="R96" s="2"/>
      <c r="S96" s="87"/>
      <c r="T96" s="37"/>
      <c r="V96" s="2"/>
      <c r="W96" s="2"/>
      <c r="X96" s="87"/>
      <c r="Y96" s="37"/>
      <c r="AA96" s="2"/>
      <c r="AB96" s="2"/>
      <c r="AC96" s="87"/>
      <c r="AD96" s="37"/>
    </row>
    <row r="97" spans="2:30" ht="15.75" customHeight="1" x14ac:dyDescent="0.2">
      <c r="B97" s="71"/>
      <c r="C97" s="66"/>
      <c r="D97" s="69"/>
      <c r="E97" s="70"/>
      <c r="G97" s="108" t="s">
        <v>248</v>
      </c>
      <c r="H97" s="36">
        <v>0.25</v>
      </c>
      <c r="I97" s="94">
        <f>+VLOOKUP(G97,'PRECIO PROVEEDORES'!$A$2:$B$716,2,0)</f>
        <v>39988</v>
      </c>
      <c r="J97" s="12">
        <f t="shared" si="10"/>
        <v>9997</v>
      </c>
      <c r="L97" s="108" t="s">
        <v>248</v>
      </c>
      <c r="M97" s="36">
        <v>0.2</v>
      </c>
      <c r="N97" s="94">
        <f>+VLOOKUP(L97,'PRECIO PROVEEDORES'!$A$2:$B$716,2,0)</f>
        <v>39988</v>
      </c>
      <c r="O97" s="12">
        <f t="shared" si="11"/>
        <v>7997.6</v>
      </c>
      <c r="Q97" s="2"/>
      <c r="R97" s="2"/>
      <c r="S97" s="87"/>
      <c r="T97" s="37"/>
      <c r="V97" s="2"/>
      <c r="W97" s="2"/>
      <c r="X97" s="87"/>
      <c r="Y97" s="37"/>
      <c r="AA97" s="2"/>
      <c r="AB97" s="2"/>
      <c r="AC97" s="87"/>
      <c r="AD97" s="37"/>
    </row>
    <row r="98" spans="2:30" ht="15.75" customHeight="1" x14ac:dyDescent="0.2">
      <c r="B98" s="71"/>
      <c r="C98" s="66"/>
      <c r="D98" s="69"/>
      <c r="E98" s="70"/>
      <c r="G98" s="13" t="s">
        <v>265</v>
      </c>
      <c r="H98" s="36">
        <v>0.01</v>
      </c>
      <c r="I98" s="94">
        <f>+VLOOKUP(G98,'PRECIO PROVEEDORES'!$A$2:$B$716,2,0)</f>
        <v>2118</v>
      </c>
      <c r="J98" s="12">
        <f t="shared" si="10"/>
        <v>21.18</v>
      </c>
      <c r="L98" s="93" t="s">
        <v>172</v>
      </c>
      <c r="M98" s="36">
        <v>0.05</v>
      </c>
      <c r="N98" s="94">
        <f>+VLOOKUP(L98,'PRECIO PROVEEDORES'!$A$2:$B$716,2,0)</f>
        <v>9561</v>
      </c>
      <c r="O98" s="12">
        <f t="shared" si="11"/>
        <v>478.05</v>
      </c>
      <c r="Q98" s="2"/>
      <c r="R98" s="2"/>
      <c r="S98" s="87"/>
      <c r="T98" s="37"/>
      <c r="V98" s="2"/>
      <c r="W98" s="2"/>
      <c r="X98" s="87"/>
      <c r="Y98" s="37"/>
      <c r="AA98" s="2"/>
      <c r="AB98" s="2"/>
      <c r="AC98" s="87"/>
      <c r="AD98" s="37"/>
    </row>
    <row r="99" spans="2:30" ht="15.75" customHeight="1" x14ac:dyDescent="0.2">
      <c r="B99" s="64"/>
      <c r="C99" s="66"/>
      <c r="D99" s="69"/>
      <c r="E99" s="70"/>
      <c r="G99" s="64"/>
      <c r="H99" s="66"/>
      <c r="I99" s="69"/>
      <c r="J99" s="70"/>
      <c r="L99" s="64"/>
      <c r="M99" s="66"/>
      <c r="N99" s="69"/>
      <c r="O99" s="70"/>
      <c r="Q99" s="2"/>
      <c r="R99" s="2"/>
      <c r="S99" s="87"/>
      <c r="T99" s="37"/>
      <c r="V99" s="2"/>
      <c r="W99" s="2"/>
      <c r="X99" s="87"/>
      <c r="Y99" s="37"/>
      <c r="AA99" s="2"/>
      <c r="AB99" s="2"/>
      <c r="AC99" s="87"/>
      <c r="AD99" s="37"/>
    </row>
    <row r="100" spans="2:30" ht="15.75" customHeight="1" x14ac:dyDescent="0.2">
      <c r="B100" s="64"/>
      <c r="C100" s="66"/>
      <c r="D100" s="69"/>
      <c r="E100" s="70"/>
      <c r="G100" s="64"/>
      <c r="H100" s="66"/>
      <c r="I100" s="69"/>
      <c r="J100" s="70"/>
      <c r="L100" s="64"/>
      <c r="M100" s="66"/>
      <c r="N100" s="69"/>
      <c r="O100" s="70"/>
      <c r="Q100" s="2"/>
      <c r="R100" s="2"/>
      <c r="S100" s="87"/>
      <c r="T100" s="37"/>
      <c r="V100" s="2"/>
      <c r="W100" s="2"/>
      <c r="X100" s="87"/>
      <c r="Y100" s="37"/>
      <c r="AA100" s="2"/>
      <c r="AB100" s="2"/>
      <c r="AC100" s="87"/>
      <c r="AD100" s="37"/>
    </row>
    <row r="101" spans="2:30" ht="15.75" customHeight="1" x14ac:dyDescent="0.2">
      <c r="B101" s="64"/>
      <c r="C101" s="66"/>
      <c r="D101" s="69"/>
      <c r="E101" s="70"/>
      <c r="G101" s="64"/>
      <c r="H101" s="66"/>
      <c r="I101" s="69"/>
      <c r="J101" s="70"/>
      <c r="L101" s="64"/>
      <c r="M101" s="66"/>
      <c r="N101" s="69"/>
      <c r="O101" s="70"/>
      <c r="Q101" s="2"/>
      <c r="R101" s="2"/>
      <c r="S101" s="87"/>
      <c r="T101" s="37"/>
      <c r="V101" s="2"/>
      <c r="W101" s="2"/>
      <c r="X101" s="87"/>
      <c r="Y101" s="37"/>
      <c r="AA101" s="2"/>
      <c r="AB101" s="2"/>
      <c r="AC101" s="87"/>
      <c r="AD101" s="37"/>
    </row>
    <row r="102" spans="2:30" ht="15.75" customHeight="1" x14ac:dyDescent="0.2">
      <c r="B102" s="72" t="s">
        <v>52</v>
      </c>
      <c r="C102" s="73"/>
      <c r="D102" s="74"/>
      <c r="E102" s="95">
        <f>SUM(E87:E101)</f>
        <v>935.85429473684212</v>
      </c>
      <c r="G102" s="72" t="s">
        <v>52</v>
      </c>
      <c r="H102" s="73"/>
      <c r="I102" s="74"/>
      <c r="J102" s="95">
        <f>SUM(J87:J101)</f>
        <v>28023.202400000002</v>
      </c>
      <c r="L102" s="72" t="s">
        <v>52</v>
      </c>
      <c r="M102" s="73"/>
      <c r="N102" s="74"/>
      <c r="O102" s="95">
        <f>SUM(O87:O101)</f>
        <v>17577.215549999997</v>
      </c>
      <c r="Q102" s="2"/>
      <c r="R102" s="2"/>
      <c r="S102" s="87"/>
      <c r="T102" s="37"/>
      <c r="V102" s="2"/>
      <c r="W102" s="2"/>
      <c r="X102" s="87"/>
      <c r="Y102" s="37"/>
      <c r="AA102" s="2"/>
      <c r="AB102" s="2"/>
      <c r="AC102" s="87"/>
      <c r="AD102" s="37"/>
    </row>
    <row r="103" spans="2:30" ht="15.75" customHeight="1" x14ac:dyDescent="0.2">
      <c r="B103" s="76" t="s">
        <v>53</v>
      </c>
      <c r="C103" s="77"/>
      <c r="D103" s="78"/>
      <c r="E103" s="96">
        <f>SUM(E102)</f>
        <v>935.85429473684212</v>
      </c>
      <c r="G103" s="76" t="s">
        <v>53</v>
      </c>
      <c r="H103" s="77"/>
      <c r="I103" s="78"/>
      <c r="J103" s="96">
        <f>SUM(J102)</f>
        <v>28023.202400000002</v>
      </c>
      <c r="L103" s="76" t="s">
        <v>53</v>
      </c>
      <c r="M103" s="77"/>
      <c r="N103" s="78"/>
      <c r="O103" s="96">
        <f>SUM(O102)</f>
        <v>17577.215549999997</v>
      </c>
      <c r="Q103" s="2"/>
      <c r="R103" s="2"/>
      <c r="S103" s="87"/>
      <c r="T103" s="37"/>
      <c r="V103" s="2"/>
      <c r="W103" s="2"/>
      <c r="X103" s="87"/>
      <c r="Y103" s="37"/>
      <c r="AA103" s="2"/>
      <c r="AB103" s="2"/>
      <c r="AC103" s="87"/>
      <c r="AD103" s="37"/>
    </row>
    <row r="104" spans="2:30" ht="15.75" customHeight="1" x14ac:dyDescent="0.2">
      <c r="B104" s="76" t="s">
        <v>54</v>
      </c>
      <c r="C104" s="77"/>
      <c r="D104" s="78"/>
      <c r="E104" s="96">
        <f>+E103</f>
        <v>935.85429473684212</v>
      </c>
      <c r="G104" s="76" t="s">
        <v>54</v>
      </c>
      <c r="H104" s="77"/>
      <c r="I104" s="78"/>
      <c r="J104" s="96">
        <f>+J103/29</f>
        <v>966.31732413793111</v>
      </c>
      <c r="L104" s="76" t="s">
        <v>54</v>
      </c>
      <c r="M104" s="77"/>
      <c r="N104" s="78"/>
      <c r="O104" s="96">
        <f>+O103</f>
        <v>17577.215549999997</v>
      </c>
      <c r="Q104" s="2"/>
      <c r="R104" s="2"/>
      <c r="S104" s="87"/>
      <c r="T104" s="37"/>
      <c r="V104" s="2"/>
      <c r="W104" s="2"/>
      <c r="X104" s="87"/>
      <c r="Y104" s="37"/>
      <c r="AA104" s="2"/>
      <c r="AB104" s="2"/>
      <c r="AC104" s="87"/>
      <c r="AD104" s="37"/>
    </row>
    <row r="105" spans="2:30" ht="15.75" customHeight="1" x14ac:dyDescent="0.2">
      <c r="B105" s="76" t="s">
        <v>55</v>
      </c>
      <c r="C105" s="77"/>
      <c r="D105" s="80">
        <v>0.3</v>
      </c>
      <c r="E105" s="81"/>
      <c r="G105" s="76" t="s">
        <v>55</v>
      </c>
      <c r="H105" s="77"/>
      <c r="I105" s="80">
        <v>0.3</v>
      </c>
      <c r="J105" s="81"/>
      <c r="L105" s="76" t="s">
        <v>55</v>
      </c>
      <c r="M105" s="77"/>
      <c r="N105" s="80">
        <v>0.3</v>
      </c>
      <c r="O105" s="81"/>
      <c r="Q105" s="88"/>
      <c r="R105" s="88"/>
      <c r="S105" s="89"/>
      <c r="T105" s="89"/>
      <c r="V105" s="88"/>
      <c r="W105" s="88"/>
      <c r="X105" s="89"/>
      <c r="Y105" s="89"/>
      <c r="AA105" s="88"/>
      <c r="AB105" s="88"/>
      <c r="AC105" s="89"/>
      <c r="AD105" s="89"/>
    </row>
    <row r="106" spans="2:30" ht="15.75" customHeight="1" x14ac:dyDescent="0.2">
      <c r="B106" s="76" t="s">
        <v>56</v>
      </c>
      <c r="C106" s="77"/>
      <c r="D106" s="82"/>
      <c r="E106" s="96">
        <f>+E104*3.33333333333333</f>
        <v>3119.5143157894704</v>
      </c>
      <c r="G106" s="76" t="s">
        <v>56</v>
      </c>
      <c r="H106" s="77"/>
      <c r="I106" s="82"/>
      <c r="J106" s="96">
        <f>+J104*3.33333333333333</f>
        <v>3221.0577471264337</v>
      </c>
      <c r="L106" s="76" t="s">
        <v>56</v>
      </c>
      <c r="M106" s="77"/>
      <c r="N106" s="82"/>
      <c r="O106" s="96">
        <f>+O104*3.33333333333333</f>
        <v>58590.71849999993</v>
      </c>
      <c r="Q106" s="2"/>
      <c r="R106" s="2"/>
      <c r="S106" s="90"/>
      <c r="T106" s="90"/>
      <c r="V106" s="2"/>
      <c r="W106" s="2"/>
      <c r="X106" s="90"/>
      <c r="Y106" s="90"/>
      <c r="AA106" s="2"/>
      <c r="AB106" s="2"/>
      <c r="AC106" s="90"/>
      <c r="AD106" s="90"/>
    </row>
    <row r="107" spans="2:30" ht="15.75" customHeight="1" x14ac:dyDescent="0.2">
      <c r="B107" s="76" t="s">
        <v>250</v>
      </c>
      <c r="C107" s="77"/>
      <c r="D107" s="78"/>
      <c r="E107" s="96">
        <v>2565</v>
      </c>
      <c r="G107" s="76" t="s">
        <v>250</v>
      </c>
      <c r="H107" s="77"/>
      <c r="I107" s="78"/>
      <c r="J107" s="96"/>
      <c r="L107" s="76" t="s">
        <v>57</v>
      </c>
      <c r="M107" s="77"/>
      <c r="N107" s="78"/>
      <c r="O107" s="96">
        <v>53226</v>
      </c>
      <c r="Q107" s="2"/>
      <c r="R107" s="2"/>
      <c r="S107" s="90"/>
      <c r="T107" s="90"/>
      <c r="V107" s="2"/>
      <c r="W107" s="2"/>
      <c r="X107" s="90"/>
      <c r="Y107" s="90"/>
      <c r="AA107" s="2"/>
      <c r="AB107" s="2"/>
      <c r="AC107" s="90"/>
      <c r="AD107" s="90"/>
    </row>
    <row r="108" spans="2:30" ht="15.75" customHeight="1" x14ac:dyDescent="0.2">
      <c r="B108" s="71"/>
      <c r="C108" s="77"/>
      <c r="D108" s="78"/>
      <c r="E108" s="95">
        <f>+E107-E106</f>
        <v>-554.5143157894704</v>
      </c>
      <c r="G108" s="71"/>
      <c r="H108" s="77"/>
      <c r="I108" s="78"/>
      <c r="J108" s="95">
        <f>+J107-J106</f>
        <v>-3221.0577471264337</v>
      </c>
      <c r="L108" s="71"/>
      <c r="M108" s="77"/>
      <c r="N108" s="78"/>
      <c r="O108" s="95">
        <f>+O107-O106</f>
        <v>-5364.7184999999299</v>
      </c>
      <c r="Q108" s="2"/>
      <c r="R108" s="2"/>
      <c r="S108" s="91"/>
      <c r="T108" s="90"/>
      <c r="V108" s="2"/>
      <c r="W108" s="2"/>
      <c r="X108" s="91"/>
      <c r="Y108" s="90"/>
      <c r="AA108" s="2"/>
      <c r="AB108" s="2"/>
      <c r="AC108" s="91"/>
      <c r="AD108" s="90"/>
    </row>
    <row r="109" spans="2:30" ht="15.75" customHeight="1" x14ac:dyDescent="0.2">
      <c r="B109" s="32" t="s">
        <v>58</v>
      </c>
      <c r="C109" s="83"/>
      <c r="D109" s="110"/>
      <c r="E109" s="98">
        <f>E104/E107</f>
        <v>0.36485547553093262</v>
      </c>
      <c r="G109" s="32" t="s">
        <v>58</v>
      </c>
      <c r="H109" s="83"/>
      <c r="I109" s="110"/>
      <c r="J109" s="98" t="e">
        <f>J104/J107</f>
        <v>#DIV/0!</v>
      </c>
      <c r="L109" s="32" t="s">
        <v>58</v>
      </c>
      <c r="M109" s="83"/>
      <c r="N109" s="110"/>
      <c r="O109" s="98">
        <f>O104/O107</f>
        <v>0.33023739431856608</v>
      </c>
      <c r="Q109" s="2"/>
      <c r="R109" s="2"/>
      <c r="S109" s="91"/>
      <c r="T109" s="90"/>
      <c r="V109" s="2"/>
      <c r="W109" s="2"/>
      <c r="X109" s="91"/>
      <c r="Y109" s="90"/>
      <c r="AA109" s="2"/>
      <c r="AB109" s="2"/>
      <c r="AC109" s="91"/>
      <c r="AD109" s="90"/>
    </row>
    <row r="110" spans="2:30" ht="15.75" customHeight="1" x14ac:dyDescent="0.2">
      <c r="B110" s="2"/>
      <c r="C110" s="2"/>
      <c r="D110" s="2"/>
      <c r="E110" s="90"/>
      <c r="G110" s="2"/>
      <c r="H110" s="2"/>
      <c r="I110" s="2"/>
      <c r="J110" s="90"/>
      <c r="L110" s="2"/>
      <c r="M110" s="2"/>
      <c r="N110" s="2"/>
      <c r="O110" s="90"/>
      <c r="Q110" s="2"/>
      <c r="R110" s="2"/>
      <c r="S110" s="2"/>
      <c r="T110" s="90"/>
      <c r="V110" s="2"/>
      <c r="W110" s="2"/>
      <c r="X110" s="2"/>
      <c r="Y110" s="90"/>
      <c r="AA110" s="2"/>
      <c r="AB110" s="2"/>
      <c r="AC110" s="2"/>
      <c r="AD110" s="90"/>
    </row>
    <row r="111" spans="2:30" ht="15.75" customHeight="1" x14ac:dyDescent="0.2">
      <c r="B111" s="2"/>
      <c r="C111" s="2"/>
      <c r="D111" s="2"/>
      <c r="E111" s="90"/>
      <c r="G111" s="2"/>
      <c r="H111" s="2"/>
      <c r="I111" s="2"/>
      <c r="J111" s="90"/>
      <c r="L111" s="2"/>
      <c r="M111" s="2"/>
      <c r="N111" s="2"/>
      <c r="O111" s="90"/>
      <c r="Q111" s="2"/>
      <c r="R111" s="2"/>
      <c r="S111" s="2"/>
      <c r="T111" s="90"/>
      <c r="V111" s="2"/>
      <c r="W111" s="2"/>
      <c r="X111" s="2"/>
      <c r="Y111" s="90"/>
      <c r="AA111" s="2"/>
      <c r="AB111" s="2"/>
      <c r="AC111" s="2"/>
      <c r="AD111" s="90"/>
    </row>
    <row r="112" spans="2:30" ht="15.75" customHeight="1" x14ac:dyDescent="0.2">
      <c r="B112" s="218" t="s">
        <v>284</v>
      </c>
      <c r="C112" s="213"/>
      <c r="D112" s="213"/>
      <c r="E112" s="214"/>
      <c r="G112" s="218" t="s">
        <v>285</v>
      </c>
      <c r="H112" s="213"/>
      <c r="I112" s="213"/>
      <c r="J112" s="214"/>
      <c r="L112" s="218" t="s">
        <v>286</v>
      </c>
      <c r="M112" s="213"/>
      <c r="N112" s="213"/>
      <c r="O112" s="214"/>
      <c r="Q112" s="2"/>
      <c r="R112" s="2"/>
      <c r="S112" s="90"/>
      <c r="T112" s="89"/>
      <c r="V112" s="2"/>
      <c r="W112" s="2"/>
      <c r="X112" s="90"/>
      <c r="Y112" s="89"/>
      <c r="AA112" s="2"/>
      <c r="AB112" s="2"/>
      <c r="AC112" s="90"/>
      <c r="AD112" s="89"/>
    </row>
    <row r="113" spans="2:30" ht="15.75" customHeight="1" x14ac:dyDescent="0.2">
      <c r="B113" s="64"/>
      <c r="C113" s="65" t="s">
        <v>8</v>
      </c>
      <c r="D113" s="7" t="s">
        <v>9</v>
      </c>
      <c r="E113" s="8" t="s">
        <v>10</v>
      </c>
      <c r="G113" s="64"/>
      <c r="H113" s="65" t="s">
        <v>8</v>
      </c>
      <c r="I113" s="7" t="s">
        <v>9</v>
      </c>
      <c r="J113" s="8" t="s">
        <v>10</v>
      </c>
      <c r="L113" s="64"/>
      <c r="M113" s="65" t="s">
        <v>8</v>
      </c>
      <c r="N113" s="7" t="s">
        <v>9</v>
      </c>
      <c r="O113" s="8" t="s">
        <v>10</v>
      </c>
      <c r="Q113" s="2"/>
      <c r="R113" s="2"/>
      <c r="S113" s="2"/>
      <c r="T113" s="91"/>
      <c r="V113" s="2"/>
      <c r="W113" s="2"/>
      <c r="X113" s="2"/>
      <c r="Y113" s="91"/>
      <c r="AA113" s="2"/>
      <c r="AB113" s="2"/>
      <c r="AC113" s="2"/>
      <c r="AD113" s="91"/>
    </row>
    <row r="114" spans="2:30" ht="15.75" customHeight="1" x14ac:dyDescent="0.2">
      <c r="B114" s="13" t="s">
        <v>287</v>
      </c>
      <c r="C114" s="10">
        <v>0.4</v>
      </c>
      <c r="D114" s="94">
        <f>+VLOOKUP(B114,'PRECIO PROVEEDORES'!$A$2:$B$716,2,0)</f>
        <v>1650</v>
      </c>
      <c r="E114" s="12">
        <f t="shared" ref="E114:E128" si="12">+C114*D114</f>
        <v>660</v>
      </c>
      <c r="G114" s="13" t="s">
        <v>288</v>
      </c>
      <c r="H114" s="10">
        <v>0.3</v>
      </c>
      <c r="I114" s="94">
        <f>+VLOOKUP(G114,'PRECIO PROVEEDORES'!$A$2:$B$716,2,0)</f>
        <v>4063.4263999999998</v>
      </c>
      <c r="J114" s="12">
        <f t="shared" ref="J114:J122" si="13">+H114*I114</f>
        <v>1219.02792</v>
      </c>
      <c r="L114" s="13" t="s">
        <v>23</v>
      </c>
      <c r="M114" s="10">
        <v>0.27</v>
      </c>
      <c r="N114" s="94">
        <f>+VLOOKUP(L114,'PRECIO PROVEEDORES'!$A$2:$B$716,2,0)</f>
        <v>3360</v>
      </c>
      <c r="O114" s="12">
        <f t="shared" ref="O114:O127" si="14">+M114*N114</f>
        <v>907.2</v>
      </c>
    </row>
    <row r="115" spans="2:30" ht="15.75" customHeight="1" x14ac:dyDescent="0.2">
      <c r="B115" s="13" t="s">
        <v>289</v>
      </c>
      <c r="C115" s="10">
        <v>0.06</v>
      </c>
      <c r="D115" s="94">
        <f>+VLOOKUP(B115,'PRECIO PROVEEDORES'!$A$2:$B$716,2,0)</f>
        <v>11721</v>
      </c>
      <c r="E115" s="12">
        <f t="shared" si="12"/>
        <v>703.26</v>
      </c>
      <c r="G115" s="13" t="s">
        <v>247</v>
      </c>
      <c r="H115" s="10">
        <v>0.08</v>
      </c>
      <c r="I115" s="94">
        <f>+VLOOKUP(G115,'PRECIO PROVEEDORES'!$A$2:$B$716,2,0)</f>
        <v>12000</v>
      </c>
      <c r="J115" s="12">
        <f t="shared" si="13"/>
        <v>960</v>
      </c>
      <c r="L115" s="13" t="s">
        <v>290</v>
      </c>
      <c r="M115" s="10">
        <v>0.155</v>
      </c>
      <c r="N115" s="94">
        <f>+VLOOKUP(L115,'PRECIO PROVEEDORES'!$A$2:$B$716,2,0)</f>
        <v>2850</v>
      </c>
      <c r="O115" s="12">
        <f t="shared" si="14"/>
        <v>441.75</v>
      </c>
    </row>
    <row r="116" spans="2:30" ht="15.75" customHeight="1" x14ac:dyDescent="0.2">
      <c r="B116" s="13" t="s">
        <v>210</v>
      </c>
      <c r="C116" s="10">
        <v>0.3</v>
      </c>
      <c r="D116" s="94">
        <f>+VLOOKUP(B116,'PRECIO PROVEEDORES'!$A$2:$B$716,2,0)</f>
        <v>1352</v>
      </c>
      <c r="E116" s="12">
        <f t="shared" si="12"/>
        <v>405.59999999999997</v>
      </c>
      <c r="G116" s="13" t="s">
        <v>269</v>
      </c>
      <c r="H116" s="10">
        <v>0.8</v>
      </c>
      <c r="I116" s="94">
        <f>+VLOOKUP(G116,'PRECIO PROVEEDORES'!$A$2:$B$716,2,0)</f>
        <v>6600</v>
      </c>
      <c r="J116" s="12">
        <f t="shared" si="13"/>
        <v>5280</v>
      </c>
      <c r="L116" s="13" t="s">
        <v>210</v>
      </c>
      <c r="M116" s="10">
        <v>0.25</v>
      </c>
      <c r="N116" s="94">
        <f>+VLOOKUP(L116,'PRECIO PROVEEDORES'!$A$2:$B$716,2,0)</f>
        <v>1352</v>
      </c>
      <c r="O116" s="12">
        <f t="shared" si="14"/>
        <v>338</v>
      </c>
    </row>
    <row r="117" spans="2:30" ht="15.75" customHeight="1" x14ac:dyDescent="0.2">
      <c r="B117" s="13" t="s">
        <v>265</v>
      </c>
      <c r="C117" s="10">
        <v>5.0000000000000001E-3</v>
      </c>
      <c r="D117" s="94">
        <f>+VLOOKUP(B117,'PRECIO PROVEEDORES'!$A$2:$B$716,2,0)</f>
        <v>2118</v>
      </c>
      <c r="E117" s="12">
        <f t="shared" si="12"/>
        <v>10.59</v>
      </c>
      <c r="G117" s="13" t="s">
        <v>241</v>
      </c>
      <c r="H117" s="10">
        <v>0.15</v>
      </c>
      <c r="I117" s="94">
        <f>+VLOOKUP(G117,'PRECIO PROVEEDORES'!$A$2:$B$716,2,0)</f>
        <v>10203</v>
      </c>
      <c r="J117" s="12">
        <f t="shared" si="13"/>
        <v>1530.45</v>
      </c>
      <c r="L117" s="13" t="s">
        <v>115</v>
      </c>
      <c r="M117" s="10">
        <v>8.5000000000000006E-2</v>
      </c>
      <c r="N117" s="94">
        <f>+VLOOKUP(L117,'PRECIO PROVEEDORES'!$A$2:$B$716,2,0)</f>
        <v>4299.01</v>
      </c>
      <c r="O117" s="12">
        <f t="shared" si="14"/>
        <v>365.41585000000003</v>
      </c>
    </row>
    <row r="118" spans="2:30" ht="15.75" customHeight="1" x14ac:dyDescent="0.2">
      <c r="B118" s="13" t="s">
        <v>237</v>
      </c>
      <c r="C118" s="10">
        <v>0.22500000000000001</v>
      </c>
      <c r="D118" s="94">
        <f>+VLOOKUP(B118,'PRECIO PROVEEDORES'!$A$2:$B$716,2,0)</f>
        <v>1043.22</v>
      </c>
      <c r="E118" s="12">
        <f t="shared" si="12"/>
        <v>234.72450000000001</v>
      </c>
      <c r="G118" s="13" t="s">
        <v>210</v>
      </c>
      <c r="H118" s="10">
        <v>0.15</v>
      </c>
      <c r="I118" s="94">
        <f>+VLOOKUP(G118,'PRECIO PROVEEDORES'!$A$2:$B$716,2,0)</f>
        <v>1352</v>
      </c>
      <c r="J118" s="12">
        <f t="shared" si="13"/>
        <v>202.79999999999998</v>
      </c>
      <c r="L118" s="13" t="s">
        <v>289</v>
      </c>
      <c r="M118" s="10">
        <v>0.08</v>
      </c>
      <c r="N118" s="94">
        <f>+VLOOKUP(L118,'PRECIO PROVEEDORES'!$A$2:$B$716,2,0)</f>
        <v>11721</v>
      </c>
      <c r="O118" s="12">
        <f t="shared" si="14"/>
        <v>937.68000000000006</v>
      </c>
    </row>
    <row r="119" spans="2:30" ht="15.75" customHeight="1" x14ac:dyDescent="0.2">
      <c r="B119" s="13" t="s">
        <v>245</v>
      </c>
      <c r="C119" s="10">
        <v>5.0000000000000001E-3</v>
      </c>
      <c r="D119" s="94">
        <f>+VLOOKUP(B119,'PRECIO PROVEEDORES'!$A$2:$B$716,2,0)</f>
        <v>2517</v>
      </c>
      <c r="E119" s="12">
        <f t="shared" si="12"/>
        <v>12.585000000000001</v>
      </c>
      <c r="G119" s="13" t="s">
        <v>17</v>
      </c>
      <c r="H119" s="10">
        <v>4</v>
      </c>
      <c r="I119" s="94">
        <f>+VLOOKUP(G119,'PRECIO PROVEEDORES'!$A$2:$B$716,2,0)</f>
        <v>192</v>
      </c>
      <c r="J119" s="12">
        <f t="shared" si="13"/>
        <v>768</v>
      </c>
      <c r="L119" s="7" t="s">
        <v>291</v>
      </c>
      <c r="M119" s="10">
        <v>0.03</v>
      </c>
      <c r="N119" s="94">
        <f>+VLOOKUP(L119,'PRECIO PROVEEDORES'!$A$2:$B$716,2,0)</f>
        <v>1037</v>
      </c>
      <c r="O119" s="12">
        <f t="shared" si="14"/>
        <v>31.11</v>
      </c>
    </row>
    <row r="120" spans="2:30" ht="15.75" customHeight="1" x14ac:dyDescent="0.2">
      <c r="B120" s="13" t="s">
        <v>266</v>
      </c>
      <c r="C120" s="10">
        <v>4.0000000000000001E-3</v>
      </c>
      <c r="D120" s="94">
        <f>+VLOOKUP(B120,'PRECIO PROVEEDORES'!$A$2:$B$716,2,0)</f>
        <v>6040</v>
      </c>
      <c r="E120" s="12">
        <f t="shared" si="12"/>
        <v>24.16</v>
      </c>
      <c r="G120" s="13" t="s">
        <v>273</v>
      </c>
      <c r="H120" s="10">
        <v>0.02</v>
      </c>
      <c r="I120" s="94">
        <f>+VLOOKUP(G120,'PRECIO PROVEEDORES'!$A$2:$B$716,2,0)</f>
        <v>2191</v>
      </c>
      <c r="J120" s="12">
        <f t="shared" si="13"/>
        <v>43.82</v>
      </c>
      <c r="L120" s="13" t="s">
        <v>265</v>
      </c>
      <c r="M120" s="10">
        <v>2.5000000000000001E-2</v>
      </c>
      <c r="N120" s="94">
        <f>+VLOOKUP(L120,'PRECIO PROVEEDORES'!$A$2:$B$716,2,0)</f>
        <v>2118</v>
      </c>
      <c r="O120" s="12">
        <f t="shared" si="14"/>
        <v>52.95</v>
      </c>
    </row>
    <row r="121" spans="2:30" ht="15.75" customHeight="1" x14ac:dyDescent="0.2">
      <c r="B121" s="13" t="s">
        <v>255</v>
      </c>
      <c r="C121" s="10">
        <v>4.0000000000000001E-3</v>
      </c>
      <c r="D121" s="94">
        <f>+VLOOKUP(B121,'PRECIO PROVEEDORES'!$A$2:$B$716,2,0)</f>
        <v>10061.64</v>
      </c>
      <c r="E121" s="12">
        <f t="shared" si="12"/>
        <v>40.246559999999995</v>
      </c>
      <c r="G121" s="13" t="s">
        <v>280</v>
      </c>
      <c r="H121" s="36">
        <v>0.1</v>
      </c>
      <c r="I121" s="94">
        <f>+VLOOKUP(G121,'PRECIO PROVEEDORES'!$A$2:$B$716,2,0)</f>
        <v>3356</v>
      </c>
      <c r="J121" s="12">
        <f t="shared" si="13"/>
        <v>335.6</v>
      </c>
      <c r="L121" s="13" t="s">
        <v>49</v>
      </c>
      <c r="M121" s="10">
        <v>0.01</v>
      </c>
      <c r="N121" s="94">
        <f>+VLOOKUP(L121,'PRECIO PROVEEDORES'!$A$2:$B$716,2,0)</f>
        <v>1633</v>
      </c>
      <c r="O121" s="12">
        <f t="shared" si="14"/>
        <v>16.330000000000002</v>
      </c>
    </row>
    <row r="122" spans="2:30" ht="15.75" customHeight="1" x14ac:dyDescent="0.2">
      <c r="B122" s="13" t="s">
        <v>115</v>
      </c>
      <c r="C122" s="10">
        <v>0.15</v>
      </c>
      <c r="D122" s="94">
        <f>+VLOOKUP(B122,'PRECIO PROVEEDORES'!$A$2:$B$716,2,0)</f>
        <v>4299.01</v>
      </c>
      <c r="E122" s="12">
        <f t="shared" si="12"/>
        <v>644.85149999999999</v>
      </c>
      <c r="G122" s="7" t="s">
        <v>292</v>
      </c>
      <c r="H122" s="36">
        <v>0.4</v>
      </c>
      <c r="I122" s="94">
        <f>+VLOOKUP(G122,'PRECIO PROVEEDORES'!$A$2:$B$716,2,0)</f>
        <v>8184</v>
      </c>
      <c r="J122" s="12">
        <f t="shared" si="13"/>
        <v>3273.6000000000004</v>
      </c>
      <c r="L122" s="13" t="s">
        <v>237</v>
      </c>
      <c r="M122" s="10">
        <v>0.32</v>
      </c>
      <c r="N122" s="94">
        <f>+VLOOKUP(L122,'PRECIO PROVEEDORES'!$A$2:$B$716,2,0)</f>
        <v>1043.22</v>
      </c>
      <c r="O122" s="12">
        <f t="shared" si="14"/>
        <v>333.8304</v>
      </c>
    </row>
    <row r="123" spans="2:30" ht="15.75" customHeight="1" x14ac:dyDescent="0.2">
      <c r="B123" s="13" t="s">
        <v>293</v>
      </c>
      <c r="C123" s="10">
        <v>0.1</v>
      </c>
      <c r="D123" s="94">
        <f>+VLOOKUP(B123,'PRECIO PROVEEDORES'!$A$2:$B$716,2,0)</f>
        <v>27769.5</v>
      </c>
      <c r="E123" s="12">
        <f t="shared" si="12"/>
        <v>2776.9500000000003</v>
      </c>
      <c r="G123" s="71"/>
      <c r="H123" s="66"/>
      <c r="I123" s="69"/>
      <c r="J123" s="70"/>
      <c r="L123" s="109" t="s">
        <v>274</v>
      </c>
      <c r="M123" s="10">
        <v>0.1</v>
      </c>
      <c r="N123" s="94">
        <f>+VLOOKUP(L123,'PRECIO PROVEEDORES'!$A$2:$B$716,2,0)</f>
        <v>5987</v>
      </c>
      <c r="O123" s="12">
        <f t="shared" si="14"/>
        <v>598.70000000000005</v>
      </c>
    </row>
    <row r="124" spans="2:30" ht="15.75" customHeight="1" x14ac:dyDescent="0.2">
      <c r="B124" s="7" t="s">
        <v>270</v>
      </c>
      <c r="C124" s="10">
        <v>0.04</v>
      </c>
      <c r="D124" s="94">
        <f>+VLOOKUP(B124,'PRECIO PROVEEDORES'!$A$2:$B$716,2,0)</f>
        <v>6292</v>
      </c>
      <c r="E124" s="12">
        <f t="shared" si="12"/>
        <v>251.68</v>
      </c>
      <c r="G124" s="71"/>
      <c r="H124" s="66"/>
      <c r="I124" s="69"/>
      <c r="J124" s="70"/>
      <c r="L124" s="7" t="s">
        <v>246</v>
      </c>
      <c r="M124" s="10">
        <v>1.2E-2</v>
      </c>
      <c r="N124" s="94">
        <f>+VLOOKUP(L124,'PRECIO PROVEEDORES'!$A$2:$B$716,2,0)</f>
        <v>6040</v>
      </c>
      <c r="O124" s="12">
        <f t="shared" si="14"/>
        <v>72.48</v>
      </c>
    </row>
    <row r="125" spans="2:30" ht="15.75" customHeight="1" x14ac:dyDescent="0.2">
      <c r="B125" s="7" t="s">
        <v>294</v>
      </c>
      <c r="C125" s="102">
        <v>0</v>
      </c>
      <c r="D125" s="94">
        <f>+VLOOKUP(B125,'PRECIO PROVEEDORES'!$A$2:$B$716,2,0)</f>
        <v>0</v>
      </c>
      <c r="E125" s="12">
        <f t="shared" si="12"/>
        <v>0</v>
      </c>
      <c r="G125" s="71"/>
      <c r="H125" s="66"/>
      <c r="I125" s="69"/>
      <c r="J125" s="70"/>
      <c r="L125" s="13" t="s">
        <v>245</v>
      </c>
      <c r="M125" s="10">
        <v>0.01</v>
      </c>
      <c r="N125" s="94">
        <f>+VLOOKUP(L125,'PRECIO PROVEEDORES'!$A$2:$B$716,2,0)</f>
        <v>2517</v>
      </c>
      <c r="O125" s="12">
        <f t="shared" si="14"/>
        <v>25.17</v>
      </c>
    </row>
    <row r="126" spans="2:30" ht="15.75" customHeight="1" x14ac:dyDescent="0.2">
      <c r="B126" s="13" t="s">
        <v>247</v>
      </c>
      <c r="C126" s="10">
        <v>0.1</v>
      </c>
      <c r="D126" s="94">
        <f>+VLOOKUP(B126,'PRECIO PROVEEDORES'!$A$2:$B$716,2,0)</f>
        <v>12000</v>
      </c>
      <c r="E126" s="12">
        <f t="shared" si="12"/>
        <v>1200</v>
      </c>
      <c r="G126" s="64"/>
      <c r="H126" s="66"/>
      <c r="I126" s="69"/>
      <c r="J126" s="70"/>
      <c r="L126" s="13" t="s">
        <v>293</v>
      </c>
      <c r="M126" s="10">
        <v>0.105</v>
      </c>
      <c r="N126" s="94">
        <f>+VLOOKUP(L126,'PRECIO PROVEEDORES'!$A$2:$B$716,2,0)</f>
        <v>27769.5</v>
      </c>
      <c r="O126" s="12">
        <f t="shared" si="14"/>
        <v>2915.7974999999997</v>
      </c>
    </row>
    <row r="127" spans="2:30" ht="15.75" customHeight="1" x14ac:dyDescent="0.2">
      <c r="B127" s="13" t="s">
        <v>269</v>
      </c>
      <c r="C127" s="10">
        <v>0.1</v>
      </c>
      <c r="D127" s="94">
        <f>+VLOOKUP(B127,'PRECIO PROVEEDORES'!$A$2:$B$716,2,0)</f>
        <v>6600</v>
      </c>
      <c r="E127" s="12">
        <f t="shared" si="12"/>
        <v>660</v>
      </c>
      <c r="G127" s="64"/>
      <c r="H127" s="66"/>
      <c r="I127" s="69"/>
      <c r="J127" s="70"/>
      <c r="L127" s="13" t="s">
        <v>295</v>
      </c>
      <c r="M127" s="10">
        <v>0.1</v>
      </c>
      <c r="N127" s="94">
        <f>+VLOOKUP(L127,'PRECIO PROVEEDORES'!$A$2:$B$716,2,0)</f>
        <v>28023.56</v>
      </c>
      <c r="O127" s="12">
        <f t="shared" si="14"/>
        <v>2802.3560000000002</v>
      </c>
    </row>
    <row r="128" spans="2:30" ht="15.75" customHeight="1" x14ac:dyDescent="0.2">
      <c r="B128" s="13" t="s">
        <v>271</v>
      </c>
      <c r="C128" s="10">
        <v>0.4</v>
      </c>
      <c r="D128" s="94">
        <f>+VLOOKUP(B128,'PRECIO PROVEEDORES'!$A$2:$B$716,2,0)</f>
        <v>1684</v>
      </c>
      <c r="E128" s="12">
        <f t="shared" si="12"/>
        <v>673.6</v>
      </c>
      <c r="G128" s="64"/>
      <c r="H128" s="66"/>
      <c r="I128" s="69"/>
      <c r="J128" s="70"/>
      <c r="L128" s="64"/>
      <c r="M128" s="66"/>
      <c r="N128" s="69"/>
      <c r="O128" s="70"/>
    </row>
    <row r="129" spans="2:15" ht="15.75" customHeight="1" x14ac:dyDescent="0.2">
      <c r="B129" s="13"/>
      <c r="C129" s="66"/>
      <c r="D129" s="69"/>
      <c r="E129" s="70"/>
      <c r="G129" s="64"/>
      <c r="H129" s="66"/>
      <c r="I129" s="69"/>
      <c r="J129" s="70"/>
      <c r="L129" s="64"/>
      <c r="M129" s="66"/>
      <c r="N129" s="69"/>
      <c r="O129" s="70"/>
    </row>
    <row r="130" spans="2:15" ht="15.75" customHeight="1" x14ac:dyDescent="0.2">
      <c r="B130" s="13"/>
      <c r="C130" s="66"/>
      <c r="D130" s="69"/>
      <c r="E130" s="70"/>
      <c r="G130" s="64"/>
      <c r="H130" s="66"/>
      <c r="I130" s="69"/>
      <c r="J130" s="70"/>
      <c r="L130" s="64"/>
      <c r="M130" s="66"/>
      <c r="N130" s="69"/>
      <c r="O130" s="70"/>
    </row>
    <row r="131" spans="2:15" ht="15.75" customHeight="1" x14ac:dyDescent="0.2">
      <c r="B131" s="72" t="s">
        <v>52</v>
      </c>
      <c r="C131" s="73"/>
      <c r="D131" s="74"/>
      <c r="E131" s="95">
        <f>SUM(E114:E128)</f>
        <v>8298.2475600000016</v>
      </c>
      <c r="G131" s="72" t="s">
        <v>52</v>
      </c>
      <c r="H131" s="73"/>
      <c r="I131" s="74"/>
      <c r="J131" s="95">
        <f>SUM(J114:J128)</f>
        <v>13613.297920000001</v>
      </c>
      <c r="L131" s="72" t="s">
        <v>52</v>
      </c>
      <c r="M131" s="73"/>
      <c r="N131" s="74"/>
      <c r="O131" s="95">
        <f>SUM(O114:O128)</f>
        <v>9838.7697499999995</v>
      </c>
    </row>
    <row r="132" spans="2:15" ht="15.75" customHeight="1" x14ac:dyDescent="0.2">
      <c r="B132" s="76" t="s">
        <v>53</v>
      </c>
      <c r="C132" s="77"/>
      <c r="D132" s="78"/>
      <c r="E132" s="96">
        <f>SUM(E131)</f>
        <v>8298.2475600000016</v>
      </c>
      <c r="G132" s="76" t="s">
        <v>53</v>
      </c>
      <c r="H132" s="77"/>
      <c r="I132" s="78"/>
      <c r="J132" s="96">
        <f>SUM(J131)</f>
        <v>13613.297920000001</v>
      </c>
      <c r="L132" s="76" t="s">
        <v>53</v>
      </c>
      <c r="M132" s="77"/>
      <c r="N132" s="78"/>
      <c r="O132" s="96">
        <f>SUM(O131)</f>
        <v>9838.7697499999995</v>
      </c>
    </row>
    <row r="133" spans="2:15" ht="15.75" customHeight="1" x14ac:dyDescent="0.2">
      <c r="B133" s="76" t="s">
        <v>54</v>
      </c>
      <c r="C133" s="77"/>
      <c r="D133" s="78"/>
      <c r="E133" s="96">
        <f>+E132</f>
        <v>8298.2475600000016</v>
      </c>
      <c r="G133" s="76" t="s">
        <v>54</v>
      </c>
      <c r="H133" s="77"/>
      <c r="I133" s="78"/>
      <c r="J133" s="96">
        <f>+J132</f>
        <v>13613.297920000001</v>
      </c>
      <c r="L133" s="76" t="s">
        <v>54</v>
      </c>
      <c r="M133" s="77"/>
      <c r="N133" s="78"/>
      <c r="O133" s="96">
        <f>+O132</f>
        <v>9838.7697499999995</v>
      </c>
    </row>
    <row r="134" spans="2:15" ht="15.75" customHeight="1" x14ac:dyDescent="0.2">
      <c r="B134" s="76" t="s">
        <v>55</v>
      </c>
      <c r="C134" s="77"/>
      <c r="D134" s="80">
        <v>0.3</v>
      </c>
      <c r="E134" s="81"/>
      <c r="G134" s="76" t="s">
        <v>55</v>
      </c>
      <c r="H134" s="77"/>
      <c r="I134" s="80">
        <v>0.3</v>
      </c>
      <c r="J134" s="81"/>
      <c r="L134" s="76" t="s">
        <v>55</v>
      </c>
      <c r="M134" s="77"/>
      <c r="N134" s="80">
        <v>0.3</v>
      </c>
      <c r="O134" s="81"/>
    </row>
    <row r="135" spans="2:15" ht="15.75" customHeight="1" x14ac:dyDescent="0.2">
      <c r="B135" s="76" t="s">
        <v>56</v>
      </c>
      <c r="C135" s="77"/>
      <c r="D135" s="82"/>
      <c r="E135" s="96">
        <f>+E133*3.33333333333333</f>
        <v>27660.825199999977</v>
      </c>
      <c r="G135" s="76" t="s">
        <v>56</v>
      </c>
      <c r="H135" s="77"/>
      <c r="I135" s="82"/>
      <c r="J135" s="96">
        <f>+J133*3.33333333333333</f>
        <v>45377.65973333329</v>
      </c>
      <c r="L135" s="76" t="s">
        <v>56</v>
      </c>
      <c r="M135" s="77"/>
      <c r="N135" s="82"/>
      <c r="O135" s="96">
        <f>+O133*3.33333333333333</f>
        <v>32795.899166666633</v>
      </c>
    </row>
    <row r="136" spans="2:15" ht="15.75" customHeight="1" x14ac:dyDescent="0.2">
      <c r="B136" s="76" t="s">
        <v>57</v>
      </c>
      <c r="C136" s="77"/>
      <c r="D136" s="78"/>
      <c r="E136" s="96">
        <v>2592</v>
      </c>
      <c r="G136" s="76" t="s">
        <v>57</v>
      </c>
      <c r="H136" s="77"/>
      <c r="I136" s="78"/>
      <c r="J136" s="96">
        <v>4658</v>
      </c>
      <c r="L136" s="76" t="s">
        <v>57</v>
      </c>
      <c r="M136" s="77"/>
      <c r="N136" s="78"/>
      <c r="O136" s="96">
        <v>2631</v>
      </c>
    </row>
    <row r="137" spans="2:15" ht="15.75" customHeight="1" x14ac:dyDescent="0.2">
      <c r="B137" s="71"/>
      <c r="C137" s="77"/>
      <c r="D137" s="78"/>
      <c r="E137" s="95">
        <f>+E136-E135</f>
        <v>-25068.825199999977</v>
      </c>
      <c r="G137" s="71"/>
      <c r="H137" s="77"/>
      <c r="I137" s="78"/>
      <c r="J137" s="95">
        <f>+J136-J135</f>
        <v>-40719.65973333329</v>
      </c>
      <c r="L137" s="71"/>
      <c r="M137" s="77"/>
      <c r="N137" s="78"/>
      <c r="O137" s="95">
        <f>+O136-O135</f>
        <v>-30164.899166666633</v>
      </c>
    </row>
    <row r="138" spans="2:15" ht="15.75" customHeight="1" x14ac:dyDescent="0.2">
      <c r="B138" s="32" t="s">
        <v>58</v>
      </c>
      <c r="C138" s="83"/>
      <c r="D138" s="110"/>
      <c r="E138" s="98">
        <f>E133/E136</f>
        <v>3.2014843981481489</v>
      </c>
      <c r="G138" s="32" t="s">
        <v>58</v>
      </c>
      <c r="H138" s="83"/>
      <c r="I138" s="110"/>
      <c r="J138" s="98">
        <f>J133/J136</f>
        <v>2.922562885358523</v>
      </c>
      <c r="L138" s="32" t="s">
        <v>58</v>
      </c>
      <c r="M138" s="83"/>
      <c r="N138" s="110"/>
      <c r="O138" s="98">
        <f>O133/O136</f>
        <v>3.739555207145572</v>
      </c>
    </row>
    <row r="139" spans="2:15" ht="15.75" customHeight="1" x14ac:dyDescent="0.15"/>
    <row r="140" spans="2:15" ht="15.75" customHeight="1" x14ac:dyDescent="0.15"/>
    <row r="141" spans="2:15" ht="15.75" customHeight="1" x14ac:dyDescent="0.2">
      <c r="B141" s="218" t="s">
        <v>296</v>
      </c>
      <c r="C141" s="213"/>
      <c r="D141" s="213"/>
      <c r="E141" s="214"/>
      <c r="G141" s="218" t="s">
        <v>297</v>
      </c>
      <c r="H141" s="213"/>
      <c r="I141" s="213"/>
      <c r="J141" s="214"/>
      <c r="L141" s="218" t="s">
        <v>298</v>
      </c>
      <c r="M141" s="213"/>
      <c r="N141" s="213"/>
      <c r="O141" s="214"/>
    </row>
    <row r="142" spans="2:15" ht="15.75" customHeight="1" x14ac:dyDescent="0.2">
      <c r="B142" s="64"/>
      <c r="C142" s="65" t="s">
        <v>8</v>
      </c>
      <c r="D142" s="7" t="s">
        <v>9</v>
      </c>
      <c r="E142" s="8" t="s">
        <v>10</v>
      </c>
      <c r="G142" s="64"/>
      <c r="H142" s="65" t="s">
        <v>8</v>
      </c>
      <c r="I142" s="7" t="s">
        <v>9</v>
      </c>
      <c r="J142" s="8" t="s">
        <v>10</v>
      </c>
      <c r="L142" s="64"/>
      <c r="M142" s="65" t="s">
        <v>8</v>
      </c>
      <c r="N142" s="7" t="s">
        <v>9</v>
      </c>
      <c r="O142" s="8" t="s">
        <v>10</v>
      </c>
    </row>
    <row r="143" spans="2:15" ht="15.75" customHeight="1" x14ac:dyDescent="0.2">
      <c r="B143" s="13" t="s">
        <v>247</v>
      </c>
      <c r="C143" s="10">
        <v>0.2</v>
      </c>
      <c r="D143" s="94">
        <f>+VLOOKUP(B143,'PRECIO PROVEEDORES'!$A$2:$B$716,2,0)</f>
        <v>12000</v>
      </c>
      <c r="E143" s="12">
        <f t="shared" ref="E143:E153" si="15">+C143*D143</f>
        <v>2400</v>
      </c>
      <c r="G143" s="108" t="s">
        <v>248</v>
      </c>
      <c r="H143" s="10">
        <v>0.125</v>
      </c>
      <c r="I143" s="94">
        <f>+VLOOKUP(G143,'PRECIO PROVEEDORES'!$A$2:$B$716,2,0)</f>
        <v>39988</v>
      </c>
      <c r="J143" s="12">
        <f t="shared" ref="J143:J151" si="16">+H143*I143</f>
        <v>4998.5</v>
      </c>
      <c r="L143" s="66" t="s">
        <v>235</v>
      </c>
      <c r="M143" s="68">
        <v>0.39</v>
      </c>
      <c r="N143" s="94">
        <f>+VLOOKUP(L143,'PRECIO PROVEEDORES'!$A$2:$B$716,2,0)</f>
        <v>13662</v>
      </c>
      <c r="O143" s="12">
        <f t="shared" ref="O143:O153" si="17">+M143*N143</f>
        <v>5328.18</v>
      </c>
    </row>
    <row r="144" spans="2:15" ht="15.75" customHeight="1" x14ac:dyDescent="0.2">
      <c r="B144" s="13" t="s">
        <v>210</v>
      </c>
      <c r="C144" s="10">
        <v>0.38</v>
      </c>
      <c r="D144" s="94">
        <f>+VLOOKUP(B144,'PRECIO PROVEEDORES'!$A$2:$B$716,2,0)</f>
        <v>1352</v>
      </c>
      <c r="E144" s="12">
        <f t="shared" si="15"/>
        <v>513.76</v>
      </c>
      <c r="G144" s="13" t="s">
        <v>247</v>
      </c>
      <c r="H144" s="10">
        <v>0.1</v>
      </c>
      <c r="I144" s="94">
        <f>+VLOOKUP(G144,'PRECIO PROVEEDORES'!$A$2:$B$716,2,0)</f>
        <v>12000</v>
      </c>
      <c r="J144" s="12">
        <f t="shared" si="16"/>
        <v>1200</v>
      </c>
      <c r="L144" s="66" t="s">
        <v>265</v>
      </c>
      <c r="M144" s="68">
        <v>0.01</v>
      </c>
      <c r="N144" s="94">
        <f>+VLOOKUP(L144,'PRECIO PROVEEDORES'!$A$2:$B$716,2,0)</f>
        <v>2118</v>
      </c>
      <c r="O144" s="12">
        <f t="shared" si="17"/>
        <v>21.18</v>
      </c>
    </row>
    <row r="145" spans="2:15" ht="15.75" customHeight="1" x14ac:dyDescent="0.2">
      <c r="B145" s="13" t="s">
        <v>115</v>
      </c>
      <c r="C145" s="10">
        <v>4.4999999999999998E-2</v>
      </c>
      <c r="D145" s="94">
        <f>+VLOOKUP(B145,'PRECIO PROVEEDORES'!$A$2:$B$716,2,0)</f>
        <v>4299.01</v>
      </c>
      <c r="E145" s="12">
        <f t="shared" si="15"/>
        <v>193.45545000000001</v>
      </c>
      <c r="G145" s="13" t="s">
        <v>17</v>
      </c>
      <c r="H145" s="10">
        <v>4</v>
      </c>
      <c r="I145" s="94">
        <f>+VLOOKUP(G145,'PRECIO PROVEEDORES'!$A$2:$B$716,2,0)</f>
        <v>192</v>
      </c>
      <c r="J145" s="12">
        <f t="shared" si="16"/>
        <v>768</v>
      </c>
      <c r="L145" s="66" t="s">
        <v>210</v>
      </c>
      <c r="M145" s="68">
        <v>0.66</v>
      </c>
      <c r="N145" s="94">
        <f>+VLOOKUP(L145,'PRECIO PROVEEDORES'!$A$2:$B$716,2,0)</f>
        <v>1352</v>
      </c>
      <c r="O145" s="12">
        <f t="shared" si="17"/>
        <v>892.32</v>
      </c>
    </row>
    <row r="146" spans="2:15" ht="15.75" customHeight="1" x14ac:dyDescent="0.2">
      <c r="B146" s="13" t="s">
        <v>17</v>
      </c>
      <c r="C146" s="10">
        <v>5</v>
      </c>
      <c r="D146" s="94">
        <f>+VLOOKUP(B146,'PRECIO PROVEEDORES'!$A$2:$B$716,2,0)</f>
        <v>192</v>
      </c>
      <c r="E146" s="12">
        <f t="shared" si="15"/>
        <v>960</v>
      </c>
      <c r="G146" s="13" t="s">
        <v>210</v>
      </c>
      <c r="H146" s="10">
        <v>0.4</v>
      </c>
      <c r="I146" s="94">
        <f>+VLOOKUP(G146,'PRECIO PROVEEDORES'!$A$2:$B$716,2,0)</f>
        <v>1352</v>
      </c>
      <c r="J146" s="12">
        <f t="shared" si="16"/>
        <v>540.80000000000007</v>
      </c>
      <c r="L146" s="66" t="s">
        <v>17</v>
      </c>
      <c r="M146" s="68">
        <v>3</v>
      </c>
      <c r="N146" s="94">
        <f>+VLOOKUP(L146,'PRECIO PROVEEDORES'!$A$2:$B$716,2,0)</f>
        <v>192</v>
      </c>
      <c r="O146" s="12">
        <f t="shared" si="17"/>
        <v>576</v>
      </c>
    </row>
    <row r="147" spans="2:15" ht="15.75" customHeight="1" x14ac:dyDescent="0.2">
      <c r="B147" s="13" t="s">
        <v>166</v>
      </c>
      <c r="C147" s="10">
        <v>0.17499999999999999</v>
      </c>
      <c r="D147" s="94">
        <f>+VLOOKUP(B147,'PRECIO PROVEEDORES'!$A$2:$B$716,2,0)</f>
        <v>1940</v>
      </c>
      <c r="E147" s="12">
        <f t="shared" si="15"/>
        <v>339.5</v>
      </c>
      <c r="G147" s="13" t="s">
        <v>275</v>
      </c>
      <c r="H147" s="10">
        <v>0.04</v>
      </c>
      <c r="I147" s="94">
        <f>+VLOOKUP(G147,'PRECIO PROVEEDORES'!$A$2:$B$716,2,0)</f>
        <v>13205</v>
      </c>
      <c r="J147" s="12">
        <f t="shared" si="16"/>
        <v>528.20000000000005</v>
      </c>
      <c r="L147" s="66" t="s">
        <v>266</v>
      </c>
      <c r="M147" s="103">
        <v>2.5000000000000001E-2</v>
      </c>
      <c r="N147" s="94">
        <f>+VLOOKUP(L147,'PRECIO PROVEEDORES'!$A$2:$B$716,2,0)</f>
        <v>6040</v>
      </c>
      <c r="O147" s="12">
        <f t="shared" si="17"/>
        <v>151</v>
      </c>
    </row>
    <row r="148" spans="2:15" ht="15.75" customHeight="1" x14ac:dyDescent="0.2">
      <c r="B148" s="13" t="s">
        <v>220</v>
      </c>
      <c r="C148" s="10">
        <v>0.2</v>
      </c>
      <c r="D148" s="94">
        <f>+VLOOKUP(B148,'PRECIO PROVEEDORES'!$A$2:$B$716,2,0)</f>
        <v>3000</v>
      </c>
      <c r="E148" s="12">
        <f t="shared" si="15"/>
        <v>600</v>
      </c>
      <c r="G148" s="108" t="s">
        <v>256</v>
      </c>
      <c r="H148" s="10">
        <v>0.1</v>
      </c>
      <c r="I148" s="94">
        <f>+VLOOKUP(G148,'PRECIO PROVEEDORES'!$A$2:$B$716,2,0)</f>
        <v>34892</v>
      </c>
      <c r="J148" s="12">
        <f t="shared" si="16"/>
        <v>3489.2000000000003</v>
      </c>
      <c r="L148" s="66" t="s">
        <v>237</v>
      </c>
      <c r="M148" s="68">
        <v>0.96499999999999997</v>
      </c>
      <c r="N148" s="94">
        <f>+VLOOKUP(L148,'PRECIO PROVEEDORES'!$A$2:$B$716,2,0)</f>
        <v>1043.22</v>
      </c>
      <c r="O148" s="12">
        <f t="shared" si="17"/>
        <v>1006.7073</v>
      </c>
    </row>
    <row r="149" spans="2:15" ht="15.75" customHeight="1" x14ac:dyDescent="0.2">
      <c r="B149" s="13" t="s">
        <v>237</v>
      </c>
      <c r="C149" s="10">
        <v>0.36</v>
      </c>
      <c r="D149" s="94">
        <f>+VLOOKUP(B149,'PRECIO PROVEEDORES'!$A$2:$B$716,2,0)</f>
        <v>1043.22</v>
      </c>
      <c r="E149" s="12">
        <f t="shared" si="15"/>
        <v>375.55919999999998</v>
      </c>
      <c r="G149" s="13" t="s">
        <v>241</v>
      </c>
      <c r="H149" s="10">
        <v>0.42</v>
      </c>
      <c r="I149" s="94">
        <f>+VLOOKUP(G149,'PRECIO PROVEEDORES'!$A$2:$B$716,2,0)</f>
        <v>10203</v>
      </c>
      <c r="J149" s="12">
        <f t="shared" si="16"/>
        <v>4285.26</v>
      </c>
      <c r="L149" s="66" t="s">
        <v>282</v>
      </c>
      <c r="M149" s="103">
        <v>7.0000000000000007E-2</v>
      </c>
      <c r="N149" s="94">
        <f>+VLOOKUP(L149,'PRECIO PROVEEDORES'!$A$2:$B$716,2,0)</f>
        <v>25872</v>
      </c>
      <c r="O149" s="12">
        <f t="shared" si="17"/>
        <v>1811.0400000000002</v>
      </c>
    </row>
    <row r="150" spans="2:15" ht="15.75" customHeight="1" x14ac:dyDescent="0.2">
      <c r="B150" s="13" t="s">
        <v>266</v>
      </c>
      <c r="C150" s="10">
        <v>2.5000000000000001E-2</v>
      </c>
      <c r="D150" s="94">
        <f>+VLOOKUP(B150,'PRECIO PROVEEDORES'!$A$2:$B$716,2,0)</f>
        <v>6040</v>
      </c>
      <c r="E150" s="12">
        <f t="shared" si="15"/>
        <v>151</v>
      </c>
      <c r="G150" s="13" t="s">
        <v>244</v>
      </c>
      <c r="H150" s="10">
        <v>0.2</v>
      </c>
      <c r="I150" s="94">
        <f>+VLOOKUP(G150,'PRECIO PROVEEDORES'!$A$2:$B$716,2,0)</f>
        <v>24829</v>
      </c>
      <c r="J150" s="12">
        <f t="shared" si="16"/>
        <v>4965.8</v>
      </c>
      <c r="L150" s="64" t="s">
        <v>166</v>
      </c>
      <c r="M150" s="66">
        <v>0.34499999999999997</v>
      </c>
      <c r="N150" s="94">
        <f>+VLOOKUP(L150,'PRECIO PROVEEDORES'!$A$2:$B$716,2,0)</f>
        <v>1940</v>
      </c>
      <c r="O150" s="12">
        <f t="shared" si="17"/>
        <v>669.3</v>
      </c>
    </row>
    <row r="151" spans="2:15" ht="15.75" customHeight="1" x14ac:dyDescent="0.2">
      <c r="B151" s="13" t="s">
        <v>265</v>
      </c>
      <c r="C151" s="10">
        <v>0.01</v>
      </c>
      <c r="D151" s="94">
        <f>+VLOOKUP(B151,'PRECIO PROVEEDORES'!$A$2:$B$716,2,0)</f>
        <v>2118</v>
      </c>
      <c r="E151" s="12">
        <f t="shared" si="15"/>
        <v>21.18</v>
      </c>
      <c r="G151" s="7" t="s">
        <v>299</v>
      </c>
      <c r="H151" s="10">
        <v>1.7000000000000001E-2</v>
      </c>
      <c r="I151" s="94">
        <f>+VLOOKUP(G151,'PRECIO PROVEEDORES'!$A$2:$B$716,2,0)</f>
        <v>18329</v>
      </c>
      <c r="J151" s="12">
        <f t="shared" si="16"/>
        <v>311.59300000000002</v>
      </c>
      <c r="L151" s="71" t="s">
        <v>283</v>
      </c>
      <c r="M151" s="66">
        <v>5.0000000000000001E-3</v>
      </c>
      <c r="N151" s="94">
        <f>+VLOOKUP(L151,'PRECIO PROVEEDORES'!$A$2:$B$716,2,0)</f>
        <v>36376.47</v>
      </c>
      <c r="O151" s="12">
        <f t="shared" si="17"/>
        <v>181.88235</v>
      </c>
    </row>
    <row r="152" spans="2:15" ht="15.75" customHeight="1" x14ac:dyDescent="0.2">
      <c r="B152" s="7" t="s">
        <v>300</v>
      </c>
      <c r="C152" s="10">
        <v>1.4999999999999999E-2</v>
      </c>
      <c r="D152" s="94">
        <f>+VLOOKUP(B152,'PRECIO PROVEEDORES'!$A$2:$B$716,2,0)</f>
        <v>15044</v>
      </c>
      <c r="E152" s="12">
        <f t="shared" si="15"/>
        <v>225.66</v>
      </c>
      <c r="H152" s="66"/>
      <c r="I152" s="69"/>
      <c r="J152" s="70"/>
      <c r="L152" s="71" t="s">
        <v>255</v>
      </c>
      <c r="M152" s="66">
        <v>3.0000000000000001E-3</v>
      </c>
      <c r="N152" s="94">
        <f>+VLOOKUP(L152,'PRECIO PROVEEDORES'!$A$2:$B$716,2,0)</f>
        <v>10061.64</v>
      </c>
      <c r="O152" s="12">
        <f t="shared" si="17"/>
        <v>30.184919999999998</v>
      </c>
    </row>
    <row r="153" spans="2:15" ht="15.75" customHeight="1" x14ac:dyDescent="0.2">
      <c r="B153" s="7" t="s">
        <v>301</v>
      </c>
      <c r="C153" s="10">
        <v>0.2</v>
      </c>
      <c r="D153" s="94">
        <f>+VLOOKUP(B153,'PRECIO PROVEEDORES'!$A$2:$B$716,2,0)</f>
        <v>1684</v>
      </c>
      <c r="E153" s="12">
        <f t="shared" si="15"/>
        <v>336.8</v>
      </c>
      <c r="G153" s="71"/>
      <c r="H153" s="66"/>
      <c r="I153" s="69"/>
      <c r="J153" s="70"/>
      <c r="L153" s="71" t="s">
        <v>244</v>
      </c>
      <c r="M153" s="66">
        <v>0.2</v>
      </c>
      <c r="N153" s="94">
        <f>+VLOOKUP(L153,'PRECIO PROVEEDORES'!$A$2:$B$716,2,0)</f>
        <v>24829</v>
      </c>
      <c r="O153" s="12">
        <f t="shared" si="17"/>
        <v>4965.8</v>
      </c>
    </row>
    <row r="154" spans="2:15" ht="15.75" customHeight="1" x14ac:dyDescent="0.15">
      <c r="B154" s="71"/>
      <c r="C154" s="66"/>
      <c r="D154" s="69"/>
      <c r="E154" s="70"/>
      <c r="G154" s="71"/>
      <c r="H154" s="66"/>
      <c r="I154" s="69"/>
      <c r="J154" s="70"/>
      <c r="L154" s="71"/>
      <c r="M154" s="66"/>
      <c r="N154" s="69"/>
      <c r="O154" s="70"/>
    </row>
    <row r="155" spans="2:15" ht="15.75" customHeight="1" x14ac:dyDescent="0.15">
      <c r="B155" s="64"/>
      <c r="C155" s="66"/>
      <c r="D155" s="69"/>
      <c r="E155" s="70"/>
      <c r="G155" s="64"/>
      <c r="H155" s="66"/>
      <c r="I155" s="69"/>
      <c r="J155" s="70"/>
      <c r="L155" s="64"/>
      <c r="M155" s="66"/>
      <c r="N155" s="69"/>
      <c r="O155" s="70"/>
    </row>
    <row r="156" spans="2:15" ht="15.75" customHeight="1" x14ac:dyDescent="0.15">
      <c r="B156" s="64"/>
      <c r="C156" s="66"/>
      <c r="D156" s="69"/>
      <c r="E156" s="70"/>
      <c r="G156" s="64"/>
      <c r="H156" s="66"/>
      <c r="I156" s="69"/>
      <c r="J156" s="70"/>
      <c r="L156" s="64"/>
      <c r="M156" s="66"/>
      <c r="N156" s="69"/>
      <c r="O156" s="70"/>
    </row>
    <row r="157" spans="2:15" ht="15.75" customHeight="1" x14ac:dyDescent="0.15">
      <c r="B157" s="64"/>
      <c r="C157" s="66"/>
      <c r="D157" s="69"/>
      <c r="E157" s="70"/>
      <c r="G157" s="64"/>
      <c r="H157" s="66"/>
      <c r="I157" s="69"/>
      <c r="J157" s="70"/>
      <c r="L157" s="64"/>
      <c r="M157" s="66"/>
      <c r="N157" s="69"/>
      <c r="O157" s="70"/>
    </row>
    <row r="158" spans="2:15" ht="15.75" customHeight="1" x14ac:dyDescent="0.2">
      <c r="B158" s="72" t="s">
        <v>52</v>
      </c>
      <c r="C158" s="73"/>
      <c r="D158" s="74"/>
      <c r="E158" s="95">
        <f>SUM(E143:E157)</f>
        <v>6116.9146499999997</v>
      </c>
      <c r="G158" s="72" t="s">
        <v>52</v>
      </c>
      <c r="H158" s="73"/>
      <c r="I158" s="74"/>
      <c r="J158" s="95">
        <f>SUM(J143:J157)</f>
        <v>21087.353000000003</v>
      </c>
      <c r="L158" s="72" t="s">
        <v>52</v>
      </c>
      <c r="M158" s="73"/>
      <c r="N158" s="74"/>
      <c r="O158" s="95">
        <f>SUM(O143:O157)</f>
        <v>15633.594570000001</v>
      </c>
    </row>
    <row r="159" spans="2:15" ht="15.75" customHeight="1" x14ac:dyDescent="0.2">
      <c r="B159" s="76" t="s">
        <v>53</v>
      </c>
      <c r="C159" s="77"/>
      <c r="D159" s="78"/>
      <c r="E159" s="96">
        <f>SUM(E158)</f>
        <v>6116.9146499999997</v>
      </c>
      <c r="G159" s="76" t="s">
        <v>53</v>
      </c>
      <c r="H159" s="77"/>
      <c r="I159" s="78"/>
      <c r="J159" s="96">
        <f>SUM(J158)</f>
        <v>21087.353000000003</v>
      </c>
      <c r="L159" s="76" t="s">
        <v>53</v>
      </c>
      <c r="M159" s="77"/>
      <c r="N159" s="78"/>
      <c r="O159" s="96">
        <f>SUM(O158)</f>
        <v>15633.594570000001</v>
      </c>
    </row>
    <row r="160" spans="2:15" ht="15.75" customHeight="1" x14ac:dyDescent="0.2">
      <c r="B160" s="76" t="s">
        <v>54</v>
      </c>
      <c r="C160" s="77"/>
      <c r="D160" s="78"/>
      <c r="E160" s="96">
        <f>+E159</f>
        <v>6116.9146499999997</v>
      </c>
      <c r="G160" s="76" t="s">
        <v>54</v>
      </c>
      <c r="H160" s="77"/>
      <c r="I160" s="78"/>
      <c r="J160" s="96">
        <f>+J159/8</f>
        <v>2635.9191250000003</v>
      </c>
      <c r="L160" s="76" t="s">
        <v>54</v>
      </c>
      <c r="M160" s="77"/>
      <c r="N160" s="78"/>
      <c r="O160" s="96">
        <f>+O159/12</f>
        <v>1302.7995475</v>
      </c>
    </row>
    <row r="161" spans="2:15" ht="15.75" customHeight="1" x14ac:dyDescent="0.2">
      <c r="B161" s="76" t="s">
        <v>55</v>
      </c>
      <c r="C161" s="77"/>
      <c r="D161" s="80">
        <v>0.3</v>
      </c>
      <c r="E161" s="81"/>
      <c r="G161" s="76" t="s">
        <v>55</v>
      </c>
      <c r="H161" s="77"/>
      <c r="I161" s="80">
        <v>0.3</v>
      </c>
      <c r="J161" s="81"/>
      <c r="L161" s="76" t="s">
        <v>55</v>
      </c>
      <c r="M161" s="77"/>
      <c r="N161" s="80">
        <v>0.3</v>
      </c>
      <c r="O161" s="81"/>
    </row>
    <row r="162" spans="2:15" ht="15.75" customHeight="1" x14ac:dyDescent="0.2">
      <c r="B162" s="76" t="s">
        <v>56</v>
      </c>
      <c r="C162" s="77"/>
      <c r="D162" s="82"/>
      <c r="E162" s="96">
        <f>+E160*3.33333333333333</f>
        <v>20389.715499999977</v>
      </c>
      <c r="G162" s="76" t="s">
        <v>56</v>
      </c>
      <c r="H162" s="77"/>
      <c r="I162" s="82"/>
      <c r="J162" s="96">
        <f>+J160*3.33333333333333</f>
        <v>8786.397083333326</v>
      </c>
      <c r="L162" s="76" t="s">
        <v>56</v>
      </c>
      <c r="M162" s="77"/>
      <c r="N162" s="82"/>
      <c r="O162" s="96">
        <f>+O160*3.33333333333333</f>
        <v>4342.6651583333287</v>
      </c>
    </row>
    <row r="163" spans="2:15" ht="15.75" customHeight="1" x14ac:dyDescent="0.2">
      <c r="B163" s="76" t="s">
        <v>57</v>
      </c>
      <c r="C163" s="77"/>
      <c r="D163" s="78"/>
      <c r="E163" s="96">
        <v>2052</v>
      </c>
      <c r="G163" s="76" t="s">
        <v>57</v>
      </c>
      <c r="H163" s="77"/>
      <c r="I163" s="78"/>
      <c r="J163" s="96">
        <v>9500</v>
      </c>
      <c r="L163" s="76" t="s">
        <v>57</v>
      </c>
      <c r="M163" s="77"/>
      <c r="N163" s="78"/>
      <c r="O163" s="96">
        <v>4400</v>
      </c>
    </row>
    <row r="164" spans="2:15" ht="15.75" customHeight="1" x14ac:dyDescent="0.2">
      <c r="B164" s="71"/>
      <c r="C164" s="77"/>
      <c r="D164" s="78"/>
      <c r="E164" s="95">
        <f>+E163-E162</f>
        <v>-18337.715499999977</v>
      </c>
      <c r="G164" s="71"/>
      <c r="H164" s="77"/>
      <c r="I164" s="78"/>
      <c r="J164" s="95">
        <f>+J163-J162</f>
        <v>713.60291666667399</v>
      </c>
      <c r="L164" s="71"/>
      <c r="M164" s="77"/>
      <c r="N164" s="78"/>
      <c r="O164" s="95">
        <f>+O163-O162</f>
        <v>57.334841666671309</v>
      </c>
    </row>
    <row r="165" spans="2:15" ht="15.75" customHeight="1" x14ac:dyDescent="0.2">
      <c r="B165" s="32" t="s">
        <v>58</v>
      </c>
      <c r="C165" s="83"/>
      <c r="D165" s="110"/>
      <c r="E165" s="98">
        <f>E160/E163</f>
        <v>2.9809525584795322</v>
      </c>
      <c r="G165" s="32" t="s">
        <v>58</v>
      </c>
      <c r="H165" s="83"/>
      <c r="I165" s="110"/>
      <c r="J165" s="98">
        <f>J160/J163</f>
        <v>0.27746517105263163</v>
      </c>
      <c r="L165" s="32" t="s">
        <v>58</v>
      </c>
      <c r="M165" s="83"/>
      <c r="N165" s="110"/>
      <c r="O165" s="98">
        <f>O160/O163</f>
        <v>0.29609080625</v>
      </c>
    </row>
    <row r="166" spans="2:15" ht="15.75" customHeight="1" x14ac:dyDescent="0.15"/>
    <row r="167" spans="2:15" ht="15.75" customHeight="1" x14ac:dyDescent="0.15"/>
    <row r="168" spans="2:15" ht="15.75" customHeight="1" x14ac:dyDescent="0.2">
      <c r="B168" s="218" t="s">
        <v>302</v>
      </c>
      <c r="C168" s="213"/>
      <c r="D168" s="213"/>
      <c r="E168" s="214"/>
      <c r="G168" s="218" t="s">
        <v>303</v>
      </c>
      <c r="H168" s="213"/>
      <c r="I168" s="213"/>
      <c r="J168" s="214"/>
      <c r="L168" s="218" t="s">
        <v>304</v>
      </c>
      <c r="M168" s="213"/>
      <c r="N168" s="213"/>
      <c r="O168" s="214"/>
    </row>
    <row r="169" spans="2:15" ht="15.75" customHeight="1" x14ac:dyDescent="0.2">
      <c r="B169" s="64"/>
      <c r="C169" s="65" t="s">
        <v>8</v>
      </c>
      <c r="D169" s="7" t="s">
        <v>9</v>
      </c>
      <c r="E169" s="8" t="s">
        <v>10</v>
      </c>
      <c r="G169" s="64"/>
      <c r="H169" s="65" t="s">
        <v>8</v>
      </c>
      <c r="I169" s="7" t="s">
        <v>9</v>
      </c>
      <c r="J169" s="8" t="s">
        <v>10</v>
      </c>
      <c r="L169" s="64"/>
      <c r="M169" s="65" t="s">
        <v>8</v>
      </c>
      <c r="N169" s="7" t="s">
        <v>9</v>
      </c>
      <c r="O169" s="8" t="s">
        <v>10</v>
      </c>
    </row>
    <row r="170" spans="2:15" ht="15.75" customHeight="1" x14ac:dyDescent="0.2">
      <c r="B170" s="7" t="s">
        <v>305</v>
      </c>
      <c r="C170" s="68">
        <v>0.12</v>
      </c>
      <c r="D170" s="94">
        <f>+VLOOKUP(B170,'PRECIO PROVEEDORES'!$A$2:$B$716,2,0)</f>
        <v>12959</v>
      </c>
      <c r="E170" s="12">
        <f t="shared" ref="E170:E182" si="18">+C170*D170</f>
        <v>1555.08</v>
      </c>
      <c r="G170" s="20" t="s">
        <v>306</v>
      </c>
      <c r="H170" s="68">
        <v>2.5</v>
      </c>
      <c r="I170" s="94">
        <f>+VLOOKUP(G170,'PRECIO PROVEEDORES'!$A$2:$B$716,2,0)</f>
        <v>3342.9512328767123</v>
      </c>
      <c r="J170" s="12">
        <f t="shared" ref="J170:J175" si="19">+H170*I170</f>
        <v>8357.3780821917808</v>
      </c>
      <c r="L170" s="66" t="s">
        <v>239</v>
      </c>
      <c r="M170" s="68">
        <v>2</v>
      </c>
      <c r="N170" s="94">
        <f>+VLOOKUP(L170,'PRECIO PROVEEDORES'!$A$2:$B$716,2,0)</f>
        <v>890</v>
      </c>
      <c r="O170" s="12">
        <f t="shared" ref="O170:O175" si="20">+M170*N170</f>
        <v>1780</v>
      </c>
    </row>
    <row r="171" spans="2:15" ht="15.75" customHeight="1" x14ac:dyDescent="0.2">
      <c r="B171" s="66" t="s">
        <v>235</v>
      </c>
      <c r="C171" s="68">
        <v>0.16</v>
      </c>
      <c r="D171" s="94">
        <f>+VLOOKUP(B171,'PRECIO PROVEEDORES'!$A$2:$B$716,2,0)</f>
        <v>13662</v>
      </c>
      <c r="E171" s="12">
        <f t="shared" si="18"/>
        <v>2185.92</v>
      </c>
      <c r="G171" s="66" t="s">
        <v>247</v>
      </c>
      <c r="H171" s="68">
        <v>0.25</v>
      </c>
      <c r="I171" s="94">
        <f>+VLOOKUP(G171,'PRECIO PROVEEDORES'!$A$2:$B$716,2,0)</f>
        <v>12000</v>
      </c>
      <c r="J171" s="12">
        <f t="shared" si="19"/>
        <v>3000</v>
      </c>
      <c r="L171" s="66" t="s">
        <v>210</v>
      </c>
      <c r="M171" s="68">
        <v>0.4</v>
      </c>
      <c r="N171" s="94">
        <f>+VLOOKUP(L171,'PRECIO PROVEEDORES'!$A$2:$B$716,2,0)</f>
        <v>1352</v>
      </c>
      <c r="O171" s="12">
        <f t="shared" si="20"/>
        <v>540.80000000000007</v>
      </c>
    </row>
    <row r="172" spans="2:15" ht="15.75" customHeight="1" x14ac:dyDescent="0.2">
      <c r="B172" s="66" t="s">
        <v>17</v>
      </c>
      <c r="C172" s="68">
        <v>7</v>
      </c>
      <c r="D172" s="94">
        <f>+VLOOKUP(B172,'PRECIO PROVEEDORES'!$A$2:$B$716,2,0)</f>
        <v>192</v>
      </c>
      <c r="E172" s="12">
        <f t="shared" si="18"/>
        <v>1344</v>
      </c>
      <c r="G172" s="66" t="s">
        <v>263</v>
      </c>
      <c r="H172" s="68">
        <v>0.2</v>
      </c>
      <c r="I172" s="94">
        <f>+VLOOKUP(G172,'PRECIO PROVEEDORES'!$A$2:$B$716,2,0)</f>
        <v>1624.77</v>
      </c>
      <c r="J172" s="12">
        <f t="shared" si="19"/>
        <v>324.95400000000001</v>
      </c>
      <c r="L172" s="66" t="s">
        <v>17</v>
      </c>
      <c r="M172" s="68">
        <v>6</v>
      </c>
      <c r="N172" s="94">
        <f>+VLOOKUP(L172,'PRECIO PROVEEDORES'!$A$2:$B$716,2,0)</f>
        <v>192</v>
      </c>
      <c r="O172" s="12">
        <f t="shared" si="20"/>
        <v>1152</v>
      </c>
    </row>
    <row r="173" spans="2:15" ht="15.75" customHeight="1" x14ac:dyDescent="0.2">
      <c r="B173" s="66" t="s">
        <v>307</v>
      </c>
      <c r="C173" s="68">
        <v>2.5000000000000001E-2</v>
      </c>
      <c r="D173" s="67">
        <f>'PRECIO PROVEEDORES'!B468</f>
        <v>2972.2272727272725</v>
      </c>
      <c r="E173" s="12">
        <f t="shared" si="18"/>
        <v>74.30568181818181</v>
      </c>
      <c r="G173" s="66" t="s">
        <v>255</v>
      </c>
      <c r="H173" s="68">
        <v>0.01</v>
      </c>
      <c r="I173" s="94">
        <f>+VLOOKUP(G173,'PRECIO PROVEEDORES'!$A$2:$B$716,2,0)</f>
        <v>10061.64</v>
      </c>
      <c r="J173" s="12">
        <f t="shared" si="19"/>
        <v>100.6164</v>
      </c>
      <c r="L173" s="66" t="s">
        <v>243</v>
      </c>
      <c r="M173" s="68">
        <v>0.02</v>
      </c>
      <c r="N173" s="94">
        <f>+VLOOKUP(L173,'PRECIO PROVEEDORES'!$A$2:$B$716,2,0)</f>
        <v>17780</v>
      </c>
      <c r="O173" s="12">
        <f t="shared" si="20"/>
        <v>355.6</v>
      </c>
    </row>
    <row r="174" spans="2:15" ht="15.75" customHeight="1" x14ac:dyDescent="0.2">
      <c r="B174" s="66" t="s">
        <v>166</v>
      </c>
      <c r="C174" s="103">
        <v>0.44</v>
      </c>
      <c r="D174" s="94">
        <f>+VLOOKUP(B174,'PRECIO PROVEEDORES'!$A$2:$B$716,2,0)</f>
        <v>1940</v>
      </c>
      <c r="E174" s="12">
        <f t="shared" si="18"/>
        <v>853.6</v>
      </c>
      <c r="G174" s="66" t="s">
        <v>269</v>
      </c>
      <c r="H174" s="103">
        <v>0.15</v>
      </c>
      <c r="I174" s="94">
        <f>+VLOOKUP(G174,'PRECIO PROVEEDORES'!$A$2:$B$716,2,0)</f>
        <v>6600</v>
      </c>
      <c r="J174" s="12">
        <f t="shared" si="19"/>
        <v>990</v>
      </c>
      <c r="L174" s="66" t="s">
        <v>166</v>
      </c>
      <c r="M174" s="103">
        <v>0.72</v>
      </c>
      <c r="N174" s="94">
        <f>+VLOOKUP(L174,'PRECIO PROVEEDORES'!$A$2:$B$716,2,0)</f>
        <v>1940</v>
      </c>
      <c r="O174" s="12">
        <f t="shared" si="20"/>
        <v>1396.8</v>
      </c>
    </row>
    <row r="175" spans="2:15" ht="15.75" customHeight="1" x14ac:dyDescent="0.2">
      <c r="B175" s="66" t="s">
        <v>210</v>
      </c>
      <c r="C175" s="68">
        <v>0.25</v>
      </c>
      <c r="D175" s="94">
        <f>+VLOOKUP(B175,'PRECIO PROVEEDORES'!$A$2:$B$716,2,0)</f>
        <v>1352</v>
      </c>
      <c r="E175" s="12">
        <f t="shared" si="18"/>
        <v>338</v>
      </c>
      <c r="G175" s="66" t="s">
        <v>271</v>
      </c>
      <c r="H175" s="68">
        <v>0.6</v>
      </c>
      <c r="I175" s="94">
        <f>+VLOOKUP(G175,'PRECIO PROVEEDORES'!$A$2:$B$716,2,0)</f>
        <v>1684</v>
      </c>
      <c r="J175" s="12">
        <f t="shared" si="19"/>
        <v>1010.4</v>
      </c>
      <c r="L175" s="66" t="s">
        <v>235</v>
      </c>
      <c r="M175" s="68">
        <v>0.24</v>
      </c>
      <c r="N175" s="94">
        <f>+VLOOKUP(L175,'PRECIO PROVEEDORES'!$A$2:$B$716,2,0)</f>
        <v>13662</v>
      </c>
      <c r="O175" s="12">
        <f t="shared" si="20"/>
        <v>3278.8799999999997</v>
      </c>
    </row>
    <row r="176" spans="2:15" ht="15.75" customHeight="1" x14ac:dyDescent="0.2">
      <c r="B176" s="66" t="s">
        <v>241</v>
      </c>
      <c r="C176" s="103">
        <v>0.625</v>
      </c>
      <c r="D176" s="94">
        <f>+VLOOKUP(B176,'PRECIO PROVEEDORES'!$A$2:$B$716,2,0)</f>
        <v>10203</v>
      </c>
      <c r="E176" s="12">
        <f t="shared" si="18"/>
        <v>6376.875</v>
      </c>
      <c r="G176" s="66"/>
      <c r="H176" s="103"/>
      <c r="I176" s="69"/>
      <c r="J176" s="70"/>
      <c r="L176" s="66"/>
      <c r="M176" s="103"/>
      <c r="N176" s="94"/>
      <c r="O176" s="12"/>
    </row>
    <row r="177" spans="2:15" ht="15.75" customHeight="1" x14ac:dyDescent="0.2">
      <c r="B177" s="7" t="s">
        <v>283</v>
      </c>
      <c r="C177" s="66">
        <v>5.0000000000000001E-3</v>
      </c>
      <c r="D177" s="94">
        <f>+VLOOKUP(B177,'PRECIO PROVEEDORES'!$A$2:$B$716,2,0)</f>
        <v>36376.47</v>
      </c>
      <c r="E177" s="12">
        <f t="shared" si="18"/>
        <v>181.88235</v>
      </c>
      <c r="G177" s="64"/>
      <c r="H177" s="66"/>
      <c r="I177" s="69"/>
      <c r="J177" s="70"/>
      <c r="L177" s="64"/>
      <c r="M177" s="66"/>
      <c r="N177" s="69"/>
      <c r="O177" s="70"/>
    </row>
    <row r="178" spans="2:15" ht="15.75" customHeight="1" x14ac:dyDescent="0.2">
      <c r="B178" s="107" t="s">
        <v>238</v>
      </c>
      <c r="C178" s="66">
        <v>0.25</v>
      </c>
      <c r="D178" s="94">
        <f>+VLOOKUP(B178,'PRECIO PROVEEDORES'!$A$2:$B$716,2,0)</f>
        <v>36068</v>
      </c>
      <c r="E178" s="12">
        <f t="shared" si="18"/>
        <v>9017</v>
      </c>
      <c r="G178" s="71"/>
      <c r="H178" s="66"/>
      <c r="I178" s="69"/>
      <c r="J178" s="70"/>
      <c r="L178" s="71"/>
      <c r="M178" s="66"/>
      <c r="N178" s="69"/>
      <c r="O178" s="70"/>
    </row>
    <row r="179" spans="2:15" ht="15.75" customHeight="1" x14ac:dyDescent="0.2">
      <c r="B179" s="108" t="s">
        <v>256</v>
      </c>
      <c r="C179" s="66">
        <v>0.25</v>
      </c>
      <c r="D179" s="94">
        <f>+VLOOKUP(B179,'PRECIO PROVEEDORES'!$A$2:$B$716,2,0)</f>
        <v>34892</v>
      </c>
      <c r="E179" s="12">
        <f t="shared" si="18"/>
        <v>8723</v>
      </c>
      <c r="G179" s="71"/>
      <c r="H179" s="66"/>
      <c r="I179" s="69"/>
      <c r="J179" s="70"/>
      <c r="L179" s="71"/>
      <c r="M179" s="66"/>
      <c r="N179" s="69"/>
      <c r="O179" s="70"/>
    </row>
    <row r="180" spans="2:15" ht="15.75" customHeight="1" x14ac:dyDescent="0.2">
      <c r="B180" s="71" t="s">
        <v>237</v>
      </c>
      <c r="C180" s="66">
        <v>0.1</v>
      </c>
      <c r="D180" s="94">
        <f>+VLOOKUP(B180,'PRECIO PROVEEDORES'!$A$2:$B$716,2,0)</f>
        <v>1043.22</v>
      </c>
      <c r="E180" s="12">
        <f t="shared" si="18"/>
        <v>104.322</v>
      </c>
      <c r="G180" s="71"/>
      <c r="H180" s="66"/>
      <c r="I180" s="69"/>
      <c r="J180" s="70"/>
      <c r="L180" s="71"/>
      <c r="M180" s="66"/>
      <c r="N180" s="69"/>
      <c r="O180" s="70"/>
    </row>
    <row r="181" spans="2:15" ht="15.75" customHeight="1" x14ac:dyDescent="0.2">
      <c r="B181" s="71" t="s">
        <v>280</v>
      </c>
      <c r="C181" s="66">
        <v>0.25</v>
      </c>
      <c r="D181" s="94">
        <f>+VLOOKUP(B181,'PRECIO PROVEEDORES'!$A$2:$B$716,2,0)</f>
        <v>3356</v>
      </c>
      <c r="E181" s="12">
        <f t="shared" si="18"/>
        <v>839</v>
      </c>
      <c r="G181" s="71"/>
      <c r="H181" s="66"/>
      <c r="I181" s="69"/>
      <c r="J181" s="70"/>
      <c r="L181" s="71"/>
      <c r="M181" s="66"/>
      <c r="N181" s="69"/>
      <c r="O181" s="70"/>
    </row>
    <row r="182" spans="2:15" ht="15.75" customHeight="1" x14ac:dyDescent="0.2">
      <c r="B182" s="7" t="s">
        <v>299</v>
      </c>
      <c r="C182" s="66">
        <v>0.01</v>
      </c>
      <c r="D182" s="94">
        <f>+VLOOKUP(B182,'PRECIO PROVEEDORES'!$A$2:$B$716,2,0)</f>
        <v>18329</v>
      </c>
      <c r="E182" s="12">
        <f t="shared" si="18"/>
        <v>183.29</v>
      </c>
      <c r="G182" s="64"/>
      <c r="H182" s="66"/>
      <c r="I182" s="69"/>
      <c r="J182" s="70"/>
      <c r="L182" s="64"/>
      <c r="M182" s="66"/>
      <c r="N182" s="69"/>
      <c r="O182" s="70"/>
    </row>
    <row r="183" spans="2:15" ht="15.75" customHeight="1" x14ac:dyDescent="0.15">
      <c r="B183" s="64"/>
      <c r="C183" s="66"/>
      <c r="D183" s="69"/>
      <c r="E183" s="70"/>
      <c r="G183" s="64"/>
      <c r="H183" s="66"/>
      <c r="I183" s="69"/>
      <c r="J183" s="70"/>
      <c r="L183" s="64"/>
      <c r="M183" s="66"/>
      <c r="N183" s="69"/>
      <c r="O183" s="70"/>
    </row>
    <row r="184" spans="2:15" ht="15.75" customHeight="1" x14ac:dyDescent="0.15">
      <c r="B184" s="64"/>
      <c r="C184" s="66"/>
      <c r="D184" s="69"/>
      <c r="E184" s="70"/>
      <c r="G184" s="64"/>
      <c r="H184" s="66"/>
      <c r="I184" s="69"/>
      <c r="J184" s="70"/>
      <c r="L184" s="64"/>
      <c r="M184" s="66"/>
      <c r="N184" s="69"/>
      <c r="O184" s="70"/>
    </row>
    <row r="185" spans="2:15" ht="15.75" customHeight="1" x14ac:dyDescent="0.2">
      <c r="B185" s="72" t="s">
        <v>52</v>
      </c>
      <c r="C185" s="73"/>
      <c r="D185" s="74"/>
      <c r="E185" s="95">
        <f>SUM(E170:E184)</f>
        <v>31776.275031818182</v>
      </c>
      <c r="G185" s="72" t="s">
        <v>52</v>
      </c>
      <c r="H185" s="73"/>
      <c r="I185" s="74"/>
      <c r="J185" s="95">
        <f>SUM(J170:J184)</f>
        <v>13783.348482191781</v>
      </c>
      <c r="L185" s="72" t="s">
        <v>52</v>
      </c>
      <c r="M185" s="73"/>
      <c r="N185" s="74"/>
      <c r="O185" s="95">
        <f>SUM(O170:O184)</f>
        <v>8504.08</v>
      </c>
    </row>
    <row r="186" spans="2:15" ht="15.75" customHeight="1" x14ac:dyDescent="0.2">
      <c r="B186" s="76" t="s">
        <v>53</v>
      </c>
      <c r="C186" s="77"/>
      <c r="D186" s="78"/>
      <c r="E186" s="96">
        <f>SUM(E185)</f>
        <v>31776.275031818182</v>
      </c>
      <c r="G186" s="76" t="s">
        <v>53</v>
      </c>
      <c r="H186" s="77"/>
      <c r="I186" s="78"/>
      <c r="J186" s="96">
        <f>SUM(J185)</f>
        <v>13783.348482191781</v>
      </c>
      <c r="L186" s="76" t="s">
        <v>53</v>
      </c>
      <c r="M186" s="77"/>
      <c r="N186" s="78"/>
      <c r="O186" s="96">
        <f>SUM(O185)</f>
        <v>8504.08</v>
      </c>
    </row>
    <row r="187" spans="2:15" ht="15.75" customHeight="1" x14ac:dyDescent="0.2">
      <c r="B187" s="76" t="s">
        <v>54</v>
      </c>
      <c r="C187" s="77"/>
      <c r="D187" s="78"/>
      <c r="E187" s="96">
        <f>+E186</f>
        <v>31776.275031818182</v>
      </c>
      <c r="G187" s="76" t="s">
        <v>54</v>
      </c>
      <c r="H187" s="77"/>
      <c r="I187" s="78"/>
      <c r="J187" s="96">
        <f>+J186/14</f>
        <v>984.52489158512719</v>
      </c>
      <c r="L187" s="76" t="s">
        <v>54</v>
      </c>
      <c r="M187" s="77"/>
      <c r="N187" s="78"/>
      <c r="O187" s="96">
        <f>+O186/45</f>
        <v>188.97955555555555</v>
      </c>
    </row>
    <row r="188" spans="2:15" ht="15.75" customHeight="1" x14ac:dyDescent="0.2">
      <c r="B188" s="76" t="s">
        <v>55</v>
      </c>
      <c r="C188" s="77"/>
      <c r="D188" s="80">
        <v>0.3</v>
      </c>
      <c r="E188" s="81"/>
      <c r="G188" s="76" t="s">
        <v>55</v>
      </c>
      <c r="H188" s="77"/>
      <c r="I188" s="80">
        <v>0.3</v>
      </c>
      <c r="J188" s="81"/>
      <c r="L188" s="76" t="s">
        <v>55</v>
      </c>
      <c r="M188" s="77"/>
      <c r="N188" s="80">
        <v>0.3</v>
      </c>
      <c r="O188" s="81"/>
    </row>
    <row r="189" spans="2:15" ht="15.75" customHeight="1" x14ac:dyDescent="0.2">
      <c r="B189" s="76" t="s">
        <v>56</v>
      </c>
      <c r="C189" s="77"/>
      <c r="D189" s="82"/>
      <c r="E189" s="96">
        <f>+E187*3.33333333333333</f>
        <v>105920.91677272717</v>
      </c>
      <c r="G189" s="76" t="s">
        <v>56</v>
      </c>
      <c r="H189" s="77"/>
      <c r="I189" s="82"/>
      <c r="J189" s="96">
        <f>+J187*3.33333333333333</f>
        <v>3281.7496386170874</v>
      </c>
      <c r="L189" s="76" t="s">
        <v>56</v>
      </c>
      <c r="M189" s="77"/>
      <c r="N189" s="82"/>
      <c r="O189" s="96">
        <f>+O187*3.33333333333333</f>
        <v>629.93185185185121</v>
      </c>
    </row>
    <row r="190" spans="2:15" ht="15.75" customHeight="1" x14ac:dyDescent="0.2">
      <c r="B190" s="76" t="s">
        <v>57</v>
      </c>
      <c r="C190" s="77"/>
      <c r="D190" s="78"/>
      <c r="E190" s="96">
        <v>88393</v>
      </c>
      <c r="G190" s="76" t="s">
        <v>57</v>
      </c>
      <c r="H190" s="77"/>
      <c r="I190" s="78"/>
      <c r="J190" s="96">
        <v>2113</v>
      </c>
      <c r="L190" s="76" t="s">
        <v>57</v>
      </c>
      <c r="M190" s="77"/>
      <c r="N190" s="78"/>
      <c r="O190" s="96">
        <v>2000</v>
      </c>
    </row>
    <row r="191" spans="2:15" ht="15.75" customHeight="1" x14ac:dyDescent="0.2">
      <c r="B191" s="71"/>
      <c r="C191" s="77"/>
      <c r="D191" s="78"/>
      <c r="E191" s="95">
        <f>+E190-E189</f>
        <v>-17527.916772727171</v>
      </c>
      <c r="G191" s="71"/>
      <c r="H191" s="77"/>
      <c r="I191" s="78"/>
      <c r="J191" s="95">
        <f>+J190-J189</f>
        <v>-1168.7496386170874</v>
      </c>
      <c r="L191" s="71"/>
      <c r="M191" s="77"/>
      <c r="N191" s="78"/>
      <c r="O191" s="95">
        <f>+O190-O189</f>
        <v>1370.0681481481488</v>
      </c>
    </row>
    <row r="192" spans="2:15" ht="15.75" customHeight="1" x14ac:dyDescent="0.2">
      <c r="B192" s="32" t="s">
        <v>58</v>
      </c>
      <c r="C192" s="83"/>
      <c r="D192" s="110"/>
      <c r="E192" s="98">
        <f>E187/E190</f>
        <v>0.35948859108547265</v>
      </c>
      <c r="G192" s="32" t="s">
        <v>58</v>
      </c>
      <c r="H192" s="83"/>
      <c r="I192" s="110"/>
      <c r="J192" s="98">
        <f>J187/J190</f>
        <v>0.4659370050095254</v>
      </c>
      <c r="L192" s="32" t="s">
        <v>58</v>
      </c>
      <c r="M192" s="83"/>
      <c r="N192" s="110"/>
      <c r="O192" s="98">
        <f>O187/O190</f>
        <v>9.448977777777777E-2</v>
      </c>
    </row>
    <row r="193" spans="2:15" ht="15.75" customHeight="1" x14ac:dyDescent="0.15"/>
    <row r="194" spans="2:15" ht="15.75" customHeight="1" x14ac:dyDescent="0.15"/>
    <row r="195" spans="2:15" ht="15.75" customHeight="1" x14ac:dyDescent="0.15"/>
    <row r="196" spans="2:15" ht="15.75" customHeight="1" x14ac:dyDescent="0.2">
      <c r="B196" s="218" t="s">
        <v>308</v>
      </c>
      <c r="C196" s="213"/>
      <c r="D196" s="213"/>
      <c r="E196" s="214"/>
      <c r="G196" s="218" t="s">
        <v>309</v>
      </c>
      <c r="H196" s="213"/>
      <c r="I196" s="213"/>
      <c r="J196" s="214"/>
      <c r="L196" s="218" t="s">
        <v>310</v>
      </c>
      <c r="M196" s="213"/>
      <c r="N196" s="213"/>
      <c r="O196" s="214"/>
    </row>
    <row r="197" spans="2:15" ht="15.75" customHeight="1" x14ac:dyDescent="0.2">
      <c r="B197" s="64"/>
      <c r="C197" s="65" t="s">
        <v>8</v>
      </c>
      <c r="D197" s="7" t="s">
        <v>9</v>
      </c>
      <c r="E197" s="8" t="s">
        <v>10</v>
      </c>
      <c r="G197" s="64"/>
      <c r="H197" s="65" t="s">
        <v>8</v>
      </c>
      <c r="I197" s="7" t="s">
        <v>9</v>
      </c>
      <c r="J197" s="8" t="s">
        <v>10</v>
      </c>
      <c r="L197" s="64"/>
      <c r="M197" s="65" t="s">
        <v>8</v>
      </c>
      <c r="N197" s="7" t="s">
        <v>9</v>
      </c>
      <c r="O197" s="8" t="s">
        <v>10</v>
      </c>
    </row>
    <row r="198" spans="2:15" ht="15.75" customHeight="1" x14ac:dyDescent="0.2">
      <c r="B198" s="20" t="s">
        <v>311</v>
      </c>
      <c r="C198" s="68">
        <v>1</v>
      </c>
      <c r="D198" s="94">
        <f>+VLOOKUP(B198,'PRECIO PROVEEDORES'!$A$2:$B$716,2,0)</f>
        <v>890</v>
      </c>
      <c r="E198" s="12">
        <f t="shared" ref="E198:E203" si="21">+C198*D198</f>
        <v>890</v>
      </c>
      <c r="G198" s="20" t="s">
        <v>312</v>
      </c>
      <c r="H198" s="68">
        <v>0.45</v>
      </c>
      <c r="I198" s="94">
        <f>+VLOOKUP(G198,'PRECIO PROVEEDORES'!$A$2:$B$716,2,0)</f>
        <v>4299.01</v>
      </c>
      <c r="J198" s="12">
        <f t="shared" ref="J198:J207" si="22">+H198*I198</f>
        <v>1934.5545000000002</v>
      </c>
      <c r="L198" s="20" t="s">
        <v>313</v>
      </c>
      <c r="M198" s="68">
        <v>2</v>
      </c>
      <c r="N198" s="94">
        <f>+VLOOKUP(L198,'PRECIO PROVEEDORES'!$A$2:$B$716,2,0)</f>
        <v>289.05799999999999</v>
      </c>
      <c r="O198" s="12">
        <f t="shared" ref="O198:O201" si="23">+M198*N198</f>
        <v>578.11599999999999</v>
      </c>
    </row>
    <row r="199" spans="2:15" ht="15.75" customHeight="1" x14ac:dyDescent="0.2">
      <c r="B199" s="66" t="s">
        <v>151</v>
      </c>
      <c r="C199" s="68">
        <v>0.02</v>
      </c>
      <c r="D199" s="94">
        <f>+VLOOKUP(B199,'PRECIO PROVEEDORES'!$A$2:$B$716,2,0)</f>
        <v>1633</v>
      </c>
      <c r="E199" s="12">
        <f t="shared" si="21"/>
        <v>32.660000000000004</v>
      </c>
      <c r="G199" s="20" t="s">
        <v>208</v>
      </c>
      <c r="H199" s="68">
        <v>0.09</v>
      </c>
      <c r="I199" s="94">
        <f>+VLOOKUP(G199,'PRECIO PROVEEDORES'!$A$2:$B$716,2,0)</f>
        <v>1440</v>
      </c>
      <c r="J199" s="12">
        <f t="shared" si="22"/>
        <v>129.6</v>
      </c>
      <c r="L199" s="66" t="s">
        <v>314</v>
      </c>
      <c r="M199" s="68">
        <v>7.0000000000000007E-2</v>
      </c>
      <c r="N199" s="94">
        <f>+VLOOKUP(L199,'PRECIO PROVEEDORES'!$A$2:$B$716,2,0)</f>
        <v>6236.3440000000001</v>
      </c>
      <c r="O199" s="12">
        <f t="shared" si="23"/>
        <v>436.54408000000006</v>
      </c>
    </row>
    <row r="200" spans="2:15" ht="15.75" customHeight="1" x14ac:dyDescent="0.2">
      <c r="B200" s="66" t="s">
        <v>315</v>
      </c>
      <c r="C200" s="68">
        <v>0.06</v>
      </c>
      <c r="D200" s="94">
        <f>+VLOOKUP(B200,'PRECIO PROVEEDORES'!$A$2:$B$716,2,0)</f>
        <v>1352</v>
      </c>
      <c r="E200" s="12">
        <f t="shared" si="21"/>
        <v>81.11999999999999</v>
      </c>
      <c r="G200" s="20" t="s">
        <v>316</v>
      </c>
      <c r="H200" s="68">
        <v>0.16</v>
      </c>
      <c r="I200" s="94">
        <f>+VLOOKUP(G200,'PRECIO PROVEEDORES'!$A$2:$B$716,2,0)</f>
        <v>1940</v>
      </c>
      <c r="J200" s="12">
        <f t="shared" si="22"/>
        <v>310.40000000000003</v>
      </c>
      <c r="L200" s="66" t="s">
        <v>290</v>
      </c>
      <c r="M200" s="68">
        <v>0.03</v>
      </c>
      <c r="N200" s="94">
        <f>+VLOOKUP(L200,'PRECIO PROVEEDORES'!$A$2:$B$716,2,0)</f>
        <v>2850</v>
      </c>
      <c r="O200" s="12">
        <f t="shared" si="23"/>
        <v>85.5</v>
      </c>
    </row>
    <row r="201" spans="2:15" ht="15.75" customHeight="1" x14ac:dyDescent="0.2">
      <c r="B201" s="66" t="s">
        <v>249</v>
      </c>
      <c r="C201" s="68">
        <v>3.0000000000000001E-3</v>
      </c>
      <c r="D201" s="94">
        <f>+VLOOKUP(B201,'PRECIO PROVEEDORES'!$A$2:$B$716,2,0)</f>
        <v>2118</v>
      </c>
      <c r="E201" s="12">
        <f t="shared" si="21"/>
        <v>6.3540000000000001</v>
      </c>
      <c r="G201" s="20" t="s">
        <v>315</v>
      </c>
      <c r="H201" s="68">
        <v>0.54</v>
      </c>
      <c r="I201" s="94">
        <f>+VLOOKUP(G201,'PRECIO PROVEEDORES'!$A$2:$B$716,2,0)</f>
        <v>1352</v>
      </c>
      <c r="J201" s="12">
        <f t="shared" si="22"/>
        <v>730.08</v>
      </c>
      <c r="L201" s="66" t="s">
        <v>255</v>
      </c>
      <c r="M201" s="68">
        <v>3.0000000000000001E-3</v>
      </c>
      <c r="N201" s="94">
        <f>+VLOOKUP(L201,'PRECIO PROVEEDORES'!$A$2:$B$716,2,0)</f>
        <v>10061.64</v>
      </c>
      <c r="O201" s="12">
        <f t="shared" si="23"/>
        <v>30.184919999999998</v>
      </c>
    </row>
    <row r="202" spans="2:15" ht="15.75" customHeight="1" x14ac:dyDescent="0.2">
      <c r="B202" s="66" t="s">
        <v>317</v>
      </c>
      <c r="C202" s="103">
        <v>0.01</v>
      </c>
      <c r="D202" s="94">
        <f>+VLOOKUP(B202,'PRECIO PROVEEDORES'!$A$2:$B$716,2,0)</f>
        <v>17780</v>
      </c>
      <c r="E202" s="12">
        <f t="shared" si="21"/>
        <v>177.8</v>
      </c>
      <c r="G202" s="20" t="s">
        <v>97</v>
      </c>
      <c r="H202" s="103">
        <v>8</v>
      </c>
      <c r="I202" s="94">
        <f>+VLOOKUP(G202,'PRECIO PROVEEDORES'!$A$2:$B$716,2,0)</f>
        <v>192</v>
      </c>
      <c r="J202" s="12">
        <f t="shared" si="22"/>
        <v>1536</v>
      </c>
      <c r="L202" s="66"/>
      <c r="M202" s="103"/>
      <c r="N202" s="94"/>
      <c r="O202" s="12"/>
    </row>
    <row r="203" spans="2:15" ht="15.75" customHeight="1" x14ac:dyDescent="0.2">
      <c r="B203" s="66" t="s">
        <v>318</v>
      </c>
      <c r="C203" s="68">
        <v>0.5</v>
      </c>
      <c r="D203" s="94">
        <f>+VLOOKUP(B203,'PRECIO PROVEEDORES'!$A$2:$B$716,2,0)</f>
        <v>6809</v>
      </c>
      <c r="E203" s="12">
        <f t="shared" si="21"/>
        <v>3404.5</v>
      </c>
      <c r="G203" s="20" t="s">
        <v>319</v>
      </c>
      <c r="H203" s="68">
        <v>0.48</v>
      </c>
      <c r="I203" s="94">
        <f>+VLOOKUP(G203,'PRECIO PROVEEDORES'!$A$2:$B$716,2,0)</f>
        <v>1043.22</v>
      </c>
      <c r="J203" s="12">
        <f t="shared" si="22"/>
        <v>500.74559999999997</v>
      </c>
      <c r="L203" s="66"/>
      <c r="M203" s="68"/>
      <c r="N203" s="94"/>
      <c r="O203" s="12"/>
    </row>
    <row r="204" spans="2:15" ht="15.75" customHeight="1" x14ac:dyDescent="0.2">
      <c r="B204" s="66"/>
      <c r="C204" s="103"/>
      <c r="D204" s="69"/>
      <c r="E204" s="70"/>
      <c r="G204" s="20" t="s">
        <v>246</v>
      </c>
      <c r="H204" s="68">
        <v>1.4E-2</v>
      </c>
      <c r="I204" s="94">
        <f>+VLOOKUP(G204,'PRECIO PROVEEDORES'!$A$2:$B$716,2,0)</f>
        <v>6040</v>
      </c>
      <c r="J204" s="12">
        <f t="shared" si="22"/>
        <v>84.56</v>
      </c>
      <c r="L204" s="66"/>
      <c r="M204" s="68"/>
      <c r="N204" s="94"/>
      <c r="O204" s="12"/>
    </row>
    <row r="205" spans="2:15" ht="15.75" customHeight="1" x14ac:dyDescent="0.2">
      <c r="B205" s="64"/>
      <c r="C205" s="66"/>
      <c r="D205" s="69"/>
      <c r="E205" s="70"/>
      <c r="G205" s="20" t="s">
        <v>273</v>
      </c>
      <c r="H205" s="68">
        <v>6.5000000000000002E-2</v>
      </c>
      <c r="I205" s="94">
        <f>+VLOOKUP(G205,'PRECIO PROVEEDORES'!$A$2:$B$716,2,0)</f>
        <v>2191</v>
      </c>
      <c r="J205" s="12">
        <f t="shared" si="22"/>
        <v>142.41499999999999</v>
      </c>
      <c r="L205" s="66"/>
      <c r="M205" s="68"/>
      <c r="N205" s="94"/>
      <c r="O205" s="12"/>
    </row>
    <row r="206" spans="2:15" ht="15.75" customHeight="1" x14ac:dyDescent="0.2">
      <c r="B206" s="71"/>
      <c r="C206" s="66"/>
      <c r="D206" s="69"/>
      <c r="E206" s="70"/>
      <c r="G206" s="20" t="s">
        <v>320</v>
      </c>
      <c r="H206" s="68">
        <v>5.0000000000000001E-3</v>
      </c>
      <c r="I206" s="94">
        <f>+VLOOKUP(G206,'PRECIO PROVEEDORES'!$A$2:$B$716,2,0)</f>
        <v>312833</v>
      </c>
      <c r="J206" s="12">
        <f t="shared" si="22"/>
        <v>1564.165</v>
      </c>
      <c r="L206" s="66"/>
      <c r="M206" s="68"/>
      <c r="N206" s="94"/>
      <c r="O206" s="12"/>
    </row>
    <row r="207" spans="2:15" ht="15.75" customHeight="1" x14ac:dyDescent="0.2">
      <c r="B207" s="71"/>
      <c r="C207" s="66"/>
      <c r="D207" s="69"/>
      <c r="E207" s="70"/>
      <c r="G207" s="20" t="s">
        <v>208</v>
      </c>
      <c r="H207" s="66">
        <v>0.1</v>
      </c>
      <c r="I207" s="94">
        <f>+VLOOKUP(G207,'PRECIO PROVEEDORES'!$A$2:$B$716,2,0)</f>
        <v>1440</v>
      </c>
      <c r="J207" s="12">
        <f t="shared" si="22"/>
        <v>144</v>
      </c>
      <c r="L207" s="71"/>
      <c r="M207" s="66"/>
      <c r="N207" s="69"/>
      <c r="O207" s="70"/>
    </row>
    <row r="208" spans="2:15" ht="15.75" customHeight="1" x14ac:dyDescent="0.15">
      <c r="B208" s="71"/>
      <c r="C208" s="66"/>
      <c r="D208" s="69"/>
      <c r="E208" s="70"/>
      <c r="G208" s="71"/>
      <c r="H208" s="66"/>
      <c r="I208" s="69"/>
      <c r="J208" s="70"/>
      <c r="L208" s="71"/>
      <c r="M208" s="66"/>
      <c r="N208" s="69"/>
      <c r="O208" s="70"/>
    </row>
    <row r="209" spans="2:15" ht="15.75" customHeight="1" x14ac:dyDescent="0.15">
      <c r="B209" s="71"/>
      <c r="C209" s="66"/>
      <c r="D209" s="69"/>
      <c r="E209" s="70"/>
      <c r="G209" s="71"/>
      <c r="H209" s="66"/>
      <c r="I209" s="69"/>
      <c r="J209" s="70"/>
      <c r="L209" s="71"/>
      <c r="M209" s="66"/>
      <c r="N209" s="69"/>
      <c r="O209" s="70"/>
    </row>
    <row r="210" spans="2:15" ht="15.75" customHeight="1" x14ac:dyDescent="0.15">
      <c r="B210" s="64"/>
      <c r="C210" s="66"/>
      <c r="D210" s="69"/>
      <c r="E210" s="70"/>
      <c r="G210" s="64"/>
      <c r="H210" s="66"/>
      <c r="I210" s="69"/>
      <c r="J210" s="70"/>
      <c r="L210" s="64"/>
      <c r="M210" s="66"/>
      <c r="N210" s="69"/>
      <c r="O210" s="70"/>
    </row>
    <row r="211" spans="2:15" ht="15.75" customHeight="1" x14ac:dyDescent="0.15">
      <c r="B211" s="64"/>
      <c r="C211" s="66"/>
      <c r="D211" s="69"/>
      <c r="E211" s="70"/>
      <c r="G211" s="64"/>
      <c r="H211" s="66"/>
      <c r="I211" s="69"/>
      <c r="J211" s="70"/>
      <c r="L211" s="64"/>
      <c r="M211" s="66"/>
      <c r="N211" s="69"/>
      <c r="O211" s="70"/>
    </row>
    <row r="212" spans="2:15" ht="15.75" customHeight="1" x14ac:dyDescent="0.15">
      <c r="B212" s="64"/>
      <c r="C212" s="66"/>
      <c r="D212" s="69"/>
      <c r="E212" s="70"/>
      <c r="G212" s="64"/>
      <c r="H212" s="66"/>
      <c r="I212" s="69"/>
      <c r="J212" s="70"/>
      <c r="L212" s="64"/>
      <c r="M212" s="66"/>
      <c r="N212" s="69"/>
      <c r="O212" s="70"/>
    </row>
    <row r="213" spans="2:15" ht="15.75" customHeight="1" x14ac:dyDescent="0.2">
      <c r="B213" s="72" t="s">
        <v>52</v>
      </c>
      <c r="C213" s="73"/>
      <c r="D213" s="74"/>
      <c r="E213" s="95">
        <f>SUM(E198:E212)</f>
        <v>4592.4340000000002</v>
      </c>
      <c r="G213" s="72" t="s">
        <v>52</v>
      </c>
      <c r="H213" s="73"/>
      <c r="I213" s="74"/>
      <c r="J213" s="95">
        <f>SUM(J198:J212)</f>
        <v>7076.5201000000006</v>
      </c>
      <c r="L213" s="72" t="s">
        <v>52</v>
      </c>
      <c r="M213" s="73"/>
      <c r="N213" s="74"/>
      <c r="O213" s="95">
        <f>SUM(O198:O212)</f>
        <v>1130.345</v>
      </c>
    </row>
    <row r="214" spans="2:15" ht="15.75" customHeight="1" x14ac:dyDescent="0.2">
      <c r="B214" s="76" t="s">
        <v>53</v>
      </c>
      <c r="C214" s="77"/>
      <c r="D214" s="78"/>
      <c r="E214" s="96">
        <f>SUM(E213)</f>
        <v>4592.4340000000002</v>
      </c>
      <c r="G214" s="76" t="s">
        <v>53</v>
      </c>
      <c r="H214" s="77"/>
      <c r="I214" s="78"/>
      <c r="J214" s="96">
        <f>SUM(J213)</f>
        <v>7076.5201000000006</v>
      </c>
      <c r="L214" s="76" t="s">
        <v>53</v>
      </c>
      <c r="M214" s="77"/>
      <c r="N214" s="78"/>
      <c r="O214" s="96">
        <f>SUM(O213)</f>
        <v>1130.345</v>
      </c>
    </row>
    <row r="215" spans="2:15" ht="15.75" customHeight="1" x14ac:dyDescent="0.2">
      <c r="B215" s="76" t="s">
        <v>54</v>
      </c>
      <c r="C215" s="77"/>
      <c r="D215" s="78"/>
      <c r="E215" s="96">
        <f>+E214/13</f>
        <v>353.26415384615387</v>
      </c>
      <c r="G215" s="76" t="s">
        <v>54</v>
      </c>
      <c r="H215" s="77"/>
      <c r="I215" s="78"/>
      <c r="J215" s="96">
        <f>+J214</f>
        <v>7076.5201000000006</v>
      </c>
      <c r="L215" s="76" t="s">
        <v>54</v>
      </c>
      <c r="M215" s="77"/>
      <c r="N215" s="78"/>
      <c r="O215" s="96">
        <f>+O214</f>
        <v>1130.345</v>
      </c>
    </row>
    <row r="216" spans="2:15" ht="15.75" customHeight="1" x14ac:dyDescent="0.2">
      <c r="B216" s="76" t="s">
        <v>55</v>
      </c>
      <c r="C216" s="77"/>
      <c r="D216" s="80">
        <v>0.3</v>
      </c>
      <c r="E216" s="81"/>
      <c r="G216" s="76" t="s">
        <v>55</v>
      </c>
      <c r="H216" s="77"/>
      <c r="I216" s="80">
        <v>0.3</v>
      </c>
      <c r="J216" s="81"/>
      <c r="L216" s="76" t="s">
        <v>55</v>
      </c>
      <c r="M216" s="77"/>
      <c r="N216" s="80">
        <v>0.3</v>
      </c>
      <c r="O216" s="81"/>
    </row>
    <row r="217" spans="2:15" ht="15.75" customHeight="1" x14ac:dyDescent="0.2">
      <c r="B217" s="76" t="s">
        <v>56</v>
      </c>
      <c r="C217" s="77"/>
      <c r="D217" s="82"/>
      <c r="E217" s="96">
        <f>+E215*3.33333333333333</f>
        <v>1177.5471794871785</v>
      </c>
      <c r="G217" s="76" t="s">
        <v>56</v>
      </c>
      <c r="H217" s="77"/>
      <c r="I217" s="82"/>
      <c r="J217" s="96">
        <f>+J215*3.33333333333333</f>
        <v>23588.400333333313</v>
      </c>
      <c r="L217" s="76" t="s">
        <v>56</v>
      </c>
      <c r="M217" s="77"/>
      <c r="N217" s="82"/>
      <c r="O217" s="96">
        <f>+O215*3.33333333333333</f>
        <v>3767.816666666663</v>
      </c>
    </row>
    <row r="218" spans="2:15" ht="15.75" customHeight="1" x14ac:dyDescent="0.2">
      <c r="B218" s="76" t="s">
        <v>57</v>
      </c>
      <c r="C218" s="77"/>
      <c r="D218" s="78"/>
      <c r="E218" s="96">
        <v>2700</v>
      </c>
      <c r="G218" s="76" t="s">
        <v>57</v>
      </c>
      <c r="H218" s="77"/>
      <c r="I218" s="78">
        <f>21910/9</f>
        <v>2434.4444444444443</v>
      </c>
      <c r="J218" s="96">
        <v>2690</v>
      </c>
      <c r="L218" s="76" t="s">
        <v>57</v>
      </c>
      <c r="M218" s="77"/>
      <c r="N218" s="78">
        <v>3390</v>
      </c>
      <c r="O218" s="96">
        <v>7000</v>
      </c>
    </row>
    <row r="219" spans="2:15" ht="15.75" customHeight="1" x14ac:dyDescent="0.2">
      <c r="B219" s="71"/>
      <c r="C219" s="77"/>
      <c r="D219" s="78"/>
      <c r="E219" s="95">
        <f>+E218-E217</f>
        <v>1522.4528205128215</v>
      </c>
      <c r="G219" s="71"/>
      <c r="H219" s="77"/>
      <c r="I219" s="78"/>
      <c r="J219" s="95">
        <f>+J218-J217</f>
        <v>-20898.400333333313</v>
      </c>
      <c r="L219" s="71"/>
      <c r="M219" s="77"/>
      <c r="N219" s="78"/>
      <c r="O219" s="95">
        <f>+O218-O217</f>
        <v>3232.183333333337</v>
      </c>
    </row>
    <row r="220" spans="2:15" ht="15.75" customHeight="1" x14ac:dyDescent="0.2">
      <c r="B220" s="32" t="s">
        <v>58</v>
      </c>
      <c r="C220" s="83"/>
      <c r="D220" s="110"/>
      <c r="E220" s="98">
        <f>E215/E218</f>
        <v>0.1308385754985755</v>
      </c>
      <c r="G220" s="32" t="s">
        <v>58</v>
      </c>
      <c r="H220" s="83"/>
      <c r="I220" s="110"/>
      <c r="J220" s="98">
        <f>J215/J218</f>
        <v>2.6306766171003719</v>
      </c>
      <c r="L220" s="32" t="s">
        <v>58</v>
      </c>
      <c r="M220" s="83"/>
      <c r="N220" s="110"/>
      <c r="O220" s="98">
        <f>O215/O218</f>
        <v>0.16147785714285715</v>
      </c>
    </row>
    <row r="221" spans="2:15" ht="15.75" customHeight="1" x14ac:dyDescent="0.15"/>
    <row r="222" spans="2:15" ht="15.75" customHeight="1" x14ac:dyDescent="0.15"/>
    <row r="223" spans="2:15" ht="15.75" customHeight="1" x14ac:dyDescent="0.15"/>
    <row r="224" spans="2:15"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sheetData>
  <mergeCells count="36">
    <mergeCell ref="B168:E168"/>
    <mergeCell ref="G168:J168"/>
    <mergeCell ref="L168:O168"/>
    <mergeCell ref="B196:E196"/>
    <mergeCell ref="G196:J196"/>
    <mergeCell ref="L196:O196"/>
    <mergeCell ref="AA58:AD58"/>
    <mergeCell ref="B85:E85"/>
    <mergeCell ref="G85:J85"/>
    <mergeCell ref="L85:O85"/>
    <mergeCell ref="G141:J141"/>
    <mergeCell ref="L141:O141"/>
    <mergeCell ref="Q88:T88"/>
    <mergeCell ref="V88:Y88"/>
    <mergeCell ref="AA88:AD88"/>
    <mergeCell ref="B112:E112"/>
    <mergeCell ref="G112:J112"/>
    <mergeCell ref="L112:O112"/>
    <mergeCell ref="B141:E141"/>
    <mergeCell ref="B56:E56"/>
    <mergeCell ref="G56:J56"/>
    <mergeCell ref="L56:O56"/>
    <mergeCell ref="Q58:T58"/>
    <mergeCell ref="V58:Y58"/>
    <mergeCell ref="AA2:AD2"/>
    <mergeCell ref="B29:E29"/>
    <mergeCell ref="G29:J29"/>
    <mergeCell ref="L29:O29"/>
    <mergeCell ref="Q30:T30"/>
    <mergeCell ref="V30:Y30"/>
    <mergeCell ref="AA30:AD30"/>
    <mergeCell ref="B2:E2"/>
    <mergeCell ref="G2:J2"/>
    <mergeCell ref="L2:O2"/>
    <mergeCell ref="Q2:T2"/>
    <mergeCell ref="V2:Y2"/>
  </mergeCells>
  <conditionalFormatting sqref="E26 J26 O26 E53 J53 O53 E82 J82 O82 E109 J109 O109 E138 J138 O138">
    <cfRule type="cellIs" dxfId="9" priority="1" operator="lessThanOrEqual">
      <formula>"25%"</formula>
    </cfRule>
    <cfRule type="cellIs" dxfId="8" priority="2" operator="between">
      <formula>"25%"</formula>
      <formula>"30%"</formula>
    </cfRule>
    <cfRule type="cellIs" dxfId="7" priority="3" operator="greaterThanOrEqual">
      <formula>"30%"</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'PRECIO PROVEEDORES'!$A$3:$A$543</xm:f>
          </x14:formula1>
          <xm:sqref>G198:G207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T322"/>
  <sheetViews>
    <sheetView topLeftCell="B4" workbookViewId="0"/>
  </sheetViews>
  <sheetFormatPr baseColWidth="10" defaultColWidth="12.6640625" defaultRowHeight="15" customHeight="1" x14ac:dyDescent="0.15"/>
  <cols>
    <col min="1" max="1" width="8.6640625" customWidth="1"/>
    <col min="2" max="2" width="30.1640625" customWidth="1"/>
    <col min="3" max="3" width="9.83203125" customWidth="1"/>
    <col min="7" max="7" width="28" customWidth="1"/>
    <col min="12" max="12" width="29.5" customWidth="1"/>
    <col min="17" max="17" width="25.1640625" customWidth="1"/>
  </cols>
  <sheetData>
    <row r="2" spans="2:20" x14ac:dyDescent="0.2">
      <c r="B2" s="212" t="s">
        <v>321</v>
      </c>
      <c r="C2" s="213"/>
      <c r="D2" s="213"/>
      <c r="E2" s="214"/>
      <c r="G2" s="212" t="s">
        <v>322</v>
      </c>
      <c r="H2" s="213"/>
      <c r="I2" s="213"/>
      <c r="J2" s="214"/>
      <c r="L2" s="212" t="s">
        <v>323</v>
      </c>
      <c r="M2" s="213"/>
      <c r="N2" s="213"/>
      <c r="O2" s="214"/>
      <c r="Q2" s="218" t="s">
        <v>324</v>
      </c>
      <c r="R2" s="213"/>
      <c r="S2" s="213"/>
      <c r="T2" s="214"/>
    </row>
    <row r="3" spans="2:20" x14ac:dyDescent="0.2">
      <c r="B3" s="7"/>
      <c r="C3" s="6" t="s">
        <v>8</v>
      </c>
      <c r="D3" s="7" t="s">
        <v>9</v>
      </c>
      <c r="E3" s="8" t="s">
        <v>10</v>
      </c>
      <c r="G3" s="5"/>
      <c r="H3" s="6" t="s">
        <v>8</v>
      </c>
      <c r="I3" s="7" t="s">
        <v>9</v>
      </c>
      <c r="J3" s="8" t="s">
        <v>10</v>
      </c>
      <c r="L3" s="7"/>
      <c r="M3" s="6" t="s">
        <v>8</v>
      </c>
      <c r="N3" s="7" t="s">
        <v>9</v>
      </c>
      <c r="O3" s="8" t="s">
        <v>10</v>
      </c>
      <c r="Q3" s="64"/>
      <c r="R3" s="65" t="s">
        <v>8</v>
      </c>
      <c r="S3" s="7" t="s">
        <v>9</v>
      </c>
      <c r="T3" s="8" t="s">
        <v>10</v>
      </c>
    </row>
    <row r="4" spans="2:20" x14ac:dyDescent="0.2">
      <c r="B4" s="7" t="s">
        <v>316</v>
      </c>
      <c r="C4" s="36">
        <v>1.5</v>
      </c>
      <c r="D4" s="11">
        <f>+VLOOKUP(B4,'PRECIO PROVEEDORES'!$A$2:$B$716,2,0)</f>
        <v>1940</v>
      </c>
      <c r="E4" s="12">
        <f t="shared" ref="E4:E6" si="0">+C4*D4</f>
        <v>2910</v>
      </c>
      <c r="G4" s="13" t="s">
        <v>325</v>
      </c>
      <c r="H4" s="7">
        <v>0.4</v>
      </c>
      <c r="I4" s="11">
        <f>+VLOOKUP(G4,'PRECIO PROVEEDORES'!$A$2:$B$716,2,0)</f>
        <v>3330</v>
      </c>
      <c r="J4" s="12">
        <f t="shared" ref="J4:J10" si="1">+H4*I4</f>
        <v>1332</v>
      </c>
      <c r="L4" s="7" t="s">
        <v>326</v>
      </c>
      <c r="M4" s="36">
        <v>1</v>
      </c>
      <c r="N4" s="11">
        <f>+VLOOKUP(L4,'PRECIO PROVEEDORES'!$A$2:$B$716,2,0)</f>
        <v>4134</v>
      </c>
      <c r="O4" s="12">
        <f t="shared" ref="O4:O10" si="2">+M4*N4</f>
        <v>4134</v>
      </c>
      <c r="Q4" s="7" t="s">
        <v>22</v>
      </c>
      <c r="R4" s="36">
        <v>1</v>
      </c>
      <c r="S4" s="94">
        <f>+VLOOKUP(Q4,'PRECIO PROVEEDORES'!$A$2:$B$716,2,0)</f>
        <v>4788</v>
      </c>
      <c r="T4" s="12">
        <f t="shared" ref="T4:T8" si="3">+R4*S4</f>
        <v>4788</v>
      </c>
    </row>
    <row r="5" spans="2:20" x14ac:dyDescent="0.2">
      <c r="B5" s="7" t="s">
        <v>327</v>
      </c>
      <c r="C5" s="36">
        <v>0.08</v>
      </c>
      <c r="D5" s="11">
        <f>+VLOOKUP(B5,'PRECIO PROVEEDORES'!$A$2:$B$716,2,0)</f>
        <v>12915</v>
      </c>
      <c r="E5" s="12">
        <f t="shared" si="0"/>
        <v>1033.2</v>
      </c>
      <c r="G5" s="13" t="s">
        <v>328</v>
      </c>
      <c r="H5" s="7">
        <v>0.02</v>
      </c>
      <c r="I5" s="11">
        <f>+VLOOKUP(G5,'PRECIO PROVEEDORES'!$A$2:$B$716,2,0)</f>
        <v>16900</v>
      </c>
      <c r="J5" s="12">
        <f t="shared" si="1"/>
        <v>338</v>
      </c>
      <c r="L5" s="7" t="s">
        <v>32</v>
      </c>
      <c r="M5" s="36">
        <v>0.4</v>
      </c>
      <c r="N5" s="11">
        <f>+VLOOKUP(L5,'PRECIO PROVEEDORES'!$A$2:$B$716,2,0)</f>
        <v>12206</v>
      </c>
      <c r="O5" s="12">
        <f t="shared" si="2"/>
        <v>4882.4000000000005</v>
      </c>
      <c r="Q5" s="13" t="s">
        <v>210</v>
      </c>
      <c r="R5" s="36">
        <v>0.1</v>
      </c>
      <c r="S5" s="94">
        <f>+VLOOKUP(Q5,'PRECIO PROVEEDORES'!$A$2:$B$716,2,0)</f>
        <v>1352</v>
      </c>
      <c r="T5" s="12">
        <f t="shared" si="3"/>
        <v>135.20000000000002</v>
      </c>
    </row>
    <row r="6" spans="2:20" x14ac:dyDescent="0.2">
      <c r="B6" s="7" t="s">
        <v>329</v>
      </c>
      <c r="C6" s="36">
        <v>0.4</v>
      </c>
      <c r="D6" s="11">
        <f>+VLOOKUP(B6,'PRECIO PROVEEDORES'!$A$2:$B$716,2,0)</f>
        <v>8765</v>
      </c>
      <c r="E6" s="12">
        <f t="shared" si="0"/>
        <v>3506</v>
      </c>
      <c r="G6" s="13" t="s">
        <v>330</v>
      </c>
      <c r="H6" s="7">
        <v>0.01</v>
      </c>
      <c r="I6" s="11">
        <f>+VLOOKUP(G6,'PRECIO PROVEEDORES'!$A$2:$B$716,2,0)</f>
        <v>5009.3999999999996</v>
      </c>
      <c r="J6" s="12">
        <f t="shared" si="1"/>
        <v>50.093999999999994</v>
      </c>
      <c r="L6" s="13" t="s">
        <v>17</v>
      </c>
      <c r="M6" s="36">
        <v>6</v>
      </c>
      <c r="N6" s="11">
        <f>+VLOOKUP(L6,'PRECIO PROVEEDORES'!$A$2:$B$716,2,0)</f>
        <v>192</v>
      </c>
      <c r="O6" s="12">
        <f t="shared" si="2"/>
        <v>1152</v>
      </c>
      <c r="Q6" s="7" t="s">
        <v>51</v>
      </c>
      <c r="R6" s="36">
        <v>5.0000000000000001E-3</v>
      </c>
      <c r="S6" s="94">
        <f>+VLOOKUP(Q6,'PRECIO PROVEEDORES'!$A$2:$B$716,2,0)</f>
        <v>22269</v>
      </c>
      <c r="T6" s="12">
        <f t="shared" si="3"/>
        <v>111.345</v>
      </c>
    </row>
    <row r="7" spans="2:20" x14ac:dyDescent="0.2">
      <c r="B7" s="7" t="s">
        <v>331</v>
      </c>
      <c r="C7" s="7">
        <v>0.15</v>
      </c>
      <c r="D7" s="11"/>
      <c r="E7" s="12"/>
      <c r="G7" s="7" t="s">
        <v>332</v>
      </c>
      <c r="H7" s="7">
        <v>1.4999999999999999E-2</v>
      </c>
      <c r="I7" s="11">
        <f>+VLOOKUP(G7,'PRECIO PROVEEDORES'!$A$2:$B$716,2,0)</f>
        <v>6125</v>
      </c>
      <c r="J7" s="12">
        <f t="shared" si="1"/>
        <v>91.875</v>
      </c>
      <c r="L7" s="13" t="s">
        <v>333</v>
      </c>
      <c r="M7" s="36">
        <v>0.25</v>
      </c>
      <c r="N7" s="11">
        <f>+VLOOKUP(L7,'PRECIO PROVEEDORES'!$A$2:$B$716,2,0)</f>
        <v>16000</v>
      </c>
      <c r="O7" s="12">
        <f t="shared" si="2"/>
        <v>4000</v>
      </c>
      <c r="Q7" s="7" t="s">
        <v>51</v>
      </c>
      <c r="R7" s="36">
        <v>5.0000000000000001E-3</v>
      </c>
      <c r="S7" s="94">
        <f>+VLOOKUP(Q7,'PRECIO PROVEEDORES'!$A$2:$B$716,2,0)</f>
        <v>22269</v>
      </c>
      <c r="T7" s="12">
        <f t="shared" si="3"/>
        <v>111.345</v>
      </c>
    </row>
    <row r="8" spans="2:20" x14ac:dyDescent="0.2">
      <c r="B8" s="5" t="s">
        <v>334</v>
      </c>
      <c r="C8" s="7">
        <v>1</v>
      </c>
      <c r="D8" s="11"/>
      <c r="E8" s="12">
        <f>SUM(E4:E6)</f>
        <v>7449.2</v>
      </c>
      <c r="G8" s="13" t="s">
        <v>335</v>
      </c>
      <c r="H8" s="7">
        <v>0.1</v>
      </c>
      <c r="I8" s="11">
        <f>+VLOOKUP(G8,'PRECIO PROVEEDORES'!$A$2:$B$716,2,0)</f>
        <v>1800</v>
      </c>
      <c r="J8" s="12">
        <f t="shared" si="1"/>
        <v>180</v>
      </c>
      <c r="L8" s="38" t="s">
        <v>132</v>
      </c>
      <c r="M8" s="36">
        <v>0.25</v>
      </c>
      <c r="N8" s="11">
        <f>+VLOOKUP(L8,'PRECIO PROVEEDORES'!$A$2:$B$716,2,0)</f>
        <v>17376</v>
      </c>
      <c r="O8" s="12">
        <f t="shared" si="2"/>
        <v>4344</v>
      </c>
      <c r="Q8" s="13" t="s">
        <v>49</v>
      </c>
      <c r="R8" s="36">
        <v>5.0000000000000001E-3</v>
      </c>
      <c r="S8" s="94">
        <f>+VLOOKUP(Q8,'PRECIO PROVEEDORES'!$A$2:$B$716,2,0)</f>
        <v>1633</v>
      </c>
      <c r="T8" s="12">
        <f t="shared" si="3"/>
        <v>8.1650000000000009</v>
      </c>
    </row>
    <row r="9" spans="2:20" x14ac:dyDescent="0.2">
      <c r="B9" s="5"/>
      <c r="C9" s="7"/>
      <c r="D9" s="11"/>
      <c r="E9" s="12"/>
      <c r="G9" s="13" t="s">
        <v>49</v>
      </c>
      <c r="H9" s="7">
        <v>5.0000000000000001E-3</v>
      </c>
      <c r="I9" s="11">
        <f>+VLOOKUP(G9,'PRECIO PROVEEDORES'!$A$2:$B$716,2,0)</f>
        <v>1633</v>
      </c>
      <c r="J9" s="12">
        <f t="shared" si="1"/>
        <v>8.1650000000000009</v>
      </c>
      <c r="L9" s="13" t="s">
        <v>28</v>
      </c>
      <c r="M9" s="36">
        <v>0.5</v>
      </c>
      <c r="N9" s="11">
        <f>+VLOOKUP(L9,'PRECIO PROVEEDORES'!$A$2:$B$716,2,0)</f>
        <v>10697</v>
      </c>
      <c r="O9" s="12">
        <f t="shared" si="2"/>
        <v>5348.5</v>
      </c>
      <c r="Q9" s="13"/>
      <c r="R9" s="66"/>
      <c r="S9" s="94"/>
      <c r="T9" s="12"/>
    </row>
    <row r="10" spans="2:20" x14ac:dyDescent="0.2">
      <c r="B10" s="100" t="s">
        <v>336</v>
      </c>
      <c r="C10" s="7"/>
      <c r="D10" s="11"/>
      <c r="E10" s="12"/>
      <c r="G10" s="13" t="s">
        <v>337</v>
      </c>
      <c r="H10" s="7">
        <v>0.01</v>
      </c>
      <c r="I10" s="11">
        <f>+VLOOKUP(G10,'PRECIO PROVEEDORES'!$A$2:$B$716,2,0)</f>
        <v>16595</v>
      </c>
      <c r="J10" s="12">
        <f t="shared" si="1"/>
        <v>165.95000000000002</v>
      </c>
      <c r="L10" s="13" t="s">
        <v>49</v>
      </c>
      <c r="M10" s="36">
        <v>0.01</v>
      </c>
      <c r="N10" s="11">
        <f>+VLOOKUP(L10,'PRECIO PROVEEDORES'!$A$2:$B$716,2,0)</f>
        <v>1633</v>
      </c>
      <c r="O10" s="12">
        <f t="shared" si="2"/>
        <v>16.330000000000002</v>
      </c>
      <c r="Q10" s="64"/>
      <c r="R10" s="66"/>
      <c r="S10" s="94"/>
      <c r="T10" s="12"/>
    </row>
    <row r="11" spans="2:20" x14ac:dyDescent="0.2">
      <c r="B11" s="5" t="s">
        <v>338</v>
      </c>
      <c r="C11" s="7"/>
      <c r="D11" s="11"/>
      <c r="E11" s="12"/>
      <c r="G11" s="7"/>
      <c r="H11" s="7"/>
      <c r="I11" s="11"/>
      <c r="J11" s="12"/>
      <c r="L11" s="13"/>
      <c r="M11" s="36"/>
      <c r="N11" s="11"/>
      <c r="O11" s="12"/>
      <c r="Q11" s="13" t="s">
        <v>339</v>
      </c>
      <c r="R11" s="66"/>
      <c r="S11" s="94"/>
      <c r="T11" s="12">
        <f>SUM(T4:T8)</f>
        <v>5154.0550000000003</v>
      </c>
    </row>
    <row r="12" spans="2:20" x14ac:dyDescent="0.2">
      <c r="B12" s="19"/>
      <c r="C12" s="7"/>
      <c r="D12" s="11"/>
      <c r="E12" s="12"/>
      <c r="G12" s="13" t="s">
        <v>334</v>
      </c>
      <c r="H12" s="7"/>
      <c r="I12" s="11"/>
      <c r="J12" s="12">
        <f>SUM(J4:J10)</f>
        <v>2166.0839999999998</v>
      </c>
      <c r="L12" s="13"/>
      <c r="M12" s="36"/>
      <c r="N12" s="11"/>
      <c r="O12" s="12"/>
      <c r="Q12" s="71" t="s">
        <v>340</v>
      </c>
      <c r="R12" s="66"/>
      <c r="S12" s="69"/>
      <c r="T12" s="12">
        <f>T11*1000/1115</f>
        <v>4622.4708520179374</v>
      </c>
    </row>
    <row r="13" spans="2:20" x14ac:dyDescent="0.2">
      <c r="B13" s="19"/>
      <c r="C13" s="7"/>
      <c r="D13" s="11"/>
      <c r="E13" s="12"/>
      <c r="G13" s="13" t="s">
        <v>341</v>
      </c>
      <c r="H13" s="7"/>
      <c r="I13" s="11"/>
      <c r="J13" s="12">
        <f>J12*1000/400</f>
        <v>5415.21</v>
      </c>
      <c r="L13" s="27" t="s">
        <v>342</v>
      </c>
      <c r="M13" s="7"/>
      <c r="N13" s="11"/>
      <c r="O13" s="12">
        <f>SUM(O4:O10)</f>
        <v>23877.230000000003</v>
      </c>
      <c r="Q13" s="71"/>
      <c r="R13" s="66"/>
      <c r="S13" s="69"/>
      <c r="T13" s="12"/>
    </row>
    <row r="14" spans="2:20" x14ac:dyDescent="0.2">
      <c r="B14" s="19"/>
      <c r="C14" s="7"/>
      <c r="D14" s="11"/>
      <c r="E14" s="12"/>
      <c r="G14" s="27"/>
      <c r="H14" s="7"/>
      <c r="I14" s="11"/>
      <c r="J14" s="12"/>
      <c r="L14" s="19" t="s">
        <v>343</v>
      </c>
      <c r="M14" s="7"/>
      <c r="N14" s="11"/>
      <c r="O14" s="12">
        <f>O13/15</f>
        <v>1591.8153333333335</v>
      </c>
      <c r="Q14" s="71"/>
      <c r="R14" s="66"/>
      <c r="S14" s="69"/>
      <c r="T14" s="12"/>
    </row>
    <row r="15" spans="2:20" x14ac:dyDescent="0.2">
      <c r="B15" s="19"/>
      <c r="C15" s="7"/>
      <c r="D15" s="11"/>
      <c r="E15" s="12"/>
      <c r="G15" s="27"/>
      <c r="H15" s="7"/>
      <c r="I15" s="11"/>
      <c r="J15" s="12"/>
      <c r="L15" s="19" t="s">
        <v>340</v>
      </c>
      <c r="M15" s="7"/>
      <c r="N15" s="11"/>
      <c r="O15" s="12">
        <f>O13*1000/2700</f>
        <v>8843.4185185185197</v>
      </c>
      <c r="Q15" s="71"/>
      <c r="R15" s="66"/>
      <c r="S15" s="69"/>
      <c r="T15" s="12"/>
    </row>
    <row r="16" spans="2:20" x14ac:dyDescent="0.2">
      <c r="B16" s="5"/>
      <c r="C16" s="7"/>
      <c r="D16" s="11"/>
      <c r="E16" s="12"/>
      <c r="G16" s="5"/>
      <c r="H16" s="7"/>
      <c r="I16" s="11"/>
      <c r="J16" s="12"/>
      <c r="L16" s="5"/>
      <c r="M16" s="7"/>
      <c r="N16" s="11"/>
      <c r="O16" s="12"/>
      <c r="Q16" s="64"/>
      <c r="R16" s="66"/>
      <c r="S16" s="69"/>
      <c r="T16" s="12"/>
    </row>
    <row r="17" spans="2:20" x14ac:dyDescent="0.2">
      <c r="B17" s="5"/>
      <c r="C17" s="7"/>
      <c r="D17" s="11"/>
      <c r="E17" s="12"/>
      <c r="G17" s="5"/>
      <c r="H17" s="7"/>
      <c r="I17" s="11"/>
      <c r="J17" s="12"/>
      <c r="L17" s="5"/>
      <c r="M17" s="7"/>
      <c r="N17" s="11"/>
      <c r="O17" s="12"/>
      <c r="Q17" s="64"/>
      <c r="R17" s="66"/>
      <c r="S17" s="69"/>
      <c r="T17" s="12"/>
    </row>
    <row r="18" spans="2:20" x14ac:dyDescent="0.2">
      <c r="B18" s="5"/>
      <c r="C18" s="7"/>
      <c r="D18" s="11"/>
      <c r="E18" s="12"/>
      <c r="G18" s="5"/>
      <c r="H18" s="7"/>
      <c r="I18" s="11"/>
      <c r="J18" s="12"/>
      <c r="L18" s="5"/>
      <c r="M18" s="7"/>
      <c r="N18" s="11"/>
      <c r="O18" s="12"/>
      <c r="Q18" s="64"/>
      <c r="R18" s="66"/>
      <c r="S18" s="69"/>
      <c r="T18" s="12"/>
    </row>
    <row r="21" spans="2:20" x14ac:dyDescent="0.2">
      <c r="B21" s="222" t="s">
        <v>344</v>
      </c>
      <c r="C21" s="223"/>
      <c r="D21" s="223"/>
      <c r="E21" s="224"/>
      <c r="G21" s="212" t="s">
        <v>345</v>
      </c>
      <c r="H21" s="213"/>
      <c r="I21" s="213"/>
      <c r="J21" s="214"/>
      <c r="L21" s="212" t="s">
        <v>346</v>
      </c>
      <c r="M21" s="213"/>
      <c r="N21" s="213"/>
      <c r="O21" s="214"/>
      <c r="Q21" s="218" t="s">
        <v>234</v>
      </c>
      <c r="R21" s="213"/>
      <c r="S21" s="213"/>
      <c r="T21" s="214"/>
    </row>
    <row r="22" spans="2:20" x14ac:dyDescent="0.2">
      <c r="B22" s="7"/>
      <c r="C22" s="6" t="s">
        <v>8</v>
      </c>
      <c r="D22" s="7" t="s">
        <v>9</v>
      </c>
      <c r="E22" s="7" t="s">
        <v>10</v>
      </c>
      <c r="G22" s="5"/>
      <c r="H22" s="6" t="s">
        <v>8</v>
      </c>
      <c r="I22" s="7" t="s">
        <v>9</v>
      </c>
      <c r="J22" s="8" t="s">
        <v>10</v>
      </c>
      <c r="L22" s="5"/>
      <c r="M22" s="6" t="s">
        <v>8</v>
      </c>
      <c r="N22" s="7" t="s">
        <v>9</v>
      </c>
      <c r="O22" s="8" t="s">
        <v>10</v>
      </c>
      <c r="Q22" s="64"/>
      <c r="R22" s="65" t="s">
        <v>8</v>
      </c>
      <c r="S22" s="7" t="s">
        <v>9</v>
      </c>
      <c r="T22" s="8" t="s">
        <v>10</v>
      </c>
    </row>
    <row r="23" spans="2:20" x14ac:dyDescent="0.2">
      <c r="B23" s="7" t="s">
        <v>282</v>
      </c>
      <c r="C23" s="36">
        <v>0.25</v>
      </c>
      <c r="D23" s="11">
        <f>+VLOOKUP(B23,'PRECIO PROVEEDORES'!$A$2:$B$716,2,0)</f>
        <v>25872</v>
      </c>
      <c r="E23" s="111">
        <f t="shared" ref="E23:E33" si="4">+C23*D23</f>
        <v>6468</v>
      </c>
      <c r="G23" s="7" t="s">
        <v>37</v>
      </c>
      <c r="H23" s="36">
        <v>0.2</v>
      </c>
      <c r="I23" s="11">
        <f>+VLOOKUP(G23,'PRECIO PROVEEDORES'!$A$2:$B$716,2,0)</f>
        <v>17587.349999999999</v>
      </c>
      <c r="J23" s="12">
        <f t="shared" ref="J23:J27" si="5">+H23*I23</f>
        <v>3517.47</v>
      </c>
      <c r="L23" s="7" t="s">
        <v>35</v>
      </c>
      <c r="M23" s="36">
        <v>0.5</v>
      </c>
      <c r="N23" s="11">
        <f>+VLOOKUP(L23,'PRECIO PROVEEDORES'!$A$2:$B$716,2,0)</f>
        <v>4095</v>
      </c>
      <c r="O23" s="12">
        <f t="shared" ref="O23:O28" si="6">+M23*N23</f>
        <v>2047.5</v>
      </c>
      <c r="Q23" s="13" t="s">
        <v>237</v>
      </c>
      <c r="R23" s="10">
        <v>1.8</v>
      </c>
      <c r="S23" s="94">
        <f>+VLOOKUP(Q23,'PRECIO PROVEEDORES'!$A$2:$B$716,2,0)</f>
        <v>1043.22</v>
      </c>
      <c r="T23" s="12">
        <f t="shared" ref="T23:T31" si="7">+R23*S23</f>
        <v>1877.796</v>
      </c>
    </row>
    <row r="24" spans="2:20" x14ac:dyDescent="0.2">
      <c r="B24" s="7" t="s">
        <v>272</v>
      </c>
      <c r="C24" s="36">
        <v>0.25</v>
      </c>
      <c r="D24" s="11">
        <f>+VLOOKUP(B24,'PRECIO PROVEEDORES'!$A$2:$B$716,2,0)</f>
        <v>27769.5</v>
      </c>
      <c r="E24" s="111">
        <f t="shared" si="4"/>
        <v>6942.375</v>
      </c>
      <c r="G24" s="13" t="s">
        <v>335</v>
      </c>
      <c r="H24" s="36">
        <v>1</v>
      </c>
      <c r="I24" s="11">
        <f>+VLOOKUP(G24,'PRECIO PROVEEDORES'!$A$2:$B$716,2,0)</f>
        <v>1800</v>
      </c>
      <c r="J24" s="12">
        <f t="shared" si="5"/>
        <v>1800</v>
      </c>
      <c r="L24" s="13" t="s">
        <v>49</v>
      </c>
      <c r="M24" s="36">
        <v>0.02</v>
      </c>
      <c r="N24" s="11">
        <f>+VLOOKUP(L24,'PRECIO PROVEEDORES'!$A$2:$B$716,2,0)</f>
        <v>1633</v>
      </c>
      <c r="O24" s="12">
        <f t="shared" si="6"/>
        <v>32.660000000000004</v>
      </c>
      <c r="Q24" s="13" t="s">
        <v>239</v>
      </c>
      <c r="R24" s="10">
        <v>0.2</v>
      </c>
      <c r="S24" s="94">
        <f>+VLOOKUP(Q24,'PRECIO PROVEEDORES'!$A$2:$B$716,2,0)</f>
        <v>890</v>
      </c>
      <c r="T24" s="12">
        <f t="shared" si="7"/>
        <v>178</v>
      </c>
    </row>
    <row r="25" spans="2:20" x14ac:dyDescent="0.2">
      <c r="B25" s="7" t="s">
        <v>83</v>
      </c>
      <c r="C25" s="36">
        <v>0.35</v>
      </c>
      <c r="D25" s="11">
        <f>+VLOOKUP(B25,'PRECIO PROVEEDORES'!$A$2:$B$716,2,0)</f>
        <v>5952.89</v>
      </c>
      <c r="E25" s="111">
        <f t="shared" si="4"/>
        <v>2083.5115000000001</v>
      </c>
      <c r="G25" s="13" t="s">
        <v>115</v>
      </c>
      <c r="H25" s="36">
        <v>0.1</v>
      </c>
      <c r="I25" s="11">
        <f>+VLOOKUP(G25,'PRECIO PROVEEDORES'!$A$2:$B$716,2,0)</f>
        <v>4299.01</v>
      </c>
      <c r="J25" s="12">
        <f t="shared" si="5"/>
        <v>429.90100000000007</v>
      </c>
      <c r="L25" s="7" t="s">
        <v>347</v>
      </c>
      <c r="M25" s="36">
        <v>0.1</v>
      </c>
      <c r="N25" s="11">
        <f>+VLOOKUP(L25,'PRECIO PROVEEDORES'!$A$2:$B$716,2,0)</f>
        <v>3146</v>
      </c>
      <c r="O25" s="12">
        <f t="shared" si="6"/>
        <v>314.60000000000002</v>
      </c>
      <c r="Q25" s="13" t="s">
        <v>210</v>
      </c>
      <c r="R25" s="10">
        <v>0.25</v>
      </c>
      <c r="S25" s="94">
        <f>+VLOOKUP(Q25,'PRECIO PROVEEDORES'!$A$2:$B$716,2,0)</f>
        <v>1352</v>
      </c>
      <c r="T25" s="12">
        <f t="shared" si="7"/>
        <v>338</v>
      </c>
    </row>
    <row r="26" spans="2:20" x14ac:dyDescent="0.2">
      <c r="B26" s="13" t="s">
        <v>348</v>
      </c>
      <c r="C26" s="36">
        <v>0.4</v>
      </c>
      <c r="D26" s="11">
        <f>+VLOOKUP(B26,'PRECIO PROVEEDORES'!$A$2:$B$716,2,0)</f>
        <v>4340</v>
      </c>
      <c r="E26" s="111">
        <f t="shared" si="4"/>
        <v>1736</v>
      </c>
      <c r="G26" s="13" t="s">
        <v>337</v>
      </c>
      <c r="H26" s="36">
        <v>0.1</v>
      </c>
      <c r="I26" s="11">
        <f>+VLOOKUP(G26,'PRECIO PROVEEDORES'!$A$2:$B$716,2,0)</f>
        <v>16595</v>
      </c>
      <c r="J26" s="12">
        <f t="shared" si="5"/>
        <v>1659.5</v>
      </c>
      <c r="L26" s="13" t="s">
        <v>115</v>
      </c>
      <c r="M26" s="36">
        <v>0.02</v>
      </c>
      <c r="N26" s="11">
        <f>+VLOOKUP(L26,'PRECIO PROVEEDORES'!$A$2:$B$716,2,0)</f>
        <v>4299.01</v>
      </c>
      <c r="O26" s="111">
        <f t="shared" si="6"/>
        <v>85.980200000000011</v>
      </c>
      <c r="Q26" s="13" t="s">
        <v>243</v>
      </c>
      <c r="R26" s="10">
        <v>0.02</v>
      </c>
      <c r="S26" s="94">
        <f>+VLOOKUP(Q26,'PRECIO PROVEEDORES'!$A$2:$B$716,2,0)</f>
        <v>17780</v>
      </c>
      <c r="T26" s="12">
        <f t="shared" si="7"/>
        <v>355.6</v>
      </c>
    </row>
    <row r="27" spans="2:20" x14ac:dyDescent="0.2">
      <c r="B27" s="13" t="s">
        <v>289</v>
      </c>
      <c r="C27" s="36">
        <v>0.15</v>
      </c>
      <c r="D27" s="11">
        <f>+VLOOKUP(B27,'PRECIO PROVEEDORES'!$A$2:$B$716,2,0)</f>
        <v>11721</v>
      </c>
      <c r="E27" s="111">
        <f t="shared" si="4"/>
        <v>1758.1499999999999</v>
      </c>
      <c r="G27" s="13" t="s">
        <v>49</v>
      </c>
      <c r="H27" s="36">
        <v>0.01</v>
      </c>
      <c r="I27" s="11">
        <f>+VLOOKUP(G27,'PRECIO PROVEEDORES'!$A$2:$B$716,2,0)</f>
        <v>1633</v>
      </c>
      <c r="J27" s="12">
        <f t="shared" si="5"/>
        <v>16.330000000000002</v>
      </c>
      <c r="L27" s="13" t="s">
        <v>335</v>
      </c>
      <c r="M27" s="36">
        <v>0.3</v>
      </c>
      <c r="N27" s="11">
        <f>+VLOOKUP(L27,'PRECIO PROVEEDORES'!$A$2:$B$716,2,0)</f>
        <v>1800</v>
      </c>
      <c r="O27" s="111">
        <f t="shared" si="6"/>
        <v>540</v>
      </c>
      <c r="Q27" s="13" t="s">
        <v>49</v>
      </c>
      <c r="R27" s="10">
        <v>0.04</v>
      </c>
      <c r="S27" s="94">
        <f>+VLOOKUP(Q27,'PRECIO PROVEEDORES'!$A$2:$B$716,2,0)</f>
        <v>1633</v>
      </c>
      <c r="T27" s="12">
        <f t="shared" si="7"/>
        <v>65.320000000000007</v>
      </c>
    </row>
    <row r="28" spans="2:20" x14ac:dyDescent="0.2">
      <c r="B28" s="7" t="s">
        <v>270</v>
      </c>
      <c r="C28" s="36">
        <v>0.35</v>
      </c>
      <c r="D28" s="11">
        <f>+VLOOKUP(B28,'PRECIO PROVEEDORES'!$A$2:$B$716,2,0)</f>
        <v>6292</v>
      </c>
      <c r="E28" s="111">
        <f t="shared" si="4"/>
        <v>2202.1999999999998</v>
      </c>
      <c r="G28" s="5"/>
      <c r="H28" s="7"/>
      <c r="I28" s="11"/>
      <c r="J28" s="12"/>
      <c r="L28" s="7" t="s">
        <v>51</v>
      </c>
      <c r="M28" s="36">
        <v>2E-3</v>
      </c>
      <c r="N28" s="11">
        <f>+VLOOKUP(L28,'PRECIO PROVEEDORES'!$A$2:$B$716,2,0)</f>
        <v>22269</v>
      </c>
      <c r="O28" s="111">
        <f t="shared" si="6"/>
        <v>44.538000000000004</v>
      </c>
      <c r="Q28" s="13" t="s">
        <v>166</v>
      </c>
      <c r="R28" s="10">
        <v>0.5</v>
      </c>
      <c r="S28" s="94">
        <f>+VLOOKUP(Q28,'PRECIO PROVEEDORES'!$A$2:$B$716,2,0)</f>
        <v>1940</v>
      </c>
      <c r="T28" s="12">
        <f t="shared" si="7"/>
        <v>970</v>
      </c>
    </row>
    <row r="29" spans="2:20" x14ac:dyDescent="0.2">
      <c r="B29" s="13" t="s">
        <v>242</v>
      </c>
      <c r="C29" s="36">
        <v>0.5</v>
      </c>
      <c r="D29" s="11">
        <f>+VLOOKUP(B29,'PRECIO PROVEEDORES'!$A$2:$B$716,2,0)</f>
        <v>6062</v>
      </c>
      <c r="E29" s="111">
        <f t="shared" si="4"/>
        <v>3031</v>
      </c>
      <c r="G29" s="5" t="s">
        <v>349</v>
      </c>
      <c r="H29" s="7"/>
      <c r="I29" s="11"/>
      <c r="J29" s="12">
        <f>SUM(J23:J27)</f>
        <v>7423.2009999999991</v>
      </c>
      <c r="L29" s="13" t="s">
        <v>350</v>
      </c>
      <c r="M29" s="7"/>
      <c r="N29" s="11"/>
      <c r="O29" s="112">
        <f>SUM(O23:O28)</f>
        <v>3065.2781999999997</v>
      </c>
      <c r="Q29" s="13" t="s">
        <v>17</v>
      </c>
      <c r="R29" s="10">
        <v>6</v>
      </c>
      <c r="S29" s="94">
        <f>+VLOOKUP(Q29,'PRECIO PROVEEDORES'!$A$2:$B$716,2,0)</f>
        <v>192</v>
      </c>
      <c r="T29" s="12">
        <f t="shared" si="7"/>
        <v>1152</v>
      </c>
    </row>
    <row r="30" spans="2:20" x14ac:dyDescent="0.2">
      <c r="B30" s="7" t="s">
        <v>268</v>
      </c>
      <c r="C30" s="36">
        <v>0.4</v>
      </c>
      <c r="D30" s="11">
        <f>+VLOOKUP(B30,'PRECIO PROVEEDORES'!$A$2:$B$716,2,0)</f>
        <v>2180</v>
      </c>
      <c r="E30" s="111">
        <f t="shared" si="4"/>
        <v>872</v>
      </c>
      <c r="G30" s="5" t="s">
        <v>340</v>
      </c>
      <c r="H30" s="7"/>
      <c r="I30" s="11"/>
      <c r="J30" s="12">
        <f>J29*1000/200</f>
        <v>37116.004999999997</v>
      </c>
      <c r="L30" s="13" t="s">
        <v>351</v>
      </c>
      <c r="M30" s="7"/>
      <c r="N30" s="11"/>
      <c r="O30" s="113">
        <f>O29/10</f>
        <v>306.52781999999996</v>
      </c>
      <c r="Q30" s="13" t="s">
        <v>242</v>
      </c>
      <c r="R30" s="10">
        <v>0.06</v>
      </c>
      <c r="S30" s="94">
        <f>+VLOOKUP(Q30,'PRECIO PROVEEDORES'!$A$2:$B$716,2,0)</f>
        <v>6062</v>
      </c>
      <c r="T30" s="12">
        <f t="shared" si="7"/>
        <v>363.71999999999997</v>
      </c>
    </row>
    <row r="31" spans="2:20" x14ac:dyDescent="0.2">
      <c r="B31" s="13" t="s">
        <v>221</v>
      </c>
      <c r="C31" s="36">
        <v>0.1</v>
      </c>
      <c r="D31" s="11">
        <f>+VLOOKUP(B31,'PRECIO PROVEEDORES'!$A$2:$B$716,2,0)</f>
        <v>1440</v>
      </c>
      <c r="E31" s="111">
        <f t="shared" si="4"/>
        <v>144</v>
      </c>
      <c r="G31" s="19"/>
      <c r="H31" s="7"/>
      <c r="I31" s="11"/>
      <c r="J31" s="12"/>
      <c r="L31" s="13" t="s">
        <v>340</v>
      </c>
      <c r="M31" s="7"/>
      <c r="N31" s="11"/>
      <c r="O31" s="111">
        <f>O29*2</f>
        <v>6130.5563999999995</v>
      </c>
      <c r="Q31" s="13" t="s">
        <v>247</v>
      </c>
      <c r="R31" s="10">
        <v>0.56999999999999995</v>
      </c>
      <c r="S31" s="94">
        <f>+VLOOKUP(Q31,'PRECIO PROVEEDORES'!$A$2:$B$716,2,0)</f>
        <v>12000</v>
      </c>
      <c r="T31" s="12">
        <f t="shared" si="7"/>
        <v>6839.9999999999991</v>
      </c>
    </row>
    <row r="32" spans="2:20" x14ac:dyDescent="0.2">
      <c r="B32" s="7" t="s">
        <v>312</v>
      </c>
      <c r="C32" s="36">
        <v>0.03</v>
      </c>
      <c r="D32" s="11">
        <f>+VLOOKUP(B32,'PRECIO PROVEEDORES'!$A$2:$B$716,2,0)</f>
        <v>4299.01</v>
      </c>
      <c r="E32" s="111">
        <f t="shared" si="4"/>
        <v>128.97030000000001</v>
      </c>
      <c r="G32" s="19"/>
      <c r="H32" s="7"/>
      <c r="I32" s="11"/>
      <c r="J32" s="12"/>
      <c r="L32" s="27"/>
      <c r="M32" s="7"/>
      <c r="N32" s="11"/>
      <c r="O32" s="111"/>
      <c r="Q32" s="71"/>
      <c r="R32" s="66"/>
      <c r="S32" s="69"/>
      <c r="T32" s="12"/>
    </row>
    <row r="33" spans="2:20" x14ac:dyDescent="0.2">
      <c r="B33" s="109" t="s">
        <v>274</v>
      </c>
      <c r="C33" s="36">
        <v>0.25</v>
      </c>
      <c r="D33" s="11">
        <f>+VLOOKUP(B33,'PRECIO PROVEEDORES'!$A$2:$B$716,2,0)</f>
        <v>5987</v>
      </c>
      <c r="E33" s="111">
        <f t="shared" si="4"/>
        <v>1496.75</v>
      </c>
      <c r="G33" s="19"/>
      <c r="H33" s="7"/>
      <c r="I33" s="11"/>
      <c r="J33" s="12"/>
      <c r="L33" s="19"/>
      <c r="M33" s="7"/>
      <c r="N33" s="11"/>
      <c r="O33" s="12"/>
      <c r="Q33" s="71" t="s">
        <v>352</v>
      </c>
      <c r="R33" s="66"/>
      <c r="S33" s="69"/>
      <c r="T33" s="12">
        <f>SUM(T22:T31)</f>
        <v>12140.436</v>
      </c>
    </row>
    <row r="34" spans="2:20" x14ac:dyDescent="0.2">
      <c r="B34" s="27"/>
      <c r="C34" s="7"/>
      <c r="D34" s="11"/>
      <c r="E34" s="111"/>
      <c r="G34" s="19"/>
      <c r="H34" s="7"/>
      <c r="I34" s="11"/>
      <c r="J34" s="12"/>
      <c r="L34" s="19"/>
      <c r="M34" s="7"/>
      <c r="N34" s="11"/>
      <c r="O34" s="12"/>
      <c r="Q34" s="71" t="s">
        <v>343</v>
      </c>
      <c r="R34" s="66"/>
      <c r="S34" s="69"/>
      <c r="T34" s="12">
        <f>T33/42</f>
        <v>289.05799999999999</v>
      </c>
    </row>
    <row r="35" spans="2:20" x14ac:dyDescent="0.2">
      <c r="B35" s="7" t="s">
        <v>353</v>
      </c>
      <c r="C35" s="7"/>
      <c r="D35" s="11"/>
      <c r="E35" s="111">
        <f>SUM(E23:E33)</f>
        <v>26862.956800000004</v>
      </c>
      <c r="G35" s="5"/>
      <c r="H35" s="7"/>
      <c r="I35" s="11"/>
      <c r="J35" s="12"/>
      <c r="L35" s="5"/>
      <c r="M35" s="7"/>
      <c r="N35" s="11"/>
      <c r="O35" s="12"/>
      <c r="Q35" s="64"/>
      <c r="R35" s="66"/>
      <c r="S35" s="69"/>
      <c r="T35" s="12"/>
    </row>
    <row r="36" spans="2:20" x14ac:dyDescent="0.2">
      <c r="B36" s="7" t="s">
        <v>340</v>
      </c>
      <c r="C36" s="7"/>
      <c r="D36" s="11"/>
      <c r="E36" s="111">
        <f>E35/3</f>
        <v>8954.3189333333339</v>
      </c>
      <c r="G36" s="5"/>
      <c r="H36" s="7"/>
      <c r="I36" s="11"/>
      <c r="J36" s="12"/>
      <c r="L36" s="5"/>
      <c r="M36" s="7"/>
      <c r="N36" s="11"/>
      <c r="O36" s="12"/>
      <c r="Q36" s="64"/>
      <c r="R36" s="66"/>
      <c r="S36" s="69"/>
      <c r="T36" s="12"/>
    </row>
    <row r="37" spans="2:20" x14ac:dyDescent="0.2">
      <c r="B37" s="7"/>
      <c r="C37" s="7"/>
      <c r="D37" s="11"/>
      <c r="E37" s="111"/>
      <c r="G37" s="5"/>
      <c r="H37" s="7"/>
      <c r="I37" s="11"/>
      <c r="J37" s="12"/>
      <c r="L37" s="5"/>
      <c r="M37" s="7"/>
      <c r="N37" s="11"/>
      <c r="O37" s="12"/>
      <c r="Q37" s="64"/>
      <c r="R37" s="66"/>
      <c r="S37" s="69"/>
      <c r="T37" s="12"/>
    </row>
    <row r="40" spans="2:20" x14ac:dyDescent="0.2">
      <c r="B40" s="212" t="s">
        <v>354</v>
      </c>
      <c r="C40" s="213"/>
      <c r="D40" s="213"/>
      <c r="E40" s="214"/>
      <c r="G40" s="212" t="s">
        <v>355</v>
      </c>
      <c r="H40" s="213"/>
      <c r="I40" s="213"/>
      <c r="J40" s="214"/>
      <c r="L40" s="212" t="s">
        <v>356</v>
      </c>
      <c r="M40" s="213"/>
      <c r="N40" s="213"/>
      <c r="O40" s="214"/>
      <c r="Q40" s="218" t="s">
        <v>357</v>
      </c>
      <c r="R40" s="213"/>
      <c r="S40" s="213"/>
      <c r="T40" s="214"/>
    </row>
    <row r="41" spans="2:20" x14ac:dyDescent="0.2">
      <c r="B41" s="5"/>
      <c r="C41" s="6" t="s">
        <v>8</v>
      </c>
      <c r="D41" s="7" t="s">
        <v>9</v>
      </c>
      <c r="E41" s="8" t="s">
        <v>10</v>
      </c>
      <c r="G41" s="5"/>
      <c r="H41" s="6" t="s">
        <v>8</v>
      </c>
      <c r="I41" s="7" t="s">
        <v>9</v>
      </c>
      <c r="J41" s="8" t="s">
        <v>10</v>
      </c>
      <c r="L41" s="5"/>
      <c r="M41" s="6" t="s">
        <v>8</v>
      </c>
      <c r="N41" s="7" t="s">
        <v>9</v>
      </c>
      <c r="O41" s="8" t="s">
        <v>10</v>
      </c>
      <c r="Q41" s="64"/>
      <c r="R41" s="65" t="s">
        <v>8</v>
      </c>
      <c r="S41" s="7" t="s">
        <v>9</v>
      </c>
      <c r="T41" s="8" t="s">
        <v>10</v>
      </c>
    </row>
    <row r="42" spans="2:20" x14ac:dyDescent="0.2">
      <c r="B42" s="7" t="s">
        <v>119</v>
      </c>
      <c r="C42" s="36">
        <v>1</v>
      </c>
      <c r="D42" s="11">
        <f>+VLOOKUP(B42,'PRECIO PROVEEDORES'!$A$2:$B$716,2,0)</f>
        <v>4160</v>
      </c>
      <c r="E42" s="12">
        <f t="shared" ref="E42:E45" si="8">+C42*D42</f>
        <v>4160</v>
      </c>
      <c r="G42" s="13" t="s">
        <v>17</v>
      </c>
      <c r="H42" s="10">
        <v>4</v>
      </c>
      <c r="I42" s="11">
        <f>+VLOOKUP(G42,'PRECIO PROVEEDORES'!$A$2:$B$716,2,0)</f>
        <v>192</v>
      </c>
      <c r="J42" s="12">
        <f t="shared" ref="J42:J46" si="9">+H42*I42</f>
        <v>768</v>
      </c>
      <c r="L42" s="7" t="s">
        <v>358</v>
      </c>
      <c r="M42" s="36">
        <v>5</v>
      </c>
      <c r="N42" s="11">
        <f>+VLOOKUP(L42,'PRECIO PROVEEDORES'!$A$2:$B$716,2,0)</f>
        <v>7000</v>
      </c>
      <c r="O42" s="12">
        <f t="shared" ref="O42:O45" si="10">+M42*N42</f>
        <v>35000</v>
      </c>
      <c r="Q42" s="13" t="s">
        <v>237</v>
      </c>
      <c r="R42" s="10">
        <v>1.8</v>
      </c>
      <c r="S42" s="94">
        <f>+VLOOKUP(Q42,'PRECIO PROVEEDORES'!$A$2:$B$716,2,0)</f>
        <v>1043.22</v>
      </c>
      <c r="T42" s="12">
        <f t="shared" ref="T42:T50" si="11">+R42*S42</f>
        <v>1877.796</v>
      </c>
    </row>
    <row r="43" spans="2:20" x14ac:dyDescent="0.2">
      <c r="B43" s="13" t="s">
        <v>335</v>
      </c>
      <c r="C43" s="36">
        <v>0.25</v>
      </c>
      <c r="D43" s="11">
        <f>+VLOOKUP(B43,'PRECIO PROVEEDORES'!$A$2:$B$716,2,0)</f>
        <v>1800</v>
      </c>
      <c r="E43" s="12">
        <f t="shared" si="8"/>
        <v>450</v>
      </c>
      <c r="G43" s="13" t="s">
        <v>166</v>
      </c>
      <c r="H43" s="10">
        <v>0.35</v>
      </c>
      <c r="I43" s="11">
        <f>+VLOOKUP(G43,'PRECIO PROVEEDORES'!$A$2:$B$716,2,0)</f>
        <v>1940</v>
      </c>
      <c r="J43" s="12">
        <f t="shared" si="9"/>
        <v>679</v>
      </c>
      <c r="L43" s="13" t="s">
        <v>335</v>
      </c>
      <c r="M43" s="36">
        <v>0.4</v>
      </c>
      <c r="N43" s="11">
        <f>+VLOOKUP(L43,'PRECIO PROVEEDORES'!$A$2:$B$716,2,0)</f>
        <v>1800</v>
      </c>
      <c r="O43" s="12">
        <f t="shared" si="10"/>
        <v>720</v>
      </c>
      <c r="Q43" s="13" t="s">
        <v>239</v>
      </c>
      <c r="R43" s="10">
        <v>0.2</v>
      </c>
      <c r="S43" s="94">
        <f>+VLOOKUP(Q43,'PRECIO PROVEEDORES'!$A$2:$B$716,2,0)</f>
        <v>890</v>
      </c>
      <c r="T43" s="12">
        <f t="shared" si="11"/>
        <v>178</v>
      </c>
    </row>
    <row r="44" spans="2:20" x14ac:dyDescent="0.2">
      <c r="B44" s="13" t="s">
        <v>115</v>
      </c>
      <c r="C44" s="36">
        <v>0.1</v>
      </c>
      <c r="D44" s="11">
        <f>+VLOOKUP(B44,'PRECIO PROVEEDORES'!$A$2:$B$716,2,0)</f>
        <v>4299.01</v>
      </c>
      <c r="E44" s="12">
        <f t="shared" si="8"/>
        <v>429.90100000000007</v>
      </c>
      <c r="G44" s="13" t="s">
        <v>327</v>
      </c>
      <c r="H44" s="10">
        <v>0.15</v>
      </c>
      <c r="I44" s="11">
        <f>+VLOOKUP(G44,'PRECIO PROVEEDORES'!$A$2:$B$716,2,0)</f>
        <v>12915</v>
      </c>
      <c r="J44" s="12">
        <f t="shared" si="9"/>
        <v>1937.25</v>
      </c>
      <c r="L44" s="13" t="s">
        <v>220</v>
      </c>
      <c r="M44" s="36">
        <v>1</v>
      </c>
      <c r="N44" s="11">
        <f>+VLOOKUP(L44,'PRECIO PROVEEDORES'!$A$2:$B$716,2,0)</f>
        <v>3000</v>
      </c>
      <c r="O44" s="12">
        <f t="shared" si="10"/>
        <v>3000</v>
      </c>
      <c r="Q44" s="13" t="s">
        <v>210</v>
      </c>
      <c r="R44" s="10">
        <v>0.25</v>
      </c>
      <c r="S44" s="94">
        <f>+VLOOKUP(Q44,'PRECIO PROVEEDORES'!$A$2:$B$716,2,0)</f>
        <v>1352</v>
      </c>
      <c r="T44" s="12">
        <f t="shared" si="11"/>
        <v>338</v>
      </c>
    </row>
    <row r="45" spans="2:20" x14ac:dyDescent="0.2">
      <c r="B45" s="13" t="s">
        <v>49</v>
      </c>
      <c r="C45" s="36">
        <v>8.0000000000000002E-3</v>
      </c>
      <c r="D45" s="11">
        <f>+VLOOKUP(B45,'PRECIO PROVEEDORES'!$A$2:$B$716,2,0)</f>
        <v>1633</v>
      </c>
      <c r="E45" s="12">
        <f t="shared" si="8"/>
        <v>13.064</v>
      </c>
      <c r="G45" s="13" t="s">
        <v>239</v>
      </c>
      <c r="H45" s="10">
        <v>0.4</v>
      </c>
      <c r="I45" s="11">
        <f>+VLOOKUP(G45,'PRECIO PROVEEDORES'!$A$2:$B$716,2,0)</f>
        <v>890</v>
      </c>
      <c r="J45" s="12">
        <f t="shared" si="9"/>
        <v>356</v>
      </c>
      <c r="L45" s="13" t="s">
        <v>49</v>
      </c>
      <c r="M45" s="36">
        <v>1.4999999999999999E-2</v>
      </c>
      <c r="N45" s="11">
        <f>+VLOOKUP(L45,'PRECIO PROVEEDORES'!$A$2:$B$716,2,0)</f>
        <v>1633</v>
      </c>
      <c r="O45" s="12">
        <f t="shared" si="10"/>
        <v>24.494999999999997</v>
      </c>
      <c r="Q45" s="13" t="s">
        <v>243</v>
      </c>
      <c r="R45" s="10">
        <v>0.02</v>
      </c>
      <c r="S45" s="94">
        <f>+VLOOKUP(Q45,'PRECIO PROVEEDORES'!$A$2:$B$716,2,0)</f>
        <v>17780</v>
      </c>
      <c r="T45" s="12">
        <f t="shared" si="11"/>
        <v>355.6</v>
      </c>
    </row>
    <row r="46" spans="2:20" x14ac:dyDescent="0.2">
      <c r="B46" s="5"/>
      <c r="C46" s="7"/>
      <c r="D46" s="11"/>
      <c r="E46" s="12"/>
      <c r="G46" s="13" t="s">
        <v>243</v>
      </c>
      <c r="H46" s="10">
        <v>0.01</v>
      </c>
      <c r="I46" s="11">
        <f>+VLOOKUP(G46,'PRECIO PROVEEDORES'!$A$2:$B$716,2,0)</f>
        <v>17780</v>
      </c>
      <c r="J46" s="12">
        <f t="shared" si="9"/>
        <v>177.8</v>
      </c>
      <c r="L46" s="5"/>
      <c r="M46" s="7"/>
      <c r="N46" s="11"/>
      <c r="O46" s="12"/>
      <c r="Q46" s="13" t="s">
        <v>49</v>
      </c>
      <c r="R46" s="10">
        <v>0.04</v>
      </c>
      <c r="S46" s="94">
        <f>+VLOOKUP(Q46,'PRECIO PROVEEDORES'!$A$2:$B$716,2,0)</f>
        <v>1633</v>
      </c>
      <c r="T46" s="12">
        <f t="shared" si="11"/>
        <v>65.320000000000007</v>
      </c>
    </row>
    <row r="47" spans="2:20" x14ac:dyDescent="0.2">
      <c r="B47" s="7" t="s">
        <v>340</v>
      </c>
      <c r="C47" s="7"/>
      <c r="D47" s="11"/>
      <c r="E47" s="12">
        <f>SUM(E41:E45)</f>
        <v>5052.9650000000001</v>
      </c>
      <c r="G47" s="114"/>
      <c r="H47" s="7"/>
      <c r="I47" s="11"/>
      <c r="J47" s="12"/>
      <c r="L47" s="5" t="s">
        <v>359</v>
      </c>
      <c r="M47" s="7"/>
      <c r="N47" s="11"/>
      <c r="O47" s="12">
        <f>SUM(O42:O46)</f>
        <v>38744.495000000003</v>
      </c>
      <c r="Q47" s="13" t="s">
        <v>166</v>
      </c>
      <c r="R47" s="10">
        <v>0.5</v>
      </c>
      <c r="S47" s="94">
        <f>+VLOOKUP(Q47,'PRECIO PROVEEDORES'!$A$2:$B$716,2,0)</f>
        <v>1940</v>
      </c>
      <c r="T47" s="12">
        <f t="shared" si="11"/>
        <v>970</v>
      </c>
    </row>
    <row r="48" spans="2:20" x14ac:dyDescent="0.2">
      <c r="B48" s="7"/>
      <c r="C48" s="7"/>
      <c r="D48" s="11"/>
      <c r="E48" s="12"/>
      <c r="G48" s="7" t="s">
        <v>360</v>
      </c>
      <c r="H48" s="7"/>
      <c r="I48" s="11"/>
      <c r="J48" s="12">
        <f>SUM(J42:J46)</f>
        <v>3918.05</v>
      </c>
      <c r="L48" s="5" t="s">
        <v>340</v>
      </c>
      <c r="M48" s="7"/>
      <c r="N48" s="11"/>
      <c r="O48" s="12">
        <f>O47/5</f>
        <v>7748.8990000000003</v>
      </c>
      <c r="Q48" s="13" t="s">
        <v>17</v>
      </c>
      <c r="R48" s="10">
        <v>6</v>
      </c>
      <c r="S48" s="94">
        <f>+VLOOKUP(Q48,'PRECIO PROVEEDORES'!$A$2:$B$716,2,0)</f>
        <v>192</v>
      </c>
      <c r="T48" s="12">
        <f t="shared" si="11"/>
        <v>1152</v>
      </c>
    </row>
    <row r="49" spans="2:20" x14ac:dyDescent="0.2">
      <c r="B49" s="5"/>
      <c r="C49" s="7"/>
      <c r="D49" s="11"/>
      <c r="E49" s="12"/>
      <c r="G49" s="5" t="s">
        <v>361</v>
      </c>
      <c r="H49" s="7"/>
      <c r="I49" s="11"/>
      <c r="J49" s="12">
        <f>J48/10</f>
        <v>391.80500000000001</v>
      </c>
      <c r="L49" s="5"/>
      <c r="M49" s="7"/>
      <c r="N49" s="11"/>
      <c r="O49" s="12"/>
      <c r="Q49" s="13" t="s">
        <v>242</v>
      </c>
      <c r="R49" s="10">
        <v>0.06</v>
      </c>
      <c r="S49" s="94">
        <f>+VLOOKUP(Q49,'PRECIO PROVEEDORES'!$A$2:$B$716,2,0)</f>
        <v>6062</v>
      </c>
      <c r="T49" s="12">
        <f t="shared" si="11"/>
        <v>363.71999999999997</v>
      </c>
    </row>
    <row r="50" spans="2:20" x14ac:dyDescent="0.2">
      <c r="B50" s="19"/>
      <c r="C50" s="7"/>
      <c r="D50" s="11"/>
      <c r="E50" s="12"/>
      <c r="G50" s="19"/>
      <c r="H50" s="7"/>
      <c r="I50" s="11"/>
      <c r="J50" s="12"/>
      <c r="L50" s="19"/>
      <c r="M50" s="7"/>
      <c r="N50" s="11"/>
      <c r="O50" s="12"/>
      <c r="Q50" s="13" t="s">
        <v>247</v>
      </c>
      <c r="R50" s="10">
        <v>0.56999999999999995</v>
      </c>
      <c r="S50" s="94">
        <f>+VLOOKUP(Q50,'PRECIO PROVEEDORES'!$A$2:$B$716,2,0)</f>
        <v>12000</v>
      </c>
      <c r="T50" s="12">
        <f t="shared" si="11"/>
        <v>6839.9999999999991</v>
      </c>
    </row>
    <row r="51" spans="2:20" x14ac:dyDescent="0.2">
      <c r="B51" s="19"/>
      <c r="C51" s="7"/>
      <c r="D51" s="11"/>
      <c r="E51" s="12"/>
      <c r="G51" s="19"/>
      <c r="H51" s="7"/>
      <c r="I51" s="11"/>
      <c r="J51" s="12"/>
      <c r="L51" s="19"/>
      <c r="M51" s="7"/>
      <c r="N51" s="11"/>
      <c r="O51" s="12"/>
      <c r="Q51" s="71"/>
      <c r="R51" s="66"/>
      <c r="S51" s="69"/>
      <c r="T51" s="12"/>
    </row>
    <row r="52" spans="2:20" x14ac:dyDescent="0.2">
      <c r="B52" s="19"/>
      <c r="C52" s="7"/>
      <c r="D52" s="11"/>
      <c r="E52" s="12"/>
      <c r="G52" s="19"/>
      <c r="H52" s="7"/>
      <c r="I52" s="11"/>
      <c r="J52" s="12"/>
      <c r="L52" s="19"/>
      <c r="M52" s="7"/>
      <c r="N52" s="11"/>
      <c r="O52" s="12"/>
      <c r="Q52" s="71" t="s">
        <v>362</v>
      </c>
      <c r="R52" s="66"/>
      <c r="S52" s="69"/>
      <c r="T52" s="12">
        <f>SUM(T41:T50)</f>
        <v>12140.436</v>
      </c>
    </row>
    <row r="53" spans="2:20" x14ac:dyDescent="0.2">
      <c r="B53" s="19"/>
      <c r="C53" s="7"/>
      <c r="D53" s="11"/>
      <c r="E53" s="12"/>
      <c r="G53" s="19"/>
      <c r="H53" s="7"/>
      <c r="I53" s="11"/>
      <c r="J53" s="12"/>
      <c r="L53" s="19"/>
      <c r="M53" s="7"/>
      <c r="N53" s="11"/>
      <c r="O53" s="12"/>
      <c r="Q53" s="71" t="s">
        <v>343</v>
      </c>
      <c r="R53" s="66"/>
      <c r="S53" s="69"/>
      <c r="T53" s="12">
        <f>T52/78</f>
        <v>155.64661538461539</v>
      </c>
    </row>
    <row r="54" spans="2:20" x14ac:dyDescent="0.2">
      <c r="B54" s="5"/>
      <c r="C54" s="7"/>
      <c r="D54" s="11"/>
      <c r="E54" s="12"/>
      <c r="G54" s="5"/>
      <c r="H54" s="7"/>
      <c r="I54" s="11"/>
      <c r="J54" s="12"/>
      <c r="L54" s="5"/>
      <c r="M54" s="7"/>
      <c r="N54" s="11"/>
      <c r="O54" s="12"/>
      <c r="Q54" s="64"/>
      <c r="R54" s="66"/>
      <c r="S54" s="69"/>
      <c r="T54" s="12"/>
    </row>
    <row r="55" spans="2:20" x14ac:dyDescent="0.2">
      <c r="B55" s="5"/>
      <c r="C55" s="7"/>
      <c r="D55" s="11"/>
      <c r="E55" s="12"/>
      <c r="G55" s="5"/>
      <c r="H55" s="7"/>
      <c r="I55" s="11"/>
      <c r="J55" s="12"/>
      <c r="L55" s="5"/>
      <c r="M55" s="7"/>
      <c r="N55" s="11"/>
      <c r="O55" s="12"/>
      <c r="Q55" s="64"/>
      <c r="R55" s="66"/>
      <c r="S55" s="69"/>
      <c r="T55" s="12"/>
    </row>
    <row r="56" spans="2:20" x14ac:dyDescent="0.2">
      <c r="B56" s="5"/>
      <c r="C56" s="7"/>
      <c r="D56" s="11"/>
      <c r="E56" s="12"/>
      <c r="G56" s="5"/>
      <c r="H56" s="7"/>
      <c r="I56" s="11"/>
      <c r="J56" s="12"/>
      <c r="L56" s="5"/>
      <c r="M56" s="7"/>
      <c r="N56" s="11"/>
      <c r="O56" s="12"/>
      <c r="Q56" s="64"/>
      <c r="R56" s="66"/>
      <c r="S56" s="69"/>
      <c r="T56" s="12"/>
    </row>
    <row r="59" spans="2:20" x14ac:dyDescent="0.2">
      <c r="B59" s="212" t="s">
        <v>363</v>
      </c>
      <c r="C59" s="213"/>
      <c r="D59" s="213"/>
      <c r="E59" s="214"/>
      <c r="G59" s="212" t="s">
        <v>364</v>
      </c>
      <c r="H59" s="213"/>
      <c r="I59" s="213"/>
      <c r="J59" s="214"/>
      <c r="L59" s="212" t="s">
        <v>365</v>
      </c>
      <c r="M59" s="213"/>
      <c r="N59" s="213"/>
      <c r="O59" s="214"/>
      <c r="Q59" s="218" t="s">
        <v>366</v>
      </c>
      <c r="R59" s="213"/>
      <c r="S59" s="213"/>
      <c r="T59" s="214"/>
    </row>
    <row r="60" spans="2:20" x14ac:dyDescent="0.2">
      <c r="B60" s="5"/>
      <c r="C60" s="6" t="s">
        <v>8</v>
      </c>
      <c r="D60" s="7" t="s">
        <v>9</v>
      </c>
      <c r="E60" s="8" t="s">
        <v>10</v>
      </c>
      <c r="G60" s="5"/>
      <c r="H60" s="6" t="s">
        <v>8</v>
      </c>
      <c r="I60" s="7" t="s">
        <v>9</v>
      </c>
      <c r="J60" s="8" t="s">
        <v>10</v>
      </c>
      <c r="L60" s="5"/>
      <c r="M60" s="6" t="s">
        <v>8</v>
      </c>
      <c r="N60" s="7" t="s">
        <v>9</v>
      </c>
      <c r="O60" s="8" t="s">
        <v>10</v>
      </c>
      <c r="Q60" s="64"/>
      <c r="R60" s="65" t="s">
        <v>8</v>
      </c>
      <c r="S60" s="7" t="s">
        <v>9</v>
      </c>
      <c r="T60" s="8" t="s">
        <v>10</v>
      </c>
    </row>
    <row r="61" spans="2:20" x14ac:dyDescent="0.2">
      <c r="B61" s="13" t="s">
        <v>275</v>
      </c>
      <c r="C61" s="36">
        <v>0.05</v>
      </c>
      <c r="D61" s="11">
        <f>+VLOOKUP(B61,'PRECIO PROVEEDORES'!$A$2:$B$716,2,0)</f>
        <v>13205</v>
      </c>
      <c r="E61" s="12">
        <f t="shared" ref="E61:E66" si="12">+C61*D61</f>
        <v>660.25</v>
      </c>
      <c r="G61" s="13" t="s">
        <v>367</v>
      </c>
      <c r="H61" s="36">
        <v>0.4</v>
      </c>
      <c r="I61" s="11">
        <f>+VLOOKUP(G61,'PRECIO PROVEEDORES'!$A$2:$B$716,2,0)</f>
        <v>0</v>
      </c>
      <c r="J61" s="12">
        <f t="shared" ref="J61:J67" si="13">+H61*I61</f>
        <v>0</v>
      </c>
      <c r="L61" s="7" t="s">
        <v>368</v>
      </c>
      <c r="M61" s="36">
        <v>0.65</v>
      </c>
      <c r="N61" s="11">
        <f>+VLOOKUP(L61,'PRECIO PROVEEDORES'!$A$2:$B$716,2,0)</f>
        <v>2070</v>
      </c>
      <c r="O61" s="12">
        <f t="shared" ref="O61:O65" si="14">+M61*N61</f>
        <v>1345.5</v>
      </c>
      <c r="Q61" s="13" t="s">
        <v>237</v>
      </c>
      <c r="R61" s="10">
        <v>1</v>
      </c>
      <c r="S61" s="94">
        <f>+VLOOKUP(Q61,'PRECIO PROVEEDORES'!$A$2:$B$716,2,0)</f>
        <v>1043.22</v>
      </c>
      <c r="T61" s="12">
        <f t="shared" ref="T61:T66" si="15">+R61*S61</f>
        <v>1043.22</v>
      </c>
    </row>
    <row r="62" spans="2:20" x14ac:dyDescent="0.2">
      <c r="B62" s="13" t="s">
        <v>166</v>
      </c>
      <c r="C62" s="36">
        <v>0.3</v>
      </c>
      <c r="D62" s="11">
        <f>+VLOOKUP(B62,'PRECIO PROVEEDORES'!$A$2:$B$716,2,0)</f>
        <v>1940</v>
      </c>
      <c r="E62" s="12">
        <f t="shared" si="12"/>
        <v>582</v>
      </c>
      <c r="G62" s="115" t="s">
        <v>273</v>
      </c>
      <c r="H62" s="36">
        <v>0.08</v>
      </c>
      <c r="I62" s="11">
        <f>+VLOOKUP(G62,'PRECIO PROVEEDORES'!$A$2:$B$716,2,0)</f>
        <v>2191</v>
      </c>
      <c r="J62" s="12">
        <f t="shared" si="13"/>
        <v>175.28</v>
      </c>
      <c r="L62" s="13" t="s">
        <v>367</v>
      </c>
      <c r="M62" s="36">
        <v>0.3</v>
      </c>
      <c r="N62" s="11">
        <f>+VLOOKUP(L62,'PRECIO PROVEEDORES'!$A$2:$B$716,2,0)</f>
        <v>0</v>
      </c>
      <c r="O62" s="12">
        <f t="shared" si="14"/>
        <v>0</v>
      </c>
      <c r="Q62" s="13" t="s">
        <v>239</v>
      </c>
      <c r="R62" s="10">
        <v>0.25</v>
      </c>
      <c r="S62" s="94">
        <f>+VLOOKUP(Q62,'PRECIO PROVEEDORES'!$A$2:$B$716,2,0)</f>
        <v>890</v>
      </c>
      <c r="T62" s="12">
        <f t="shared" si="15"/>
        <v>222.5</v>
      </c>
    </row>
    <row r="63" spans="2:20" x14ac:dyDescent="0.2">
      <c r="B63" s="13" t="s">
        <v>210</v>
      </c>
      <c r="C63" s="36">
        <v>0.1</v>
      </c>
      <c r="D63" s="11">
        <f>+VLOOKUP(B63,'PRECIO PROVEEDORES'!$A$2:$B$716,2,0)</f>
        <v>1352</v>
      </c>
      <c r="E63" s="12">
        <f t="shared" si="12"/>
        <v>135.20000000000002</v>
      </c>
      <c r="G63" s="13" t="s">
        <v>369</v>
      </c>
      <c r="H63" s="36">
        <v>0.6</v>
      </c>
      <c r="I63" s="11">
        <f>+VLOOKUP(G63,'PRECIO PROVEEDORES'!$A$2:$B$716,2,0)</f>
        <v>1897</v>
      </c>
      <c r="J63" s="12">
        <f t="shared" si="13"/>
        <v>1138.2</v>
      </c>
      <c r="L63" s="13" t="s">
        <v>210</v>
      </c>
      <c r="M63" s="36">
        <v>0.2</v>
      </c>
      <c r="N63" s="11">
        <f>+VLOOKUP(L63,'PRECIO PROVEEDORES'!$A$2:$B$716,2,0)</f>
        <v>1352</v>
      </c>
      <c r="O63" s="12">
        <f t="shared" si="14"/>
        <v>270.40000000000003</v>
      </c>
      <c r="Q63" s="13" t="s">
        <v>210</v>
      </c>
      <c r="R63" s="10">
        <v>0.15</v>
      </c>
      <c r="S63" s="94">
        <f>+VLOOKUP(Q63,'PRECIO PROVEEDORES'!$A$2:$B$716,2,0)</f>
        <v>1352</v>
      </c>
      <c r="T63" s="12">
        <f t="shared" si="15"/>
        <v>202.79999999999998</v>
      </c>
    </row>
    <row r="64" spans="2:20" x14ac:dyDescent="0.2">
      <c r="B64" s="13" t="s">
        <v>247</v>
      </c>
      <c r="C64" s="36">
        <v>1.4999999999999999E-2</v>
      </c>
      <c r="D64" s="11">
        <f>+VLOOKUP(B64,'PRECIO PROVEEDORES'!$A$2:$B$716,2,0)</f>
        <v>12000</v>
      </c>
      <c r="E64" s="12">
        <f t="shared" si="12"/>
        <v>180</v>
      </c>
      <c r="G64" s="13" t="s">
        <v>210</v>
      </c>
      <c r="H64" s="36">
        <v>0.18</v>
      </c>
      <c r="I64" s="11">
        <f>+VLOOKUP(G64,'PRECIO PROVEEDORES'!$A$2:$B$716,2,0)</f>
        <v>1352</v>
      </c>
      <c r="J64" s="12">
        <f t="shared" si="13"/>
        <v>243.35999999999999</v>
      </c>
      <c r="L64" s="13" t="s">
        <v>370</v>
      </c>
      <c r="M64" s="36">
        <v>0.1</v>
      </c>
      <c r="N64" s="11">
        <f>+VLOOKUP(L64,'PRECIO PROVEEDORES'!$A$2:$B$716,2,0)</f>
        <v>1037</v>
      </c>
      <c r="O64" s="12">
        <f t="shared" si="14"/>
        <v>103.7</v>
      </c>
      <c r="Q64" s="13" t="s">
        <v>243</v>
      </c>
      <c r="R64" s="10">
        <v>0.01</v>
      </c>
      <c r="S64" s="94">
        <f>+VLOOKUP(Q64,'PRECIO PROVEEDORES'!$A$2:$B$716,2,0)</f>
        <v>17780</v>
      </c>
      <c r="T64" s="12">
        <f t="shared" si="15"/>
        <v>177.8</v>
      </c>
    </row>
    <row r="65" spans="2:20" x14ac:dyDescent="0.2">
      <c r="B65" s="13" t="s">
        <v>237</v>
      </c>
      <c r="C65" s="36">
        <v>0.03</v>
      </c>
      <c r="D65" s="11">
        <f>+VLOOKUP(B65,'PRECIO PROVEEDORES'!$A$2:$B$716,2,0)</f>
        <v>1043.22</v>
      </c>
      <c r="E65" s="12">
        <f t="shared" si="12"/>
        <v>31.296599999999998</v>
      </c>
      <c r="G65" s="13" t="s">
        <v>370</v>
      </c>
      <c r="H65" s="36">
        <v>0.1</v>
      </c>
      <c r="I65" s="11">
        <f>+VLOOKUP(G65,'PRECIO PROVEEDORES'!$A$2:$B$716,2,0)</f>
        <v>1037</v>
      </c>
      <c r="J65" s="12">
        <f t="shared" si="13"/>
        <v>103.7</v>
      </c>
      <c r="L65" s="13" t="s">
        <v>220</v>
      </c>
      <c r="M65" s="36">
        <v>0.05</v>
      </c>
      <c r="N65" s="11">
        <f>+VLOOKUP(L65,'PRECIO PROVEEDORES'!$A$2:$B$716,2,0)</f>
        <v>3000</v>
      </c>
      <c r="O65" s="12">
        <f t="shared" si="14"/>
        <v>150</v>
      </c>
      <c r="Q65" s="13" t="s">
        <v>17</v>
      </c>
      <c r="R65" s="10">
        <v>1</v>
      </c>
      <c r="S65" s="94">
        <f>+VLOOKUP(Q65,'PRECIO PROVEEDORES'!$A$2:$B$716,2,0)</f>
        <v>192</v>
      </c>
      <c r="T65" s="12">
        <f t="shared" si="15"/>
        <v>192</v>
      </c>
    </row>
    <row r="66" spans="2:20" x14ac:dyDescent="0.2">
      <c r="B66" s="13" t="s">
        <v>49</v>
      </c>
      <c r="C66" s="36">
        <v>1E-3</v>
      </c>
      <c r="D66" s="11">
        <f>+VLOOKUP(B66,'PRECIO PROVEEDORES'!$A$2:$B$716,2,0)</f>
        <v>1633</v>
      </c>
      <c r="E66" s="12">
        <f t="shared" si="12"/>
        <v>1.633</v>
      </c>
      <c r="G66" s="13" t="s">
        <v>335</v>
      </c>
      <c r="H66" s="36">
        <v>1</v>
      </c>
      <c r="I66" s="11">
        <f>+VLOOKUP(G66,'PRECIO PROVEEDORES'!$A$2:$B$716,2,0)</f>
        <v>1800</v>
      </c>
      <c r="J66" s="12">
        <f t="shared" si="13"/>
        <v>1800</v>
      </c>
      <c r="L66" s="5"/>
      <c r="M66" s="7"/>
      <c r="N66" s="11"/>
      <c r="O66" s="12"/>
      <c r="Q66" s="13" t="s">
        <v>247</v>
      </c>
      <c r="R66" s="10">
        <v>0.6</v>
      </c>
      <c r="S66" s="94">
        <f>+VLOOKUP(Q66,'PRECIO PROVEEDORES'!$A$2:$B$716,2,0)</f>
        <v>12000</v>
      </c>
      <c r="T66" s="12">
        <f t="shared" si="15"/>
        <v>7200</v>
      </c>
    </row>
    <row r="67" spans="2:20" x14ac:dyDescent="0.2">
      <c r="B67" s="5"/>
      <c r="C67" s="7"/>
      <c r="D67" s="11"/>
      <c r="E67" s="12"/>
      <c r="G67" s="38" t="s">
        <v>371</v>
      </c>
      <c r="H67" s="36">
        <v>4.0000000000000001E-3</v>
      </c>
      <c r="I67" s="11">
        <f>+VLOOKUP(G67,'PRECIO PROVEEDORES'!$A$2:$B$716,2,0)</f>
        <v>8000</v>
      </c>
      <c r="J67" s="12">
        <f t="shared" si="13"/>
        <v>32</v>
      </c>
      <c r="L67" s="5" t="s">
        <v>372</v>
      </c>
      <c r="M67" s="7"/>
      <c r="N67" s="11"/>
      <c r="O67" s="12">
        <f>SUM(O61:O65)</f>
        <v>1869.6000000000001</v>
      </c>
      <c r="Q67" s="64"/>
      <c r="R67" s="66"/>
      <c r="S67" s="94"/>
      <c r="T67" s="12"/>
    </row>
    <row r="68" spans="2:20" x14ac:dyDescent="0.2">
      <c r="B68" s="5" t="s">
        <v>373</v>
      </c>
      <c r="C68" s="7"/>
      <c r="D68" s="11"/>
      <c r="E68" s="12">
        <f>SUM(E61:E66)</f>
        <v>1590.3796</v>
      </c>
      <c r="G68" s="5"/>
      <c r="H68" s="7"/>
      <c r="I68" s="11"/>
      <c r="J68" s="12"/>
      <c r="L68" s="5" t="s">
        <v>340</v>
      </c>
      <c r="M68" s="7"/>
      <c r="N68" s="11"/>
      <c r="O68" s="12">
        <f>O67*1000/785</f>
        <v>2381.6560509554142</v>
      </c>
      <c r="Q68" s="64" t="s">
        <v>374</v>
      </c>
      <c r="R68" s="66"/>
      <c r="S68" s="94"/>
      <c r="T68" s="12">
        <f>SUM(T61:T66)</f>
        <v>9038.32</v>
      </c>
    </row>
    <row r="69" spans="2:20" x14ac:dyDescent="0.2">
      <c r="B69" s="19" t="s">
        <v>340</v>
      </c>
      <c r="C69" s="7"/>
      <c r="D69" s="11"/>
      <c r="E69" s="12">
        <f>E68*2</f>
        <v>3180.7592</v>
      </c>
      <c r="G69" s="19" t="s">
        <v>375</v>
      </c>
      <c r="H69" s="7"/>
      <c r="I69" s="11"/>
      <c r="J69" s="12">
        <f>SUM(J61:J67)</f>
        <v>3492.54</v>
      </c>
      <c r="L69" s="19"/>
      <c r="M69" s="7"/>
      <c r="N69" s="11"/>
      <c r="O69" s="12"/>
      <c r="Q69" s="71" t="s">
        <v>343</v>
      </c>
      <c r="R69" s="66"/>
      <c r="S69" s="69"/>
      <c r="T69" s="12">
        <f>T68/19</f>
        <v>475.70105263157893</v>
      </c>
    </row>
    <row r="70" spans="2:20" x14ac:dyDescent="0.2">
      <c r="B70" s="19"/>
      <c r="C70" s="7"/>
      <c r="D70" s="11"/>
      <c r="E70" s="12"/>
      <c r="G70" s="19" t="s">
        <v>340</v>
      </c>
      <c r="H70" s="7"/>
      <c r="I70" s="11"/>
      <c r="J70" s="12">
        <f>J69*1000/1200</f>
        <v>2910.45</v>
      </c>
      <c r="L70" s="19"/>
      <c r="M70" s="7"/>
      <c r="N70" s="11"/>
      <c r="O70" s="12"/>
      <c r="Q70" s="71"/>
      <c r="R70" s="66"/>
      <c r="S70" s="69"/>
      <c r="T70" s="12"/>
    </row>
    <row r="71" spans="2:20" x14ac:dyDescent="0.2">
      <c r="B71" s="19"/>
      <c r="C71" s="7"/>
      <c r="D71" s="11"/>
      <c r="E71" s="12"/>
      <c r="G71" s="19"/>
      <c r="H71" s="7"/>
      <c r="I71" s="11"/>
      <c r="J71" s="12"/>
      <c r="L71" s="19"/>
      <c r="M71" s="7"/>
      <c r="N71" s="11"/>
      <c r="O71" s="12"/>
      <c r="Q71" s="71"/>
      <c r="R71" s="66"/>
      <c r="S71" s="69"/>
      <c r="T71" s="12"/>
    </row>
    <row r="72" spans="2:20" x14ac:dyDescent="0.2">
      <c r="B72" s="19"/>
      <c r="C72" s="7"/>
      <c r="D72" s="11"/>
      <c r="E72" s="12"/>
      <c r="G72" s="19"/>
      <c r="H72" s="7"/>
      <c r="I72" s="11"/>
      <c r="J72" s="12"/>
      <c r="L72" s="19"/>
      <c r="M72" s="7"/>
      <c r="N72" s="11"/>
      <c r="O72" s="12"/>
      <c r="Q72" s="71"/>
      <c r="R72" s="66"/>
      <c r="S72" s="69"/>
      <c r="T72" s="12"/>
    </row>
    <row r="73" spans="2:20" x14ac:dyDescent="0.2">
      <c r="B73" s="5"/>
      <c r="C73" s="7"/>
      <c r="D73" s="11"/>
      <c r="E73" s="12"/>
      <c r="G73" s="5"/>
      <c r="H73" s="7"/>
      <c r="I73" s="11"/>
      <c r="J73" s="12"/>
      <c r="L73" s="5"/>
      <c r="M73" s="7"/>
      <c r="N73" s="11"/>
      <c r="O73" s="12"/>
      <c r="Q73" s="64"/>
      <c r="R73" s="66"/>
      <c r="S73" s="69"/>
      <c r="T73" s="12"/>
    </row>
    <row r="74" spans="2:20" x14ac:dyDescent="0.2">
      <c r="B74" s="5"/>
      <c r="C74" s="7"/>
      <c r="D74" s="11"/>
      <c r="E74" s="12"/>
      <c r="G74" s="5"/>
      <c r="H74" s="7"/>
      <c r="I74" s="11"/>
      <c r="J74" s="12"/>
      <c r="L74" s="5"/>
      <c r="M74" s="7"/>
      <c r="N74" s="11"/>
      <c r="O74" s="12"/>
      <c r="Q74" s="64"/>
      <c r="R74" s="66"/>
      <c r="S74" s="69"/>
      <c r="T74" s="12"/>
    </row>
    <row r="75" spans="2:20" x14ac:dyDescent="0.2">
      <c r="B75" s="5"/>
      <c r="C75" s="7"/>
      <c r="D75" s="11"/>
      <c r="E75" s="12"/>
      <c r="G75" s="5"/>
      <c r="H75" s="7"/>
      <c r="I75" s="11"/>
      <c r="J75" s="12"/>
      <c r="L75" s="5"/>
      <c r="M75" s="7"/>
      <c r="N75" s="11"/>
      <c r="O75" s="12"/>
      <c r="Q75" s="64"/>
      <c r="R75" s="66"/>
      <c r="S75" s="69"/>
      <c r="T75" s="12"/>
    </row>
    <row r="78" spans="2:20" x14ac:dyDescent="0.2">
      <c r="B78" s="212" t="s">
        <v>376</v>
      </c>
      <c r="C78" s="213"/>
      <c r="D78" s="213"/>
      <c r="E78" s="214"/>
      <c r="G78" s="218" t="s">
        <v>377</v>
      </c>
      <c r="H78" s="213"/>
      <c r="I78" s="213"/>
      <c r="J78" s="214"/>
      <c r="L78" s="218" t="s">
        <v>378</v>
      </c>
      <c r="M78" s="213"/>
      <c r="N78" s="213"/>
      <c r="O78" s="214"/>
      <c r="Q78" s="218" t="s">
        <v>379</v>
      </c>
      <c r="R78" s="213"/>
      <c r="S78" s="213"/>
      <c r="T78" s="214"/>
    </row>
    <row r="79" spans="2:20" x14ac:dyDescent="0.2">
      <c r="B79" s="5"/>
      <c r="C79" s="6" t="s">
        <v>8</v>
      </c>
      <c r="D79" s="7" t="s">
        <v>9</v>
      </c>
      <c r="E79" s="8" t="s">
        <v>10</v>
      </c>
      <c r="G79" s="64"/>
      <c r="H79" s="65" t="s">
        <v>8</v>
      </c>
      <c r="I79" s="7" t="s">
        <v>9</v>
      </c>
      <c r="J79" s="8" t="s">
        <v>10</v>
      </c>
      <c r="L79" s="64"/>
      <c r="M79" s="65" t="s">
        <v>8</v>
      </c>
      <c r="N79" s="7" t="s">
        <v>9</v>
      </c>
      <c r="O79" s="8" t="s">
        <v>10</v>
      </c>
      <c r="Q79" s="64"/>
      <c r="R79" s="65" t="s">
        <v>8</v>
      </c>
      <c r="S79" s="7" t="s">
        <v>9</v>
      </c>
      <c r="T79" s="8" t="s">
        <v>10</v>
      </c>
    </row>
    <row r="80" spans="2:20" x14ac:dyDescent="0.2">
      <c r="B80" s="13" t="s">
        <v>380</v>
      </c>
      <c r="C80" s="36">
        <v>1.5</v>
      </c>
      <c r="D80" s="11">
        <f>+VLOOKUP(B80,'PRECIO PROVEEDORES'!$A$2:$B$716,2,0)</f>
        <v>1363.15</v>
      </c>
      <c r="E80" s="12">
        <f t="shared" ref="E80:E83" si="16">+C80*D80</f>
        <v>2044.7250000000001</v>
      </c>
      <c r="G80" s="13" t="s">
        <v>239</v>
      </c>
      <c r="H80" s="36">
        <v>1</v>
      </c>
      <c r="I80" s="94">
        <f>+VLOOKUP(G80,'PRECIO PROVEEDORES'!$A$2:$B$716,2,0)</f>
        <v>890</v>
      </c>
      <c r="J80" s="12">
        <f t="shared" ref="J80:J84" si="17">+H80*I80</f>
        <v>890</v>
      </c>
      <c r="L80" s="7" t="s">
        <v>282</v>
      </c>
      <c r="M80" s="36">
        <v>0.05</v>
      </c>
      <c r="N80" s="94">
        <f>+VLOOKUP(L80,'PRECIO PROVEEDORES'!$A$2:$B$716,2,0)</f>
        <v>25872</v>
      </c>
      <c r="O80" s="12">
        <f t="shared" ref="O80:O82" si="18">+M80*N80</f>
        <v>1293.6000000000001</v>
      </c>
      <c r="Q80" s="7" t="s">
        <v>22</v>
      </c>
      <c r="R80" s="66">
        <v>0.15</v>
      </c>
      <c r="S80" s="94">
        <f>+VLOOKUP(Q80,'PRECIO PROVEEDORES'!$A$2:$B$716,2,0)</f>
        <v>4788</v>
      </c>
      <c r="T80" s="12">
        <f t="shared" ref="T80:T85" si="19">+R80*S80</f>
        <v>718.19999999999993</v>
      </c>
    </row>
    <row r="81" spans="2:20" x14ac:dyDescent="0.2">
      <c r="B81" s="7" t="s">
        <v>152</v>
      </c>
      <c r="C81" s="36">
        <v>0.04</v>
      </c>
      <c r="D81" s="11">
        <f>+VLOOKUP(B81,'PRECIO PROVEEDORES'!$A$2:$B$716,2,0)</f>
        <v>8566.7999999999993</v>
      </c>
      <c r="E81" s="12">
        <f t="shared" si="16"/>
        <v>342.67199999999997</v>
      </c>
      <c r="G81" s="13" t="s">
        <v>49</v>
      </c>
      <c r="H81" s="36">
        <v>2.1999999999999999E-2</v>
      </c>
      <c r="I81" s="94">
        <f>+VLOOKUP(G81,'PRECIO PROVEEDORES'!$A$2:$B$716,2,0)</f>
        <v>1633</v>
      </c>
      <c r="J81" s="12">
        <f t="shared" si="17"/>
        <v>35.925999999999995</v>
      </c>
      <c r="L81" s="13" t="s">
        <v>293</v>
      </c>
      <c r="M81" s="36">
        <v>0.1</v>
      </c>
      <c r="N81" s="94">
        <f>+VLOOKUP(L81,'PRECIO PROVEEDORES'!$A$2:$B$716,2,0)</f>
        <v>27769.5</v>
      </c>
      <c r="O81" s="12">
        <f t="shared" si="18"/>
        <v>2776.9500000000003</v>
      </c>
      <c r="Q81" s="7" t="s">
        <v>381</v>
      </c>
      <c r="R81" s="66">
        <v>0.3</v>
      </c>
      <c r="S81" s="94">
        <f>+VLOOKUP(Q81,'PRECIO PROVEEDORES'!$A$2:$B$716,2,0)</f>
        <v>4095</v>
      </c>
      <c r="T81" s="12">
        <f t="shared" si="19"/>
        <v>1228.5</v>
      </c>
    </row>
    <row r="82" spans="2:20" x14ac:dyDescent="0.2">
      <c r="B82" s="13" t="s">
        <v>49</v>
      </c>
      <c r="C82" s="36">
        <v>0.02</v>
      </c>
      <c r="D82" s="11">
        <f>+VLOOKUP(B82,'PRECIO PROVEEDORES'!$A$2:$B$716,2,0)</f>
        <v>1633</v>
      </c>
      <c r="E82" s="12">
        <f t="shared" si="16"/>
        <v>32.660000000000004</v>
      </c>
      <c r="G82" s="13" t="s">
        <v>367</v>
      </c>
      <c r="H82" s="36">
        <v>0.7</v>
      </c>
      <c r="I82" s="94">
        <f>+VLOOKUP(G82,'PRECIO PROVEEDORES'!$A$2:$B$716,2,0)</f>
        <v>0</v>
      </c>
      <c r="J82" s="12">
        <f t="shared" si="17"/>
        <v>0</v>
      </c>
      <c r="L82" s="109" t="s">
        <v>274</v>
      </c>
      <c r="M82" s="36">
        <v>0.1</v>
      </c>
      <c r="N82" s="94">
        <f>+VLOOKUP(L82,'PRECIO PROVEEDORES'!$A$2:$B$716,2,0)</f>
        <v>5987</v>
      </c>
      <c r="O82" s="12">
        <f t="shared" si="18"/>
        <v>598.70000000000005</v>
      </c>
      <c r="Q82" s="7" t="s">
        <v>382</v>
      </c>
      <c r="R82" s="66">
        <v>0.3</v>
      </c>
      <c r="S82" s="94">
        <f>+VLOOKUP(Q82,'PRECIO PROVEEDORES'!$A$2:$B$716,2,0)</f>
        <v>2530</v>
      </c>
      <c r="T82" s="12">
        <f t="shared" si="19"/>
        <v>759</v>
      </c>
    </row>
    <row r="83" spans="2:20" x14ac:dyDescent="0.2">
      <c r="B83" s="13" t="s">
        <v>115</v>
      </c>
      <c r="C83" s="36">
        <v>2.5000000000000001E-2</v>
      </c>
      <c r="D83" s="11">
        <f>+VLOOKUP(B83,'PRECIO PROVEEDORES'!$A$2:$B$716,2,0)</f>
        <v>4299.01</v>
      </c>
      <c r="E83" s="12">
        <f t="shared" si="16"/>
        <v>107.47525000000002</v>
      </c>
      <c r="G83" s="13" t="s">
        <v>243</v>
      </c>
      <c r="H83" s="36">
        <v>0.01</v>
      </c>
      <c r="I83" s="94">
        <f>+VLOOKUP(G83,'PRECIO PROVEEDORES'!$A$2:$B$716,2,0)</f>
        <v>17780</v>
      </c>
      <c r="J83" s="12">
        <f t="shared" si="17"/>
        <v>177.8</v>
      </c>
      <c r="L83" s="64"/>
      <c r="M83" s="66"/>
      <c r="N83" s="94"/>
      <c r="O83" s="12"/>
      <c r="Q83" s="64" t="s">
        <v>287</v>
      </c>
      <c r="R83" s="66">
        <v>0.15</v>
      </c>
      <c r="S83" s="94">
        <f>+VLOOKUP(Q83,'PRECIO PROVEEDORES'!$A$2:$B$716,2,0)</f>
        <v>1650</v>
      </c>
      <c r="T83" s="12">
        <f t="shared" si="19"/>
        <v>247.5</v>
      </c>
    </row>
    <row r="84" spans="2:20" x14ac:dyDescent="0.2">
      <c r="B84" s="13"/>
      <c r="C84" s="7"/>
      <c r="D84" s="11"/>
      <c r="E84" s="12"/>
      <c r="G84" s="13" t="s">
        <v>337</v>
      </c>
      <c r="H84" s="100">
        <v>3.5000000000000003E-2</v>
      </c>
      <c r="I84" s="94">
        <f>+VLOOKUP(G84,'PRECIO PROVEEDORES'!$A$2:$B$716,2,0)</f>
        <v>16595</v>
      </c>
      <c r="J84" s="12">
        <f t="shared" si="17"/>
        <v>580.82500000000005</v>
      </c>
      <c r="L84" s="64" t="s">
        <v>383</v>
      </c>
      <c r="M84" s="66"/>
      <c r="N84" s="94"/>
      <c r="O84" s="12">
        <f>SUM(O80:O82)</f>
        <v>4669.25</v>
      </c>
      <c r="Q84" s="64" t="s">
        <v>384</v>
      </c>
      <c r="R84" s="66">
        <v>0.1</v>
      </c>
      <c r="S84" s="94">
        <f>+VLOOKUP(Q84,'PRECIO PROVEEDORES'!$A$2:$B$716,2,0)</f>
        <v>2070</v>
      </c>
      <c r="T84" s="12">
        <f t="shared" si="19"/>
        <v>207</v>
      </c>
    </row>
    <row r="85" spans="2:20" x14ac:dyDescent="0.2">
      <c r="B85" s="5" t="s">
        <v>385</v>
      </c>
      <c r="C85" s="7"/>
      <c r="D85" s="11"/>
      <c r="E85" s="12">
        <f>SUM(E79:E83)</f>
        <v>2527.5322499999997</v>
      </c>
      <c r="G85" s="64"/>
      <c r="H85" s="66"/>
      <c r="I85" s="94"/>
      <c r="J85" s="12"/>
      <c r="L85" s="64" t="s">
        <v>340</v>
      </c>
      <c r="M85" s="66"/>
      <c r="N85" s="94"/>
      <c r="O85" s="12">
        <f>O84*1000/240</f>
        <v>19455.208333333332</v>
      </c>
      <c r="Q85" s="7" t="s">
        <v>386</v>
      </c>
      <c r="R85" s="66">
        <v>0.1</v>
      </c>
      <c r="S85" s="94">
        <f>+VLOOKUP(Q85,'PRECIO PROVEEDORES'!$A$2:$B$716,2,0)</f>
        <v>1092.5</v>
      </c>
      <c r="T85" s="12">
        <f t="shared" si="19"/>
        <v>109.25</v>
      </c>
    </row>
    <row r="86" spans="2:20" x14ac:dyDescent="0.2">
      <c r="B86" s="5" t="s">
        <v>340</v>
      </c>
      <c r="C86" s="7"/>
      <c r="D86" s="11"/>
      <c r="E86" s="12">
        <f>E85*1000/1500</f>
        <v>1685.0214999999996</v>
      </c>
      <c r="G86" s="64" t="s">
        <v>387</v>
      </c>
      <c r="H86" s="66"/>
      <c r="I86" s="94"/>
      <c r="J86" s="12">
        <f>SUM(J80:J84)</f>
        <v>1684.5510000000002</v>
      </c>
      <c r="L86" s="64"/>
      <c r="M86" s="66"/>
      <c r="N86" s="94"/>
      <c r="O86" s="12"/>
      <c r="Q86" s="64"/>
      <c r="R86" s="66"/>
      <c r="S86" s="94"/>
      <c r="T86" s="12"/>
    </row>
    <row r="87" spans="2:20" x14ac:dyDescent="0.2">
      <c r="B87" s="5"/>
      <c r="C87" s="7"/>
      <c r="D87" s="11"/>
      <c r="E87" s="12"/>
      <c r="G87" s="64" t="s">
        <v>343</v>
      </c>
      <c r="H87" s="66"/>
      <c r="I87" s="94"/>
      <c r="J87" s="12">
        <f>J86/10</f>
        <v>168.45510000000002</v>
      </c>
      <c r="L87" s="64"/>
      <c r="M87" s="66"/>
      <c r="N87" s="94"/>
      <c r="O87" s="12"/>
      <c r="Q87" s="64" t="s">
        <v>388</v>
      </c>
      <c r="R87" s="66"/>
      <c r="S87" s="94"/>
      <c r="T87" s="12">
        <f>SUM(T79:T85)</f>
        <v>3269.45</v>
      </c>
    </row>
    <row r="88" spans="2:20" x14ac:dyDescent="0.2">
      <c r="B88" s="19"/>
      <c r="C88" s="7"/>
      <c r="D88" s="11"/>
      <c r="E88" s="12"/>
      <c r="G88" s="71"/>
      <c r="H88" s="66"/>
      <c r="I88" s="69"/>
      <c r="J88" s="12"/>
      <c r="L88" s="71"/>
      <c r="M88" s="66"/>
      <c r="N88" s="69"/>
      <c r="O88" s="12"/>
      <c r="Q88" s="71" t="s">
        <v>340</v>
      </c>
      <c r="R88" s="66"/>
      <c r="S88" s="69"/>
      <c r="T88" s="12">
        <f>T87*1000/1100</f>
        <v>2972.2272727272725</v>
      </c>
    </row>
    <row r="89" spans="2:20" x14ac:dyDescent="0.2">
      <c r="B89" s="19"/>
      <c r="C89" s="7"/>
      <c r="D89" s="11"/>
      <c r="E89" s="12"/>
      <c r="G89" s="71"/>
      <c r="H89" s="66"/>
      <c r="I89" s="69"/>
      <c r="J89" s="12"/>
      <c r="L89" s="71"/>
      <c r="M89" s="66"/>
      <c r="N89" s="69"/>
      <c r="O89" s="12"/>
      <c r="Q89" s="71"/>
      <c r="R89" s="66"/>
      <c r="S89" s="69"/>
      <c r="T89" s="12"/>
    </row>
    <row r="90" spans="2:20" x14ac:dyDescent="0.2">
      <c r="B90" s="19"/>
      <c r="C90" s="7"/>
      <c r="D90" s="11"/>
      <c r="E90" s="12"/>
      <c r="G90" s="71"/>
      <c r="H90" s="66"/>
      <c r="I90" s="69"/>
      <c r="J90" s="12"/>
      <c r="L90" s="71"/>
      <c r="M90" s="66"/>
      <c r="N90" s="69"/>
      <c r="O90" s="12"/>
      <c r="Q90" s="71"/>
      <c r="R90" s="66"/>
      <c r="S90" s="69"/>
      <c r="T90" s="12"/>
    </row>
    <row r="91" spans="2:20" x14ac:dyDescent="0.2">
      <c r="B91" s="19"/>
      <c r="C91" s="7"/>
      <c r="D91" s="11"/>
      <c r="E91" s="12"/>
      <c r="G91" s="71"/>
      <c r="H91" s="66"/>
      <c r="I91" s="69"/>
      <c r="J91" s="12"/>
      <c r="L91" s="71"/>
      <c r="M91" s="66"/>
      <c r="N91" s="69"/>
      <c r="O91" s="12"/>
      <c r="Q91" s="71"/>
      <c r="R91" s="66"/>
      <c r="S91" s="69"/>
      <c r="T91" s="12"/>
    </row>
    <row r="92" spans="2:20" x14ac:dyDescent="0.2">
      <c r="B92" s="5"/>
      <c r="C92" s="7"/>
      <c r="D92" s="11"/>
      <c r="E92" s="12"/>
      <c r="G92" s="64"/>
      <c r="H92" s="66"/>
      <c r="I92" s="69"/>
      <c r="J92" s="12"/>
      <c r="L92" s="64"/>
      <c r="M92" s="66"/>
      <c r="N92" s="69"/>
      <c r="O92" s="12"/>
      <c r="Q92" s="64"/>
      <c r="R92" s="66"/>
      <c r="S92" s="69"/>
      <c r="T92" s="12"/>
    </row>
    <row r="93" spans="2:20" x14ac:dyDescent="0.2">
      <c r="B93" s="5"/>
      <c r="C93" s="7"/>
      <c r="D93" s="11"/>
      <c r="E93" s="12"/>
      <c r="G93" s="64"/>
      <c r="H93" s="66"/>
      <c r="I93" s="69"/>
      <c r="J93" s="12"/>
      <c r="L93" s="64"/>
      <c r="M93" s="66"/>
      <c r="N93" s="69"/>
      <c r="O93" s="12"/>
      <c r="Q93" s="64"/>
      <c r="R93" s="66"/>
      <c r="S93" s="69"/>
      <c r="T93" s="12"/>
    </row>
    <row r="94" spans="2:20" x14ac:dyDescent="0.2">
      <c r="B94" s="5"/>
      <c r="C94" s="7"/>
      <c r="D94" s="11"/>
      <c r="E94" s="12"/>
      <c r="G94" s="64"/>
      <c r="H94" s="66"/>
      <c r="I94" s="69"/>
      <c r="J94" s="12"/>
      <c r="L94" s="64"/>
      <c r="M94" s="66"/>
      <c r="N94" s="69"/>
      <c r="O94" s="12"/>
      <c r="Q94" s="64"/>
      <c r="R94" s="66"/>
      <c r="S94" s="69"/>
      <c r="T94" s="12"/>
    </row>
    <row r="97" spans="2:20" x14ac:dyDescent="0.2">
      <c r="B97" s="218" t="s">
        <v>65</v>
      </c>
      <c r="C97" s="213"/>
      <c r="D97" s="213"/>
      <c r="E97" s="214"/>
      <c r="G97" s="218" t="s">
        <v>389</v>
      </c>
      <c r="H97" s="213"/>
      <c r="I97" s="213"/>
      <c r="J97" s="214"/>
      <c r="L97" s="218" t="s">
        <v>390</v>
      </c>
      <c r="M97" s="213"/>
      <c r="N97" s="213"/>
      <c r="O97" s="214"/>
      <c r="Q97" s="218" t="s">
        <v>391</v>
      </c>
      <c r="R97" s="213"/>
      <c r="S97" s="213"/>
      <c r="T97" s="214"/>
    </row>
    <row r="98" spans="2:20" x14ac:dyDescent="0.2">
      <c r="B98" s="64"/>
      <c r="C98" s="65" t="s">
        <v>8</v>
      </c>
      <c r="D98" s="7" t="s">
        <v>9</v>
      </c>
      <c r="E98" s="8" t="s">
        <v>10</v>
      </c>
      <c r="G98" s="64"/>
      <c r="H98" s="65" t="s">
        <v>8</v>
      </c>
      <c r="I98" s="7" t="s">
        <v>9</v>
      </c>
      <c r="J98" s="8" t="s">
        <v>10</v>
      </c>
      <c r="L98" s="64"/>
      <c r="M98" s="65" t="s">
        <v>8</v>
      </c>
      <c r="N98" s="7" t="s">
        <v>9</v>
      </c>
      <c r="O98" s="8" t="s">
        <v>10</v>
      </c>
      <c r="Q98" s="64"/>
      <c r="R98" s="65" t="s">
        <v>8</v>
      </c>
      <c r="S98" s="7" t="s">
        <v>9</v>
      </c>
      <c r="T98" s="8" t="s">
        <v>10</v>
      </c>
    </row>
    <row r="99" spans="2:20" x14ac:dyDescent="0.2">
      <c r="B99" s="7" t="s">
        <v>326</v>
      </c>
      <c r="C99" s="36">
        <v>1</v>
      </c>
      <c r="D99" s="94">
        <f>+VLOOKUP(B99,'PRECIO PROVEEDORES'!$A$2:$B$716,2,0)</f>
        <v>4134</v>
      </c>
      <c r="E99" s="12">
        <f t="shared" ref="E99:E105" si="20">+C99*D99</f>
        <v>4134</v>
      </c>
      <c r="G99" s="109" t="s">
        <v>274</v>
      </c>
      <c r="H99" s="36">
        <v>0.25</v>
      </c>
      <c r="I99" s="94">
        <f>+VLOOKUP(G99,'PRECIO PROVEEDORES'!$A$2:$B$716,2,0)</f>
        <v>5987</v>
      </c>
      <c r="J99" s="12">
        <f t="shared" ref="J99:J100" si="21">+H99*I99</f>
        <v>1496.75</v>
      </c>
      <c r="L99" s="66" t="s">
        <v>392</v>
      </c>
      <c r="M99" s="66">
        <v>4</v>
      </c>
      <c r="N99" s="94">
        <f>+VLOOKUP(L99,'PRECIO PROVEEDORES'!$A$2:$B$716,2,0)</f>
        <v>7173</v>
      </c>
      <c r="O99" s="12">
        <f t="shared" ref="O99:O101" si="22">+M99*N99</f>
        <v>28692</v>
      </c>
      <c r="Q99" s="66" t="s">
        <v>43</v>
      </c>
      <c r="R99" s="66">
        <v>1</v>
      </c>
      <c r="S99" s="94">
        <f>+VLOOKUP(Q99,'PRECIO PROVEEDORES'!$A$2:$B$716,2,0)</f>
        <v>1092.5</v>
      </c>
      <c r="T99" s="12">
        <f t="shared" ref="T99:T102" si="23">+R99*S99</f>
        <v>1092.5</v>
      </c>
    </row>
    <row r="100" spans="2:20" x14ac:dyDescent="0.2">
      <c r="B100" s="7" t="s">
        <v>32</v>
      </c>
      <c r="C100" s="36">
        <v>0.4</v>
      </c>
      <c r="D100" s="94">
        <f>+VLOOKUP(B100,'PRECIO PROVEEDORES'!$A$2:$B$716,2,0)</f>
        <v>12206</v>
      </c>
      <c r="E100" s="12">
        <f t="shared" si="20"/>
        <v>4882.4000000000005</v>
      </c>
      <c r="G100" s="13" t="s">
        <v>115</v>
      </c>
      <c r="H100" s="116">
        <v>0.01</v>
      </c>
      <c r="I100" s="94">
        <f>+VLOOKUP(G100,'PRECIO PROVEEDORES'!$A$2:$B$716,2,0)</f>
        <v>4299.01</v>
      </c>
      <c r="J100" s="12">
        <f t="shared" si="21"/>
        <v>42.990100000000005</v>
      </c>
      <c r="L100" s="64" t="s">
        <v>210</v>
      </c>
      <c r="M100" s="66">
        <v>2</v>
      </c>
      <c r="N100" s="94">
        <f>+VLOOKUP(L100,'PRECIO PROVEEDORES'!$A$2:$B$716,2,0)</f>
        <v>1352</v>
      </c>
      <c r="O100" s="12">
        <f t="shared" si="22"/>
        <v>2704</v>
      </c>
      <c r="Q100" s="64" t="s">
        <v>32</v>
      </c>
      <c r="R100" s="66">
        <v>4.4999999999999998E-2</v>
      </c>
      <c r="S100" s="94">
        <f>+VLOOKUP(Q100,'PRECIO PROVEEDORES'!$A$2:$B$716,2,0)</f>
        <v>12206</v>
      </c>
      <c r="T100" s="12">
        <f t="shared" si="23"/>
        <v>549.27</v>
      </c>
    </row>
    <row r="101" spans="2:20" x14ac:dyDescent="0.2">
      <c r="B101" s="13" t="s">
        <v>17</v>
      </c>
      <c r="C101" s="36">
        <v>6</v>
      </c>
      <c r="D101" s="94">
        <f>+VLOOKUP(B101,'PRECIO PROVEEDORES'!$A$2:$B$716,2,0)</f>
        <v>192</v>
      </c>
      <c r="E101" s="12">
        <f t="shared" si="20"/>
        <v>1152</v>
      </c>
      <c r="G101" s="64"/>
      <c r="H101" s="66"/>
      <c r="I101" s="94"/>
      <c r="J101" s="111"/>
      <c r="L101" s="64" t="s">
        <v>393</v>
      </c>
      <c r="M101" s="66">
        <v>1.4999999999999999E-2</v>
      </c>
      <c r="N101" s="94">
        <f>+VLOOKUP(L101,'PRECIO PROVEEDORES'!$A$2:$B$716,2,0)</f>
        <v>64600</v>
      </c>
      <c r="O101" s="12">
        <f t="shared" si="22"/>
        <v>969</v>
      </c>
      <c r="Q101" s="64" t="s">
        <v>210</v>
      </c>
      <c r="R101" s="66">
        <v>0.03</v>
      </c>
      <c r="S101" s="94">
        <f>+VLOOKUP(Q101,'PRECIO PROVEEDORES'!$A$2:$B$716,2,0)</f>
        <v>1352</v>
      </c>
      <c r="T101" s="12">
        <f t="shared" si="23"/>
        <v>40.559999999999995</v>
      </c>
    </row>
    <row r="102" spans="2:20" x14ac:dyDescent="0.2">
      <c r="B102" s="13" t="s">
        <v>333</v>
      </c>
      <c r="C102" s="36">
        <v>0.25</v>
      </c>
      <c r="D102" s="94">
        <f>+VLOOKUP(B102,'PRECIO PROVEEDORES'!$A$2:$B$716,2,0)</f>
        <v>16000</v>
      </c>
      <c r="E102" s="12">
        <f t="shared" si="20"/>
        <v>4000</v>
      </c>
      <c r="G102" s="64" t="s">
        <v>394</v>
      </c>
      <c r="H102" s="66"/>
      <c r="I102" s="94"/>
      <c r="J102" s="117">
        <f>SUM(J99:J100)</f>
        <v>1539.7401</v>
      </c>
      <c r="L102" s="64" t="s">
        <v>395</v>
      </c>
      <c r="M102" s="66"/>
      <c r="N102" s="94"/>
      <c r="O102" s="12">
        <f>SUM(O99:O101)</f>
        <v>32365</v>
      </c>
      <c r="Q102" s="64" t="s">
        <v>49</v>
      </c>
      <c r="R102" s="66">
        <v>5.0000000000000001E-3</v>
      </c>
      <c r="S102" s="94">
        <f>+VLOOKUP(Q102,'PRECIO PROVEEDORES'!$A$2:$B$716,2,0)</f>
        <v>1633</v>
      </c>
      <c r="T102" s="12">
        <f t="shared" si="23"/>
        <v>8.1650000000000009</v>
      </c>
    </row>
    <row r="103" spans="2:20" x14ac:dyDescent="0.2">
      <c r="B103" s="38" t="s">
        <v>132</v>
      </c>
      <c r="C103" s="36">
        <v>0.25</v>
      </c>
      <c r="D103" s="94">
        <f>+VLOOKUP(B103,'PRECIO PROVEEDORES'!$A$2:$B$716,2,0)</f>
        <v>17376</v>
      </c>
      <c r="E103" s="12">
        <f t="shared" si="20"/>
        <v>4344</v>
      </c>
      <c r="G103" s="64" t="s">
        <v>340</v>
      </c>
      <c r="H103" s="66"/>
      <c r="I103" s="94"/>
      <c r="J103" s="118">
        <f>J102*4</f>
        <v>6158.9603999999999</v>
      </c>
      <c r="L103" s="64" t="s">
        <v>340</v>
      </c>
      <c r="M103" s="66"/>
      <c r="N103" s="94"/>
      <c r="O103" s="12">
        <f>O102/4</f>
        <v>8091.25</v>
      </c>
      <c r="Q103" s="64"/>
      <c r="R103" s="66"/>
      <c r="S103" s="94"/>
      <c r="T103" s="12"/>
    </row>
    <row r="104" spans="2:20" x14ac:dyDescent="0.2">
      <c r="B104" s="13" t="s">
        <v>28</v>
      </c>
      <c r="C104" s="36">
        <v>0.5</v>
      </c>
      <c r="D104" s="94">
        <f>+VLOOKUP(B104,'PRECIO PROVEEDORES'!$A$2:$B$716,2,0)</f>
        <v>10697</v>
      </c>
      <c r="E104" s="12">
        <f t="shared" si="20"/>
        <v>5348.5</v>
      </c>
      <c r="G104" s="64"/>
      <c r="H104" s="66"/>
      <c r="I104" s="94"/>
      <c r="J104" s="111"/>
      <c r="L104" s="64"/>
      <c r="M104" s="66"/>
      <c r="N104" s="94"/>
      <c r="O104" s="12"/>
      <c r="Q104" s="64" t="s">
        <v>396</v>
      </c>
      <c r="R104" s="66"/>
      <c r="S104" s="94"/>
      <c r="T104" s="12">
        <f>SUM(T98:T102)</f>
        <v>1690.4949999999999</v>
      </c>
    </row>
    <row r="105" spans="2:20" x14ac:dyDescent="0.2">
      <c r="B105" s="13" t="s">
        <v>49</v>
      </c>
      <c r="C105" s="36">
        <v>0.01</v>
      </c>
      <c r="D105" s="94">
        <f>+VLOOKUP(B105,'PRECIO PROVEEDORES'!$A$2:$B$716,2,0)</f>
        <v>1633</v>
      </c>
      <c r="E105" s="12">
        <f t="shared" si="20"/>
        <v>16.330000000000002</v>
      </c>
      <c r="G105" s="64"/>
      <c r="H105" s="66"/>
      <c r="I105" s="94"/>
      <c r="J105" s="12"/>
      <c r="L105" s="64"/>
      <c r="M105" s="66"/>
      <c r="N105" s="94"/>
      <c r="O105" s="12"/>
      <c r="Q105" s="64"/>
      <c r="R105" s="66"/>
      <c r="S105" s="94"/>
      <c r="T105" s="12"/>
    </row>
    <row r="106" spans="2:20" x14ac:dyDescent="0.2">
      <c r="B106" s="64"/>
      <c r="C106" s="66"/>
      <c r="D106" s="94"/>
      <c r="E106" s="12"/>
      <c r="G106" s="64"/>
      <c r="H106" s="66"/>
      <c r="I106" s="94"/>
      <c r="J106" s="12"/>
      <c r="L106" s="64"/>
      <c r="M106" s="66"/>
      <c r="N106" s="94"/>
      <c r="O106" s="12"/>
      <c r="Q106" s="64"/>
      <c r="R106" s="66"/>
      <c r="S106" s="94"/>
      <c r="T106" s="12"/>
    </row>
    <row r="107" spans="2:20" x14ac:dyDescent="0.2">
      <c r="B107" s="71" t="s">
        <v>397</v>
      </c>
      <c r="C107" s="66"/>
      <c r="D107" s="69"/>
      <c r="E107" s="12">
        <f>SUM(E99:E105)</f>
        <v>23877.230000000003</v>
      </c>
      <c r="G107" s="71"/>
      <c r="H107" s="66"/>
      <c r="I107" s="69"/>
      <c r="J107" s="12"/>
      <c r="L107" s="71"/>
      <c r="M107" s="66"/>
      <c r="N107" s="69"/>
      <c r="O107" s="12"/>
      <c r="Q107" s="71"/>
      <c r="R107" s="66"/>
      <c r="S107" s="69"/>
      <c r="T107" s="12"/>
    </row>
    <row r="108" spans="2:20" x14ac:dyDescent="0.2">
      <c r="B108" s="71" t="s">
        <v>343</v>
      </c>
      <c r="C108" s="66"/>
      <c r="D108" s="69"/>
      <c r="E108" s="12">
        <f>E107/30</f>
        <v>795.90766666666673</v>
      </c>
      <c r="G108" s="71"/>
      <c r="H108" s="66"/>
      <c r="I108" s="69"/>
      <c r="J108" s="12"/>
      <c r="L108" s="71"/>
      <c r="M108" s="66"/>
      <c r="N108" s="69"/>
      <c r="O108" s="12"/>
      <c r="Q108" s="71"/>
      <c r="R108" s="66"/>
      <c r="S108" s="69"/>
      <c r="T108" s="12"/>
    </row>
    <row r="109" spans="2:20" x14ac:dyDescent="0.2">
      <c r="B109" s="71" t="s">
        <v>340</v>
      </c>
      <c r="C109" s="66"/>
      <c r="D109" s="69"/>
      <c r="E109" s="12">
        <f>E107*1000/2700</f>
        <v>8843.4185185185197</v>
      </c>
      <c r="G109" s="71"/>
      <c r="H109" s="66"/>
      <c r="I109" s="69"/>
      <c r="J109" s="12"/>
      <c r="L109" s="71"/>
      <c r="M109" s="66"/>
      <c r="N109" s="69"/>
      <c r="O109" s="12"/>
      <c r="Q109" s="71"/>
      <c r="R109" s="66"/>
      <c r="S109" s="69"/>
      <c r="T109" s="12"/>
    </row>
    <row r="110" spans="2:20" x14ac:dyDescent="0.2">
      <c r="B110" s="71" t="s">
        <v>398</v>
      </c>
      <c r="C110" s="66"/>
      <c r="D110" s="69"/>
      <c r="E110" s="12"/>
      <c r="G110" s="71"/>
      <c r="H110" s="66"/>
      <c r="I110" s="69"/>
      <c r="J110" s="12"/>
      <c r="L110" s="71"/>
      <c r="M110" s="66"/>
      <c r="N110" s="69"/>
      <c r="O110" s="12"/>
      <c r="Q110" s="71"/>
      <c r="R110" s="66"/>
      <c r="S110" s="69"/>
      <c r="T110" s="12"/>
    </row>
    <row r="111" spans="2:20" x14ac:dyDescent="0.2">
      <c r="B111" s="64"/>
      <c r="C111" s="66"/>
      <c r="D111" s="69"/>
      <c r="E111" s="12"/>
      <c r="G111" s="64"/>
      <c r="H111" s="66"/>
      <c r="I111" s="69"/>
      <c r="J111" s="12"/>
      <c r="L111" s="64"/>
      <c r="M111" s="66"/>
      <c r="N111" s="69"/>
      <c r="O111" s="12"/>
      <c r="Q111" s="64"/>
      <c r="R111" s="66"/>
      <c r="S111" s="69"/>
      <c r="T111" s="12"/>
    </row>
    <row r="112" spans="2:20" x14ac:dyDescent="0.2">
      <c r="B112" s="64"/>
      <c r="C112" s="66"/>
      <c r="D112" s="69"/>
      <c r="E112" s="12"/>
      <c r="G112" s="64"/>
      <c r="H112" s="66"/>
      <c r="I112" s="69"/>
      <c r="J112" s="12"/>
      <c r="L112" s="64"/>
      <c r="M112" s="66"/>
      <c r="N112" s="69"/>
      <c r="O112" s="12"/>
      <c r="Q112" s="64"/>
      <c r="R112" s="66"/>
      <c r="S112" s="69"/>
      <c r="T112" s="12"/>
    </row>
    <row r="113" spans="2:20" x14ac:dyDescent="0.2">
      <c r="B113" s="64"/>
      <c r="C113" s="66"/>
      <c r="D113" s="69"/>
      <c r="E113" s="12"/>
      <c r="G113" s="64"/>
      <c r="H113" s="66"/>
      <c r="I113" s="69"/>
      <c r="J113" s="12"/>
      <c r="L113" s="64"/>
      <c r="M113" s="66"/>
      <c r="N113" s="69"/>
      <c r="O113" s="12"/>
      <c r="Q113" s="64"/>
      <c r="R113" s="66"/>
      <c r="S113" s="69"/>
      <c r="T113" s="12"/>
    </row>
    <row r="116" spans="2:20" x14ac:dyDescent="0.2">
      <c r="B116" s="218" t="s">
        <v>399</v>
      </c>
      <c r="C116" s="213"/>
      <c r="D116" s="213"/>
      <c r="E116" s="214"/>
      <c r="G116" s="218" t="s">
        <v>400</v>
      </c>
      <c r="H116" s="213"/>
      <c r="I116" s="213"/>
      <c r="J116" s="214"/>
      <c r="L116" s="218" t="s">
        <v>401</v>
      </c>
      <c r="M116" s="213"/>
      <c r="N116" s="213"/>
      <c r="O116" s="214"/>
      <c r="Q116" s="218" t="s">
        <v>402</v>
      </c>
      <c r="R116" s="213"/>
      <c r="S116" s="213"/>
      <c r="T116" s="214"/>
    </row>
    <row r="117" spans="2:20" x14ac:dyDescent="0.2">
      <c r="B117" s="64"/>
      <c r="C117" s="65" t="s">
        <v>8</v>
      </c>
      <c r="D117" s="7" t="s">
        <v>9</v>
      </c>
      <c r="E117" s="8" t="s">
        <v>10</v>
      </c>
      <c r="G117" s="64"/>
      <c r="H117" s="65" t="s">
        <v>8</v>
      </c>
      <c r="I117" s="7" t="s">
        <v>9</v>
      </c>
      <c r="J117" s="8" t="s">
        <v>10</v>
      </c>
      <c r="L117" s="64"/>
      <c r="M117" s="65" t="s">
        <v>8</v>
      </c>
      <c r="N117" s="7" t="s">
        <v>9</v>
      </c>
      <c r="O117" s="8" t="s">
        <v>10</v>
      </c>
      <c r="Q117" s="64"/>
      <c r="R117" s="65" t="s">
        <v>8</v>
      </c>
      <c r="S117" s="7" t="s">
        <v>9</v>
      </c>
      <c r="T117" s="8" t="s">
        <v>10</v>
      </c>
    </row>
    <row r="118" spans="2:20" x14ac:dyDescent="0.2">
      <c r="B118" s="13" t="s">
        <v>247</v>
      </c>
      <c r="C118" s="36">
        <v>0.3</v>
      </c>
      <c r="D118" s="94">
        <f>+VLOOKUP(B118,'PRECIO PROVEEDORES'!$A$2:$B$716,2,0)</f>
        <v>12000</v>
      </c>
      <c r="E118" s="12">
        <f t="shared" ref="E118:E127" si="24">+C118*D118</f>
        <v>3600</v>
      </c>
      <c r="G118" s="13" t="s">
        <v>237</v>
      </c>
      <c r="H118" s="36">
        <v>1.1200000000000001</v>
      </c>
      <c r="I118" s="94">
        <f>+VLOOKUP(G118,'PRECIO PROVEEDORES'!$A$2:$B$716,2,0)</f>
        <v>1043.22</v>
      </c>
      <c r="J118" s="12">
        <f t="shared" ref="J118:J125" si="25">+H118*I118</f>
        <v>1168.4064000000001</v>
      </c>
      <c r="L118" s="7" t="s">
        <v>209</v>
      </c>
      <c r="M118" s="36">
        <v>1</v>
      </c>
      <c r="N118" s="94">
        <f>+VLOOKUP(L118,'PRECIO PROVEEDORES'!$A$2:$B$716,2,0)</f>
        <v>12874.4</v>
      </c>
      <c r="O118" s="12">
        <f t="shared" ref="O118:O120" si="26">+M118*N118</f>
        <v>12874.4</v>
      </c>
      <c r="Q118" s="66" t="s">
        <v>403</v>
      </c>
      <c r="R118" s="66">
        <v>2.5000000000000001E-2</v>
      </c>
      <c r="S118" s="94">
        <f>+VLOOKUP(Q118,'PRECIO PROVEEDORES'!$A$2:$B$716,2,0)</f>
        <v>90016</v>
      </c>
      <c r="T118" s="12">
        <f t="shared" ref="T118:T119" si="27">+R118*S118</f>
        <v>2250.4</v>
      </c>
    </row>
    <row r="119" spans="2:20" x14ac:dyDescent="0.2">
      <c r="B119" s="13" t="s">
        <v>210</v>
      </c>
      <c r="C119" s="36">
        <v>0.3</v>
      </c>
      <c r="D119" s="94">
        <f>+VLOOKUP(B119,'PRECIO PROVEEDORES'!$A$2:$B$716,2,0)</f>
        <v>1352</v>
      </c>
      <c r="E119" s="12">
        <f t="shared" si="24"/>
        <v>405.59999999999997</v>
      </c>
      <c r="G119" s="13" t="s">
        <v>210</v>
      </c>
      <c r="H119" s="36">
        <v>0.68</v>
      </c>
      <c r="I119" s="94">
        <f>+VLOOKUP(G119,'PRECIO PROVEEDORES'!$A$2:$B$716,2,0)</f>
        <v>1352</v>
      </c>
      <c r="J119" s="12">
        <f t="shared" si="25"/>
        <v>919.36</v>
      </c>
      <c r="L119" s="13" t="s">
        <v>210</v>
      </c>
      <c r="M119" s="36">
        <v>0.8</v>
      </c>
      <c r="N119" s="94">
        <f>+VLOOKUP(L119,'PRECIO PROVEEDORES'!$A$2:$B$716,2,0)</f>
        <v>1352</v>
      </c>
      <c r="O119" s="12">
        <f t="shared" si="26"/>
        <v>1081.6000000000001</v>
      </c>
      <c r="Q119" s="64" t="s">
        <v>367</v>
      </c>
      <c r="R119" s="66">
        <v>1</v>
      </c>
      <c r="S119" s="94">
        <f>+VLOOKUP(Q119,'PRECIO PROVEEDORES'!$A$2:$B$716,2,0)</f>
        <v>0</v>
      </c>
      <c r="T119" s="12">
        <f t="shared" si="27"/>
        <v>0</v>
      </c>
    </row>
    <row r="120" spans="2:20" x14ac:dyDescent="0.2">
      <c r="B120" s="13" t="s">
        <v>242</v>
      </c>
      <c r="C120" s="36">
        <v>5.5E-2</v>
      </c>
      <c r="D120" s="94">
        <f>+VLOOKUP(B120,'PRECIO PROVEEDORES'!$A$2:$B$716,2,0)</f>
        <v>6062</v>
      </c>
      <c r="E120" s="12">
        <f t="shared" si="24"/>
        <v>333.41</v>
      </c>
      <c r="G120" s="13" t="s">
        <v>245</v>
      </c>
      <c r="H120" s="36">
        <v>0.02</v>
      </c>
      <c r="I120" s="94">
        <f>+VLOOKUP(G120,'PRECIO PROVEEDORES'!$A$2:$B$716,2,0)</f>
        <v>2517</v>
      </c>
      <c r="J120" s="12">
        <f t="shared" si="25"/>
        <v>50.34</v>
      </c>
      <c r="L120" s="13" t="s">
        <v>393</v>
      </c>
      <c r="M120" s="36">
        <v>1.2E-2</v>
      </c>
      <c r="N120" s="94">
        <f>+VLOOKUP(L120,'PRECIO PROVEEDORES'!$A$2:$B$716,2,0)</f>
        <v>64600</v>
      </c>
      <c r="O120" s="12">
        <f t="shared" si="26"/>
        <v>775.2</v>
      </c>
      <c r="Q120" s="64"/>
      <c r="R120" s="66"/>
      <c r="S120" s="94"/>
      <c r="T120" s="12"/>
    </row>
    <row r="121" spans="2:20" x14ac:dyDescent="0.2">
      <c r="B121" s="13" t="s">
        <v>17</v>
      </c>
      <c r="C121" s="36">
        <v>2</v>
      </c>
      <c r="D121" s="94">
        <f>+VLOOKUP(B121,'PRECIO PROVEEDORES'!$A$2:$B$716,2,0)</f>
        <v>192</v>
      </c>
      <c r="E121" s="12">
        <f t="shared" si="24"/>
        <v>384</v>
      </c>
      <c r="G121" s="13" t="s">
        <v>255</v>
      </c>
      <c r="H121" s="36">
        <v>0.01</v>
      </c>
      <c r="I121" s="94">
        <f>+VLOOKUP(G121,'PRECIO PROVEEDORES'!$A$2:$B$716,2,0)</f>
        <v>10061.64</v>
      </c>
      <c r="J121" s="12">
        <f t="shared" si="25"/>
        <v>100.6164</v>
      </c>
      <c r="L121" s="64"/>
      <c r="M121" s="66"/>
      <c r="N121" s="94"/>
      <c r="O121" s="12"/>
      <c r="Q121" s="64" t="s">
        <v>404</v>
      </c>
      <c r="R121" s="66"/>
      <c r="S121" s="94"/>
      <c r="T121" s="12">
        <f>T118</f>
        <v>2250.4</v>
      </c>
    </row>
    <row r="122" spans="2:20" x14ac:dyDescent="0.2">
      <c r="B122" s="13" t="s">
        <v>237</v>
      </c>
      <c r="C122" s="36">
        <v>0.48</v>
      </c>
      <c r="D122" s="94">
        <f>+VLOOKUP(B122,'PRECIO PROVEEDORES'!$A$2:$B$716,2,0)</f>
        <v>1043.22</v>
      </c>
      <c r="E122" s="12">
        <f t="shared" si="24"/>
        <v>500.74559999999997</v>
      </c>
      <c r="G122" s="13" t="s">
        <v>49</v>
      </c>
      <c r="H122" s="36">
        <v>0.01</v>
      </c>
      <c r="I122" s="94">
        <f>+VLOOKUP(G122,'PRECIO PROVEEDORES'!$A$2:$B$716,2,0)</f>
        <v>1633</v>
      </c>
      <c r="J122" s="12">
        <f t="shared" si="25"/>
        <v>16.330000000000002</v>
      </c>
      <c r="L122" s="64" t="s">
        <v>405</v>
      </c>
      <c r="M122" s="66"/>
      <c r="N122" s="94"/>
      <c r="O122" s="12">
        <f>SUM(O118:O120)</f>
        <v>14731.2</v>
      </c>
      <c r="Q122" s="64"/>
      <c r="R122" s="66"/>
      <c r="S122" s="94"/>
      <c r="T122" s="12"/>
    </row>
    <row r="123" spans="2:20" x14ac:dyDescent="0.2">
      <c r="B123" s="13" t="s">
        <v>273</v>
      </c>
      <c r="C123" s="36">
        <v>0.13500000000000001</v>
      </c>
      <c r="D123" s="94">
        <f>+VLOOKUP(B123,'PRECIO PROVEEDORES'!$A$2:$B$716,2,0)</f>
        <v>2191</v>
      </c>
      <c r="E123" s="12">
        <f t="shared" si="24"/>
        <v>295.78500000000003</v>
      </c>
      <c r="G123" s="13" t="s">
        <v>247</v>
      </c>
      <c r="H123" s="36">
        <v>0.4</v>
      </c>
      <c r="I123" s="94">
        <f>+VLOOKUP(G123,'PRECIO PROVEEDORES'!$A$2:$B$716,2,0)</f>
        <v>12000</v>
      </c>
      <c r="J123" s="12">
        <f t="shared" si="25"/>
        <v>4800</v>
      </c>
      <c r="L123" s="64" t="s">
        <v>340</v>
      </c>
      <c r="M123" s="66"/>
      <c r="N123" s="94"/>
      <c r="O123" s="12">
        <f>O122*1000/1800</f>
        <v>8184</v>
      </c>
      <c r="Q123" s="64"/>
      <c r="R123" s="66"/>
      <c r="S123" s="94"/>
      <c r="T123" s="12"/>
    </row>
    <row r="124" spans="2:20" x14ac:dyDescent="0.2">
      <c r="B124" s="13" t="s">
        <v>259</v>
      </c>
      <c r="C124" s="36">
        <v>0.15</v>
      </c>
      <c r="D124" s="94">
        <f>+VLOOKUP(B124,'PRECIO PROVEEDORES'!$A$2:$B$716,2,0)</f>
        <v>25872</v>
      </c>
      <c r="E124" s="12">
        <f t="shared" si="24"/>
        <v>3880.7999999999997</v>
      </c>
      <c r="G124" s="13" t="s">
        <v>166</v>
      </c>
      <c r="H124" s="36">
        <v>0.24</v>
      </c>
      <c r="I124" s="94">
        <f>+VLOOKUP(G124,'PRECIO PROVEEDORES'!$A$2:$B$716,2,0)</f>
        <v>1940</v>
      </c>
      <c r="J124" s="12">
        <f t="shared" si="25"/>
        <v>465.59999999999997</v>
      </c>
      <c r="L124" s="64"/>
      <c r="M124" s="66"/>
      <c r="N124" s="94"/>
      <c r="O124" s="12"/>
      <c r="Q124" s="64"/>
      <c r="R124" s="66"/>
      <c r="S124" s="94"/>
      <c r="T124" s="12"/>
    </row>
    <row r="125" spans="2:20" x14ac:dyDescent="0.2">
      <c r="B125" s="13" t="s">
        <v>245</v>
      </c>
      <c r="C125" s="36">
        <v>5.0000000000000001E-3</v>
      </c>
      <c r="D125" s="94">
        <f>+VLOOKUP(B125,'PRECIO PROVEEDORES'!$A$2:$B$716,2,0)</f>
        <v>2517</v>
      </c>
      <c r="E125" s="12">
        <f t="shared" si="24"/>
        <v>12.585000000000001</v>
      </c>
      <c r="G125" s="13" t="s">
        <v>242</v>
      </c>
      <c r="H125" s="36">
        <v>0.1</v>
      </c>
      <c r="I125" s="94">
        <f>+VLOOKUP(G125,'PRECIO PROVEEDORES'!$A$2:$B$716,2,0)</f>
        <v>6062</v>
      </c>
      <c r="J125" s="12">
        <f t="shared" si="25"/>
        <v>606.20000000000005</v>
      </c>
      <c r="L125" s="64"/>
      <c r="M125" s="66"/>
      <c r="N125" s="94"/>
      <c r="O125" s="12"/>
      <c r="Q125" s="64"/>
      <c r="R125" s="66"/>
      <c r="S125" s="94"/>
      <c r="T125" s="12"/>
    </row>
    <row r="126" spans="2:20" x14ac:dyDescent="0.2">
      <c r="B126" s="7" t="s">
        <v>246</v>
      </c>
      <c r="C126" s="36">
        <v>7.0000000000000001E-3</v>
      </c>
      <c r="D126" s="94">
        <f>+VLOOKUP(B126,'PRECIO PROVEEDORES'!$A$2:$B$716,2,0)</f>
        <v>6040</v>
      </c>
      <c r="E126" s="12">
        <f t="shared" si="24"/>
        <v>42.28</v>
      </c>
      <c r="G126" s="71"/>
      <c r="H126" s="66"/>
      <c r="I126" s="69"/>
      <c r="J126" s="12"/>
      <c r="L126" s="71"/>
      <c r="M126" s="66"/>
      <c r="N126" s="69"/>
      <c r="O126" s="12"/>
      <c r="Q126" s="71"/>
      <c r="R126" s="66"/>
      <c r="S126" s="69"/>
      <c r="T126" s="12"/>
    </row>
    <row r="127" spans="2:20" x14ac:dyDescent="0.2">
      <c r="B127" s="13" t="s">
        <v>49</v>
      </c>
      <c r="C127" s="36">
        <v>2E-3</v>
      </c>
      <c r="D127" s="94">
        <f>+VLOOKUP(B127,'PRECIO PROVEEDORES'!$A$2:$B$716,2,0)</f>
        <v>1633</v>
      </c>
      <c r="E127" s="12">
        <f t="shared" si="24"/>
        <v>3.266</v>
      </c>
      <c r="G127" s="71" t="s">
        <v>406</v>
      </c>
      <c r="H127" s="66"/>
      <c r="I127" s="69"/>
      <c r="J127" s="12">
        <f>SUM(J118:J125)</f>
        <v>8126.8527999999997</v>
      </c>
      <c r="L127" s="71"/>
      <c r="M127" s="66"/>
      <c r="N127" s="69"/>
      <c r="O127" s="12"/>
      <c r="Q127" s="71"/>
      <c r="R127" s="66"/>
      <c r="S127" s="69"/>
      <c r="T127" s="12"/>
    </row>
    <row r="128" spans="2:20" x14ac:dyDescent="0.2">
      <c r="B128" s="71"/>
      <c r="C128" s="66"/>
      <c r="D128" s="69"/>
      <c r="E128" s="12"/>
      <c r="G128" s="71" t="s">
        <v>340</v>
      </c>
      <c r="H128" s="66"/>
      <c r="I128" s="69"/>
      <c r="J128" s="12">
        <f>J127/2</f>
        <v>4063.4263999999998</v>
      </c>
      <c r="L128" s="71"/>
      <c r="M128" s="66"/>
      <c r="N128" s="69"/>
      <c r="O128" s="12"/>
      <c r="Q128" s="71"/>
      <c r="R128" s="66"/>
      <c r="S128" s="69"/>
      <c r="T128" s="12"/>
    </row>
    <row r="129" spans="2:20" x14ac:dyDescent="0.2">
      <c r="B129" s="71" t="s">
        <v>407</v>
      </c>
      <c r="C129" s="66"/>
      <c r="D129" s="69"/>
      <c r="E129" s="12">
        <f>SUM(E118:E127)</f>
        <v>9458.4715999999989</v>
      </c>
      <c r="G129" s="71"/>
      <c r="H129" s="66"/>
      <c r="I129" s="69"/>
      <c r="J129" s="12"/>
      <c r="L129" s="71"/>
      <c r="M129" s="66"/>
      <c r="N129" s="69"/>
      <c r="O129" s="12"/>
      <c r="Q129" s="71"/>
      <c r="R129" s="66"/>
      <c r="S129" s="69"/>
      <c r="T129" s="12"/>
    </row>
    <row r="130" spans="2:20" x14ac:dyDescent="0.2">
      <c r="B130" s="64" t="s">
        <v>408</v>
      </c>
      <c r="C130" s="66"/>
      <c r="D130" s="69"/>
      <c r="E130" s="12">
        <f>E129/38</f>
        <v>248.90714736842102</v>
      </c>
      <c r="G130" s="64"/>
      <c r="H130" s="66"/>
      <c r="I130" s="69"/>
      <c r="J130" s="12"/>
      <c r="L130" s="64"/>
      <c r="M130" s="66"/>
      <c r="N130" s="69"/>
      <c r="O130" s="12"/>
      <c r="Q130" s="64"/>
      <c r="R130" s="66"/>
      <c r="S130" s="69"/>
      <c r="T130" s="12"/>
    </row>
    <row r="131" spans="2:20" x14ac:dyDescent="0.2">
      <c r="B131" s="64"/>
      <c r="C131" s="66"/>
      <c r="D131" s="69"/>
      <c r="E131" s="12"/>
      <c r="G131" s="64"/>
      <c r="H131" s="66"/>
      <c r="I131" s="69"/>
      <c r="J131" s="12"/>
      <c r="L131" s="64"/>
      <c r="M131" s="66"/>
      <c r="N131" s="69"/>
      <c r="O131" s="12"/>
      <c r="Q131" s="64"/>
      <c r="R131" s="66"/>
      <c r="S131" s="69"/>
      <c r="T131" s="12"/>
    </row>
    <row r="132" spans="2:20" x14ac:dyDescent="0.2">
      <c r="B132" s="64"/>
      <c r="C132" s="66"/>
      <c r="D132" s="69"/>
      <c r="E132" s="12"/>
      <c r="G132" s="64"/>
      <c r="H132" s="66"/>
      <c r="I132" s="69"/>
      <c r="J132" s="12"/>
      <c r="L132" s="64"/>
      <c r="M132" s="66"/>
      <c r="N132" s="69"/>
      <c r="O132" s="12"/>
      <c r="Q132" s="64"/>
      <c r="R132" s="66"/>
      <c r="S132" s="69"/>
      <c r="T132" s="12"/>
    </row>
    <row r="135" spans="2:20" x14ac:dyDescent="0.2">
      <c r="B135" s="218" t="s">
        <v>409</v>
      </c>
      <c r="C135" s="213"/>
      <c r="D135" s="213"/>
      <c r="E135" s="214"/>
      <c r="G135" s="218" t="s">
        <v>410</v>
      </c>
      <c r="H135" s="213"/>
      <c r="I135" s="213"/>
      <c r="J135" s="214"/>
      <c r="L135" s="218" t="s">
        <v>411</v>
      </c>
      <c r="M135" s="213"/>
      <c r="N135" s="213"/>
      <c r="O135" s="214"/>
      <c r="Q135" s="218" t="s">
        <v>412</v>
      </c>
      <c r="R135" s="213"/>
      <c r="S135" s="213"/>
      <c r="T135" s="214"/>
    </row>
    <row r="136" spans="2:20" x14ac:dyDescent="0.2">
      <c r="B136" s="64"/>
      <c r="C136" s="65" t="s">
        <v>8</v>
      </c>
      <c r="D136" s="7" t="s">
        <v>9</v>
      </c>
      <c r="E136" s="8" t="s">
        <v>10</v>
      </c>
      <c r="G136" s="64"/>
      <c r="H136" s="65" t="s">
        <v>8</v>
      </c>
      <c r="I136" s="7" t="s">
        <v>9</v>
      </c>
      <c r="J136" s="8" t="s">
        <v>10</v>
      </c>
      <c r="L136" s="64"/>
      <c r="M136" s="65" t="s">
        <v>8</v>
      </c>
      <c r="N136" s="7" t="s">
        <v>9</v>
      </c>
      <c r="O136" s="8" t="s">
        <v>10</v>
      </c>
      <c r="Q136" s="64"/>
      <c r="R136" s="65" t="s">
        <v>8</v>
      </c>
      <c r="S136" s="7" t="s">
        <v>9</v>
      </c>
      <c r="T136" s="8" t="s">
        <v>10</v>
      </c>
    </row>
    <row r="137" spans="2:20" x14ac:dyDescent="0.2">
      <c r="B137" s="13" t="s">
        <v>220</v>
      </c>
      <c r="C137" s="66">
        <v>4</v>
      </c>
      <c r="D137" s="94">
        <f>+VLOOKUP(B137,'PRECIO PROVEEDORES'!$A$2:$B$716,2,0)</f>
        <v>3000</v>
      </c>
      <c r="E137" s="12">
        <f t="shared" ref="E137:E138" si="28">+C137*D137</f>
        <v>12000</v>
      </c>
      <c r="G137" s="66" t="s">
        <v>413</v>
      </c>
      <c r="H137" s="66">
        <v>2.5000000000000001E-2</v>
      </c>
      <c r="I137" s="94">
        <f>+VLOOKUP(G137,'PRECIO PROVEEDORES'!$A$2:$B$716,2,0)</f>
        <v>25360</v>
      </c>
      <c r="J137" s="12">
        <f t="shared" ref="J137:J138" si="29">+H137*I137</f>
        <v>634</v>
      </c>
      <c r="L137" s="66" t="s">
        <v>414</v>
      </c>
      <c r="M137" s="66">
        <v>0.45</v>
      </c>
      <c r="N137" s="94">
        <f>+VLOOKUP(L137,'PRECIO PROVEEDORES'!$A$2:$B$716,2,0)</f>
        <v>8000</v>
      </c>
      <c r="O137" s="12">
        <f t="shared" ref="O137:O138" si="30">+M137*N137</f>
        <v>3600</v>
      </c>
      <c r="Q137" s="66" t="s">
        <v>239</v>
      </c>
      <c r="R137" s="66">
        <v>0.5</v>
      </c>
      <c r="S137" s="94">
        <f>+VLOOKUP(Q137,'PRECIO PROVEEDORES'!$A$2:$B$716,2,0)</f>
        <v>890</v>
      </c>
      <c r="T137" s="12">
        <f t="shared" ref="T137:T143" si="31">+R137*S137</f>
        <v>445</v>
      </c>
    </row>
    <row r="138" spans="2:20" x14ac:dyDescent="0.2">
      <c r="B138" s="13" t="s">
        <v>210</v>
      </c>
      <c r="C138" s="66">
        <v>0.5</v>
      </c>
      <c r="D138" s="94">
        <f>+VLOOKUP(B138,'PRECIO PROVEEDORES'!$A$2:$B$716,2,0)</f>
        <v>1352</v>
      </c>
      <c r="E138" s="12">
        <f t="shared" si="28"/>
        <v>676</v>
      </c>
      <c r="G138" s="64" t="s">
        <v>367</v>
      </c>
      <c r="H138" s="66">
        <v>1</v>
      </c>
      <c r="I138" s="94">
        <f>+VLOOKUP(G138,'PRECIO PROVEEDORES'!$A$2:$B$716,2,0)</f>
        <v>0</v>
      </c>
      <c r="J138" s="12">
        <f t="shared" si="29"/>
        <v>0</v>
      </c>
      <c r="L138" s="64" t="s">
        <v>367</v>
      </c>
      <c r="M138" s="66">
        <v>1</v>
      </c>
      <c r="N138" s="94">
        <f>+VLOOKUP(L138,'PRECIO PROVEEDORES'!$A$2:$B$716,2,0)</f>
        <v>0</v>
      </c>
      <c r="O138" s="12">
        <f t="shared" si="30"/>
        <v>0</v>
      </c>
      <c r="Q138" s="64" t="s">
        <v>166</v>
      </c>
      <c r="R138" s="66">
        <v>0.28000000000000003</v>
      </c>
      <c r="S138" s="94">
        <f>+VLOOKUP(Q138,'PRECIO PROVEEDORES'!$A$2:$B$716,2,0)</f>
        <v>1940</v>
      </c>
      <c r="T138" s="12">
        <f t="shared" si="31"/>
        <v>543.20000000000005</v>
      </c>
    </row>
    <row r="139" spans="2:20" x14ac:dyDescent="0.2">
      <c r="B139" s="64"/>
      <c r="C139" s="66"/>
      <c r="D139" s="94"/>
      <c r="E139" s="12"/>
      <c r="G139" s="64" t="s">
        <v>404</v>
      </c>
      <c r="H139" s="66"/>
      <c r="I139" s="94"/>
      <c r="J139" s="12">
        <f>J137</f>
        <v>634</v>
      </c>
      <c r="L139" s="64"/>
      <c r="M139" s="66"/>
      <c r="N139" s="94"/>
      <c r="O139" s="12"/>
      <c r="Q139" s="64" t="s">
        <v>243</v>
      </c>
      <c r="R139" s="66">
        <v>8.0000000000000002E-3</v>
      </c>
      <c r="S139" s="94">
        <f>+VLOOKUP(Q139,'PRECIO PROVEEDORES'!$A$2:$B$716,2,0)</f>
        <v>17780</v>
      </c>
      <c r="T139" s="12">
        <f t="shared" si="31"/>
        <v>142.24</v>
      </c>
    </row>
    <row r="140" spans="2:20" x14ac:dyDescent="0.2">
      <c r="B140" s="64" t="s">
        <v>404</v>
      </c>
      <c r="C140" s="66"/>
      <c r="D140" s="94"/>
      <c r="E140" s="12">
        <f>SUM(E136:E138)</f>
        <v>12676</v>
      </c>
      <c r="G140" s="64"/>
      <c r="H140" s="66"/>
      <c r="I140" s="94"/>
      <c r="J140" s="12"/>
      <c r="L140" s="64" t="s">
        <v>404</v>
      </c>
      <c r="M140" s="66"/>
      <c r="N140" s="94"/>
      <c r="O140" s="12">
        <f>O137</f>
        <v>3600</v>
      </c>
      <c r="Q140" s="64" t="s">
        <v>17</v>
      </c>
      <c r="R140" s="66">
        <v>1</v>
      </c>
      <c r="S140" s="94">
        <f>+VLOOKUP(Q140,'PRECIO PROVEEDORES'!$A$2:$B$716,2,0)</f>
        <v>192</v>
      </c>
      <c r="T140" s="12">
        <f t="shared" si="31"/>
        <v>192</v>
      </c>
    </row>
    <row r="141" spans="2:20" x14ac:dyDescent="0.2">
      <c r="B141" s="64"/>
      <c r="C141" s="66"/>
      <c r="D141" s="94"/>
      <c r="E141" s="12"/>
      <c r="G141" s="64"/>
      <c r="H141" s="66"/>
      <c r="I141" s="94"/>
      <c r="J141" s="12"/>
      <c r="L141" s="64"/>
      <c r="M141" s="66"/>
      <c r="N141" s="94"/>
      <c r="O141" s="12"/>
      <c r="Q141" s="64" t="s">
        <v>210</v>
      </c>
      <c r="R141" s="66">
        <v>0.05</v>
      </c>
      <c r="S141" s="94">
        <f>+VLOOKUP(Q141,'PRECIO PROVEEDORES'!$A$2:$B$716,2,0)</f>
        <v>1352</v>
      </c>
      <c r="T141" s="12">
        <f t="shared" si="31"/>
        <v>67.600000000000009</v>
      </c>
    </row>
    <row r="142" spans="2:20" x14ac:dyDescent="0.2">
      <c r="B142" s="64"/>
      <c r="C142" s="66"/>
      <c r="D142" s="94"/>
      <c r="E142" s="12"/>
      <c r="G142" s="64"/>
      <c r="H142" s="66"/>
      <c r="I142" s="94"/>
      <c r="J142" s="12"/>
      <c r="L142" s="64"/>
      <c r="M142" s="66"/>
      <c r="N142" s="94"/>
      <c r="O142" s="12"/>
      <c r="Q142" s="64" t="s">
        <v>49</v>
      </c>
      <c r="R142" s="66">
        <v>5.0000000000000001E-3</v>
      </c>
      <c r="S142" s="94">
        <f>+VLOOKUP(Q142,'PRECIO PROVEEDORES'!$A$2:$B$716,2,0)</f>
        <v>1633</v>
      </c>
      <c r="T142" s="12">
        <f t="shared" si="31"/>
        <v>8.1650000000000009</v>
      </c>
    </row>
    <row r="143" spans="2:20" x14ac:dyDescent="0.2">
      <c r="B143" s="64"/>
      <c r="C143" s="66"/>
      <c r="D143" s="94"/>
      <c r="E143" s="12"/>
      <c r="G143" s="64"/>
      <c r="H143" s="66"/>
      <c r="I143" s="94"/>
      <c r="J143" s="12"/>
      <c r="L143" s="64"/>
      <c r="M143" s="66"/>
      <c r="N143" s="94"/>
      <c r="O143" s="12"/>
      <c r="Q143" s="64" t="s">
        <v>247</v>
      </c>
      <c r="R143" s="66">
        <v>0.05</v>
      </c>
      <c r="S143" s="94">
        <f>+VLOOKUP(Q143,'PRECIO PROVEEDORES'!$A$2:$B$716,2,0)</f>
        <v>12000</v>
      </c>
      <c r="T143" s="12">
        <f t="shared" si="31"/>
        <v>600</v>
      </c>
    </row>
    <row r="144" spans="2:20" x14ac:dyDescent="0.2">
      <c r="B144" s="64"/>
      <c r="C144" s="66"/>
      <c r="D144" s="94"/>
      <c r="E144" s="12"/>
      <c r="G144" s="64"/>
      <c r="H144" s="66"/>
      <c r="I144" s="94"/>
      <c r="J144" s="12"/>
      <c r="L144" s="64"/>
      <c r="M144" s="66"/>
      <c r="N144" s="94"/>
      <c r="O144" s="12"/>
      <c r="Q144" s="64"/>
      <c r="R144" s="66"/>
      <c r="S144" s="94"/>
    </row>
    <row r="145" spans="2:20" x14ac:dyDescent="0.2">
      <c r="B145" s="71"/>
      <c r="C145" s="66"/>
      <c r="D145" s="69"/>
      <c r="E145" s="12"/>
      <c r="G145" s="71"/>
      <c r="H145" s="66"/>
      <c r="I145" s="69"/>
      <c r="J145" s="12"/>
      <c r="L145" s="71"/>
      <c r="M145" s="66"/>
      <c r="N145" s="69"/>
      <c r="O145" s="12"/>
      <c r="Q145" s="71" t="s">
        <v>415</v>
      </c>
      <c r="R145" s="66"/>
      <c r="S145" s="69"/>
      <c r="T145" s="12">
        <f>SUM(T137:T144)</f>
        <v>1998.2049999999999</v>
      </c>
    </row>
    <row r="146" spans="2:20" x14ac:dyDescent="0.2">
      <c r="B146" s="71"/>
      <c r="C146" s="66"/>
      <c r="D146" s="69"/>
      <c r="E146" s="12"/>
      <c r="G146" s="71"/>
      <c r="H146" s="66"/>
      <c r="I146" s="69"/>
      <c r="J146" s="12"/>
      <c r="L146" s="71"/>
      <c r="M146" s="66"/>
      <c r="N146" s="69"/>
      <c r="O146" s="12"/>
      <c r="Q146" s="71"/>
      <c r="R146" s="66"/>
      <c r="S146" s="69"/>
      <c r="T146" s="12"/>
    </row>
    <row r="147" spans="2:20" x14ac:dyDescent="0.2">
      <c r="B147" s="71"/>
      <c r="C147" s="66"/>
      <c r="D147" s="69"/>
      <c r="E147" s="12"/>
      <c r="G147" s="71"/>
      <c r="H147" s="66"/>
      <c r="I147" s="69"/>
      <c r="J147" s="12"/>
      <c r="L147" s="71"/>
      <c r="M147" s="66"/>
      <c r="N147" s="69"/>
      <c r="O147" s="12"/>
      <c r="Q147" s="71"/>
      <c r="R147" s="66"/>
      <c r="S147" s="69"/>
      <c r="T147" s="12"/>
    </row>
    <row r="148" spans="2:20" x14ac:dyDescent="0.2">
      <c r="B148" s="71"/>
      <c r="C148" s="66"/>
      <c r="D148" s="69"/>
      <c r="E148" s="12"/>
      <c r="G148" s="71"/>
      <c r="H148" s="66"/>
      <c r="I148" s="69"/>
      <c r="J148" s="12"/>
      <c r="L148" s="71"/>
      <c r="M148" s="66"/>
      <c r="N148" s="69"/>
      <c r="O148" s="12"/>
      <c r="Q148" s="71"/>
      <c r="R148" s="66"/>
      <c r="S148" s="69"/>
      <c r="T148" s="12"/>
    </row>
    <row r="149" spans="2:20" x14ac:dyDescent="0.2">
      <c r="B149" s="64"/>
      <c r="C149" s="66"/>
      <c r="D149" s="69"/>
      <c r="E149" s="12"/>
      <c r="G149" s="64"/>
      <c r="H149" s="66"/>
      <c r="I149" s="69"/>
      <c r="J149" s="12"/>
      <c r="L149" s="64"/>
      <c r="M149" s="66"/>
      <c r="N149" s="69"/>
      <c r="O149" s="12"/>
      <c r="Q149" s="64"/>
      <c r="R149" s="66"/>
      <c r="S149" s="69"/>
      <c r="T149" s="12"/>
    </row>
    <row r="150" spans="2:20" x14ac:dyDescent="0.2">
      <c r="B150" s="64"/>
      <c r="C150" s="66"/>
      <c r="D150" s="69"/>
      <c r="E150" s="12"/>
      <c r="G150" s="64"/>
      <c r="H150" s="66"/>
      <c r="I150" s="69"/>
      <c r="J150" s="12"/>
      <c r="L150" s="64"/>
      <c r="M150" s="66"/>
      <c r="N150" s="69"/>
      <c r="O150" s="12"/>
      <c r="Q150" s="64"/>
      <c r="R150" s="66"/>
      <c r="S150" s="69"/>
      <c r="T150" s="12"/>
    </row>
    <row r="151" spans="2:20" x14ac:dyDescent="0.2">
      <c r="B151" s="64"/>
      <c r="C151" s="66"/>
      <c r="D151" s="69"/>
      <c r="E151" s="12"/>
      <c r="G151" s="64"/>
      <c r="H151" s="66"/>
      <c r="I151" s="69"/>
      <c r="J151" s="12"/>
      <c r="L151" s="64"/>
      <c r="M151" s="66"/>
      <c r="N151" s="69"/>
      <c r="O151" s="12"/>
      <c r="Q151" s="64"/>
      <c r="R151" s="66"/>
      <c r="S151" s="69"/>
      <c r="T151" s="12"/>
    </row>
    <row r="154" spans="2:20" x14ac:dyDescent="0.2">
      <c r="B154" s="218" t="s">
        <v>416</v>
      </c>
      <c r="C154" s="213"/>
      <c r="D154" s="213"/>
      <c r="E154" s="214"/>
      <c r="G154" s="218" t="s">
        <v>417</v>
      </c>
      <c r="H154" s="213"/>
      <c r="I154" s="213"/>
      <c r="J154" s="214"/>
      <c r="L154" s="218" t="s">
        <v>418</v>
      </c>
      <c r="M154" s="213"/>
      <c r="N154" s="213"/>
      <c r="O154" s="214"/>
      <c r="Q154" s="218" t="s">
        <v>419</v>
      </c>
      <c r="R154" s="213"/>
      <c r="S154" s="213"/>
      <c r="T154" s="214"/>
    </row>
    <row r="155" spans="2:20" x14ac:dyDescent="0.2">
      <c r="B155" s="64"/>
      <c r="C155" s="65" t="s">
        <v>8</v>
      </c>
      <c r="D155" s="7" t="s">
        <v>9</v>
      </c>
      <c r="E155" s="8" t="s">
        <v>10</v>
      </c>
      <c r="G155" s="64"/>
      <c r="H155" s="65" t="s">
        <v>8</v>
      </c>
      <c r="I155" s="7" t="s">
        <v>9</v>
      </c>
      <c r="J155" s="8" t="s">
        <v>10</v>
      </c>
      <c r="L155" s="64"/>
      <c r="M155" s="65" t="s">
        <v>8</v>
      </c>
      <c r="N155" s="7" t="s">
        <v>9</v>
      </c>
      <c r="O155" s="8" t="s">
        <v>10</v>
      </c>
      <c r="Q155" s="64"/>
      <c r="R155" s="65" t="s">
        <v>8</v>
      </c>
      <c r="S155" s="7" t="s">
        <v>9</v>
      </c>
      <c r="T155" s="8" t="s">
        <v>10</v>
      </c>
    </row>
    <row r="156" spans="2:20" x14ac:dyDescent="0.2">
      <c r="B156" s="66" t="s">
        <v>221</v>
      </c>
      <c r="C156" s="66">
        <v>2</v>
      </c>
      <c r="D156" s="94">
        <f>+VLOOKUP(B156,'PRECIO PROVEEDORES'!$A$2:$B$716,2,0)</f>
        <v>1440</v>
      </c>
      <c r="E156" s="12">
        <f>+C156*D156</f>
        <v>2880</v>
      </c>
      <c r="G156" s="7" t="s">
        <v>420</v>
      </c>
      <c r="H156" s="66">
        <v>2</v>
      </c>
      <c r="I156" s="94">
        <f>+VLOOKUP(G156,'PRECIO PROVEEDORES'!$A$2:$B$716,2,0)</f>
        <v>2185</v>
      </c>
      <c r="J156" s="12">
        <f t="shared" ref="J156:J157" si="32">+H156*I156</f>
        <v>4370</v>
      </c>
      <c r="L156" s="7" t="s">
        <v>152</v>
      </c>
      <c r="M156" s="66">
        <v>0.05</v>
      </c>
      <c r="N156" s="94">
        <f>+VLOOKUP(L156,'PRECIO PROVEEDORES'!$A$2:$B$716,2,0)</f>
        <v>8566.7999999999993</v>
      </c>
      <c r="O156" s="12">
        <f t="shared" ref="O156:O161" si="33">+M156*N156</f>
        <v>428.34</v>
      </c>
      <c r="Q156" s="66" t="s">
        <v>290</v>
      </c>
      <c r="R156" s="66">
        <v>0.32</v>
      </c>
      <c r="S156" s="94">
        <f>+VLOOKUP(Q156,'PRECIO PROVEEDORES'!$A$2:$B$716,2,0)</f>
        <v>2850</v>
      </c>
      <c r="T156" s="12">
        <f t="shared" ref="T156:T159" si="34">+R156*S156</f>
        <v>912</v>
      </c>
    </row>
    <row r="157" spans="2:20" x14ac:dyDescent="0.2">
      <c r="B157" s="64"/>
      <c r="C157" s="66"/>
      <c r="D157" s="94"/>
      <c r="E157" s="12"/>
      <c r="G157" s="64" t="s">
        <v>210</v>
      </c>
      <c r="H157" s="66">
        <v>0.25</v>
      </c>
      <c r="I157" s="94">
        <f>+VLOOKUP(G157,'PRECIO PROVEEDORES'!$A$2:$B$716,2,0)</f>
        <v>1352</v>
      </c>
      <c r="J157" s="12">
        <f t="shared" si="32"/>
        <v>338</v>
      </c>
      <c r="L157" s="64" t="s">
        <v>166</v>
      </c>
      <c r="M157" s="66">
        <v>0.3</v>
      </c>
      <c r="N157" s="94">
        <f>+VLOOKUP(L157,'PRECIO PROVEEDORES'!$A$2:$B$716,2,0)</f>
        <v>1940</v>
      </c>
      <c r="O157" s="12">
        <f t="shared" si="33"/>
        <v>582</v>
      </c>
      <c r="Q157" s="64" t="s">
        <v>210</v>
      </c>
      <c r="R157" s="66">
        <v>3.5000000000000003E-2</v>
      </c>
      <c r="S157" s="94">
        <f>+VLOOKUP(Q157,'PRECIO PROVEEDORES'!$A$2:$B$716,2,0)</f>
        <v>1352</v>
      </c>
      <c r="T157" s="12">
        <f t="shared" si="34"/>
        <v>47.320000000000007</v>
      </c>
    </row>
    <row r="158" spans="2:20" x14ac:dyDescent="0.2">
      <c r="B158" s="64" t="s">
        <v>421</v>
      </c>
      <c r="C158" s="66"/>
      <c r="D158" s="94"/>
      <c r="E158" s="12"/>
      <c r="G158" s="64"/>
      <c r="H158" s="66"/>
      <c r="I158" s="94"/>
      <c r="J158" s="12"/>
      <c r="L158" s="64" t="s">
        <v>335</v>
      </c>
      <c r="M158" s="66">
        <v>0.03</v>
      </c>
      <c r="N158" s="94">
        <f>+VLOOKUP(L158,'PRECIO PROVEEDORES'!$A$2:$B$716,2,0)</f>
        <v>1800</v>
      </c>
      <c r="O158" s="12">
        <f t="shared" si="33"/>
        <v>54</v>
      </c>
      <c r="Q158" s="64" t="s">
        <v>255</v>
      </c>
      <c r="R158" s="66">
        <v>2E-3</v>
      </c>
      <c r="S158" s="94">
        <f>+VLOOKUP(Q158,'PRECIO PROVEEDORES'!$A$2:$B$716,2,0)</f>
        <v>10061.64</v>
      </c>
      <c r="T158" s="12">
        <f t="shared" si="34"/>
        <v>20.123279999999998</v>
      </c>
    </row>
    <row r="159" spans="2:20" x14ac:dyDescent="0.2">
      <c r="B159" s="64"/>
      <c r="C159" s="66"/>
      <c r="D159" s="94"/>
      <c r="E159" s="12"/>
      <c r="G159" s="64" t="s">
        <v>404</v>
      </c>
      <c r="H159" s="66"/>
      <c r="I159" s="94"/>
      <c r="J159" s="12">
        <f>SUM(J156:J157)</f>
        <v>4708</v>
      </c>
      <c r="L159" s="64" t="s">
        <v>115</v>
      </c>
      <c r="M159" s="66">
        <v>0.6</v>
      </c>
      <c r="N159" s="94">
        <f>+VLOOKUP(L159,'PRECIO PROVEEDORES'!$A$2:$B$716,2,0)</f>
        <v>4299.01</v>
      </c>
      <c r="O159" s="12">
        <f t="shared" si="33"/>
        <v>2579.4059999999999</v>
      </c>
      <c r="Q159" s="64" t="s">
        <v>254</v>
      </c>
      <c r="R159" s="66">
        <v>0.3</v>
      </c>
      <c r="S159" s="94">
        <f>+VLOOKUP(Q159,'PRECIO PROVEEDORES'!$A$2:$B$716,2,0)</f>
        <v>5400</v>
      </c>
      <c r="T159" s="12">
        <f t="shared" si="34"/>
        <v>1620</v>
      </c>
    </row>
    <row r="160" spans="2:20" x14ac:dyDescent="0.2">
      <c r="B160" s="64"/>
      <c r="C160" s="66"/>
      <c r="D160" s="94"/>
      <c r="E160" s="12"/>
      <c r="G160" s="64"/>
      <c r="H160" s="66"/>
      <c r="I160" s="94"/>
      <c r="J160" s="12"/>
      <c r="L160" s="64" t="s">
        <v>220</v>
      </c>
      <c r="M160" s="66">
        <v>0.08</v>
      </c>
      <c r="N160" s="94">
        <f>+VLOOKUP(L160,'PRECIO PROVEEDORES'!$A$2:$B$716,2,0)</f>
        <v>3000</v>
      </c>
      <c r="O160" s="12">
        <f t="shared" si="33"/>
        <v>240</v>
      </c>
      <c r="Q160" s="64"/>
      <c r="R160" s="66"/>
      <c r="S160" s="94"/>
      <c r="T160" s="12"/>
    </row>
    <row r="161" spans="2:20" x14ac:dyDescent="0.2">
      <c r="B161" s="64"/>
      <c r="C161" s="66"/>
      <c r="D161" s="94"/>
      <c r="E161" s="12"/>
      <c r="G161" s="64"/>
      <c r="H161" s="66"/>
      <c r="I161" s="94"/>
      <c r="J161" s="12"/>
      <c r="L161" s="64" t="s">
        <v>49</v>
      </c>
      <c r="M161" s="66">
        <v>5.0000000000000001E-3</v>
      </c>
      <c r="N161" s="94">
        <f>+VLOOKUP(L161,'PRECIO PROVEEDORES'!$A$2:$B$716,2,0)</f>
        <v>1633</v>
      </c>
      <c r="O161" s="12">
        <f t="shared" si="33"/>
        <v>8.1650000000000009</v>
      </c>
      <c r="Q161" s="64" t="s">
        <v>422</v>
      </c>
      <c r="R161" s="66"/>
      <c r="S161" s="94"/>
      <c r="T161" s="12">
        <f>SUM(T156:T159)</f>
        <v>2599.44328</v>
      </c>
    </row>
    <row r="162" spans="2:20" x14ac:dyDescent="0.2">
      <c r="B162" s="64"/>
      <c r="C162" s="66"/>
      <c r="D162" s="94"/>
      <c r="E162" s="12"/>
      <c r="G162" s="64"/>
      <c r="H162" s="66"/>
      <c r="I162" s="94"/>
      <c r="J162" s="12"/>
      <c r="L162" s="64"/>
      <c r="M162" s="66"/>
      <c r="N162" s="94"/>
      <c r="O162" s="12"/>
      <c r="Q162" s="64" t="s">
        <v>351</v>
      </c>
      <c r="R162" s="66"/>
      <c r="S162" s="94"/>
      <c r="T162" s="12">
        <f>T161/3</f>
        <v>866.48109333333332</v>
      </c>
    </row>
    <row r="163" spans="2:20" x14ac:dyDescent="0.2">
      <c r="B163" s="64"/>
      <c r="C163" s="66"/>
      <c r="D163" s="94"/>
      <c r="E163" s="12"/>
      <c r="G163" s="64"/>
      <c r="H163" s="66"/>
      <c r="I163" s="94"/>
      <c r="J163" s="12"/>
      <c r="L163" s="64" t="s">
        <v>423</v>
      </c>
      <c r="M163" s="66"/>
      <c r="N163" s="94"/>
      <c r="O163" s="12">
        <f>SUM(O156:O161)</f>
        <v>3891.9110000000001</v>
      </c>
      <c r="Q163" s="64" t="s">
        <v>340</v>
      </c>
      <c r="R163" s="66"/>
      <c r="S163" s="94"/>
      <c r="T163" s="12">
        <f>T161*1000/360</f>
        <v>7220.6757777777775</v>
      </c>
    </row>
    <row r="164" spans="2:20" x14ac:dyDescent="0.2">
      <c r="B164" s="71"/>
      <c r="C164" s="66"/>
      <c r="D164" s="69"/>
      <c r="E164" s="12"/>
      <c r="G164" s="71"/>
      <c r="H164" s="66"/>
      <c r="I164" s="69"/>
      <c r="J164" s="12"/>
      <c r="L164" s="71" t="s">
        <v>424</v>
      </c>
      <c r="M164" s="66"/>
      <c r="N164" s="69"/>
      <c r="O164" s="12">
        <f>O163/25</f>
        <v>155.67644000000001</v>
      </c>
      <c r="Q164" s="71"/>
      <c r="R164" s="66"/>
      <c r="S164" s="69"/>
      <c r="T164" s="12"/>
    </row>
    <row r="165" spans="2:20" x14ac:dyDescent="0.2">
      <c r="B165" s="71"/>
      <c r="C165" s="66"/>
      <c r="D165" s="69"/>
      <c r="E165" s="12"/>
      <c r="G165" s="71"/>
      <c r="H165" s="66"/>
      <c r="I165" s="69"/>
      <c r="J165" s="12"/>
      <c r="L165" s="71"/>
      <c r="M165" s="66"/>
      <c r="N165" s="69"/>
      <c r="O165" s="12"/>
      <c r="Q165" s="71"/>
      <c r="R165" s="66"/>
      <c r="S165" s="69"/>
      <c r="T165" s="12"/>
    </row>
    <row r="166" spans="2:20" x14ac:dyDescent="0.2">
      <c r="B166" s="71"/>
      <c r="C166" s="66"/>
      <c r="D166" s="69"/>
      <c r="E166" s="12"/>
      <c r="G166" s="71"/>
      <c r="H166" s="66"/>
      <c r="I166" s="69"/>
      <c r="J166" s="12"/>
      <c r="L166" s="71"/>
      <c r="M166" s="66"/>
      <c r="N166" s="69"/>
      <c r="O166" s="12"/>
      <c r="Q166" s="71"/>
      <c r="R166" s="66"/>
      <c r="S166" s="69"/>
      <c r="T166" s="12"/>
    </row>
    <row r="167" spans="2:20" x14ac:dyDescent="0.2">
      <c r="B167" s="71"/>
      <c r="C167" s="66"/>
      <c r="D167" s="69"/>
      <c r="E167" s="12"/>
      <c r="G167" s="71"/>
      <c r="H167" s="66"/>
      <c r="I167" s="69"/>
      <c r="J167" s="12"/>
      <c r="L167" s="71"/>
      <c r="M167" s="66"/>
      <c r="N167" s="69"/>
      <c r="O167" s="12"/>
      <c r="Q167" s="71"/>
      <c r="R167" s="66"/>
      <c r="S167" s="69"/>
      <c r="T167" s="12"/>
    </row>
    <row r="168" spans="2:20" x14ac:dyDescent="0.2">
      <c r="B168" s="64"/>
      <c r="C168" s="66"/>
      <c r="D168" s="69"/>
      <c r="E168" s="12"/>
      <c r="G168" s="64"/>
      <c r="H168" s="66"/>
      <c r="I168" s="69"/>
      <c r="J168" s="12"/>
      <c r="L168" s="64"/>
      <c r="M168" s="66"/>
      <c r="N168" s="69"/>
      <c r="O168" s="12"/>
      <c r="Q168" s="64"/>
      <c r="R168" s="66"/>
      <c r="S168" s="69"/>
      <c r="T168" s="12"/>
    </row>
    <row r="169" spans="2:20" x14ac:dyDescent="0.2">
      <c r="B169" s="64"/>
      <c r="C169" s="66"/>
      <c r="D169" s="69"/>
      <c r="E169" s="12"/>
      <c r="G169" s="64"/>
      <c r="H169" s="66"/>
      <c r="I169" s="69"/>
      <c r="J169" s="12"/>
      <c r="L169" s="64"/>
      <c r="M169" s="66"/>
      <c r="N169" s="69"/>
      <c r="O169" s="12"/>
      <c r="Q169" s="64"/>
      <c r="R169" s="66"/>
      <c r="S169" s="69"/>
      <c r="T169" s="12"/>
    </row>
    <row r="170" spans="2:20" x14ac:dyDescent="0.2">
      <c r="B170" s="64"/>
      <c r="C170" s="66"/>
      <c r="D170" s="69"/>
      <c r="E170" s="12"/>
      <c r="G170" s="64"/>
      <c r="H170" s="66"/>
      <c r="I170" s="69"/>
      <c r="J170" s="12"/>
      <c r="L170" s="64"/>
      <c r="M170" s="66"/>
      <c r="N170" s="69"/>
      <c r="O170" s="12"/>
      <c r="Q170" s="64"/>
      <c r="R170" s="66"/>
      <c r="S170" s="69"/>
      <c r="T170" s="12"/>
    </row>
    <row r="173" spans="2:20" x14ac:dyDescent="0.2">
      <c r="B173" s="218" t="s">
        <v>425</v>
      </c>
      <c r="C173" s="213"/>
      <c r="D173" s="213"/>
      <c r="E173" s="214"/>
      <c r="G173" s="218" t="s">
        <v>426</v>
      </c>
      <c r="H173" s="213"/>
      <c r="I173" s="213"/>
      <c r="J173" s="214"/>
      <c r="L173" s="218" t="s">
        <v>427</v>
      </c>
      <c r="M173" s="213"/>
      <c r="N173" s="213"/>
      <c r="O173" s="214"/>
      <c r="Q173" s="218" t="s">
        <v>428</v>
      </c>
      <c r="R173" s="213"/>
      <c r="S173" s="213"/>
      <c r="T173" s="214"/>
    </row>
    <row r="174" spans="2:20" x14ac:dyDescent="0.2">
      <c r="B174" s="64"/>
      <c r="C174" s="65" t="s">
        <v>8</v>
      </c>
      <c r="D174" s="7" t="s">
        <v>9</v>
      </c>
      <c r="E174" s="8" t="s">
        <v>10</v>
      </c>
      <c r="G174" s="64"/>
      <c r="H174" s="65" t="s">
        <v>8</v>
      </c>
      <c r="I174" s="7" t="s">
        <v>9</v>
      </c>
      <c r="J174" s="8" t="s">
        <v>10</v>
      </c>
      <c r="L174" s="64"/>
      <c r="M174" s="65" t="s">
        <v>8</v>
      </c>
      <c r="N174" s="7" t="s">
        <v>9</v>
      </c>
      <c r="O174" s="8" t="s">
        <v>10</v>
      </c>
      <c r="Q174" s="64"/>
      <c r="R174" s="65" t="s">
        <v>8</v>
      </c>
      <c r="S174" s="7" t="s">
        <v>9</v>
      </c>
      <c r="T174" s="8" t="s">
        <v>10</v>
      </c>
    </row>
    <row r="175" spans="2:20" x14ac:dyDescent="0.2">
      <c r="B175" s="13" t="s">
        <v>181</v>
      </c>
      <c r="C175" s="66">
        <v>2.5000000000000001E-2</v>
      </c>
      <c r="D175" s="94">
        <f>+VLOOKUP(B175,'PRECIO PROVEEDORES'!$A$2:$B$716,2,0)</f>
        <v>90016</v>
      </c>
      <c r="E175" s="12">
        <f t="shared" ref="E175:E176" si="35">+C175*D175</f>
        <v>2250.4</v>
      </c>
      <c r="G175" s="7" t="s">
        <v>429</v>
      </c>
      <c r="H175" s="66">
        <v>1</v>
      </c>
      <c r="I175" s="94">
        <f>+VLOOKUP(G175,'PRECIO PROVEEDORES'!$A$2:$B$716,2,0)</f>
        <v>592</v>
      </c>
      <c r="J175" s="12">
        <f t="shared" ref="J175:J181" si="36">+H175*I175</f>
        <v>592</v>
      </c>
      <c r="L175" s="7" t="s">
        <v>38</v>
      </c>
      <c r="M175" s="10">
        <v>0.1</v>
      </c>
      <c r="N175" s="94">
        <f>+VLOOKUP(L175,'PRECIO PROVEEDORES'!$A$2:$B$716,2,0)</f>
        <v>3330</v>
      </c>
      <c r="O175" s="12">
        <f t="shared" ref="O175:O180" si="37">+M175*N175</f>
        <v>333</v>
      </c>
      <c r="Q175" s="66" t="s">
        <v>237</v>
      </c>
      <c r="R175" s="66">
        <v>0.1</v>
      </c>
      <c r="S175" s="94">
        <f>+VLOOKUP(Q175,'PRECIO PROVEEDORES'!$A$2:$B$716,2,0)</f>
        <v>1043.22</v>
      </c>
      <c r="T175" s="12">
        <f t="shared" ref="T175:T180" si="38">+R175*S175</f>
        <v>104.322</v>
      </c>
    </row>
    <row r="176" spans="2:20" x14ac:dyDescent="0.2">
      <c r="B176" s="64" t="s">
        <v>367</v>
      </c>
      <c r="C176" s="66">
        <v>1</v>
      </c>
      <c r="D176" s="94">
        <f>+VLOOKUP(B176,'PRECIO PROVEEDORES'!$A$2:$B$716,2,0)</f>
        <v>0</v>
      </c>
      <c r="E176" s="12">
        <f t="shared" si="35"/>
        <v>0</v>
      </c>
      <c r="G176" s="64" t="s">
        <v>210</v>
      </c>
      <c r="H176" s="66">
        <v>0.12</v>
      </c>
      <c r="I176" s="94">
        <f>+VLOOKUP(G176,'PRECIO PROVEEDORES'!$A$2:$B$716,2,0)</f>
        <v>1352</v>
      </c>
      <c r="J176" s="12">
        <f t="shared" si="36"/>
        <v>162.23999999999998</v>
      </c>
      <c r="L176" s="13" t="s">
        <v>43</v>
      </c>
      <c r="M176" s="10">
        <v>0.06</v>
      </c>
      <c r="N176" s="94">
        <f>+VLOOKUP(L176,'PRECIO PROVEEDORES'!$A$2:$B$716,2,0)</f>
        <v>1092.5</v>
      </c>
      <c r="O176" s="12">
        <f t="shared" si="37"/>
        <v>65.55</v>
      </c>
      <c r="Q176" s="64" t="s">
        <v>247</v>
      </c>
      <c r="R176" s="66">
        <v>0.1</v>
      </c>
      <c r="S176" s="94">
        <f>+VLOOKUP(Q176,'PRECIO PROVEEDORES'!$A$2:$B$716,2,0)</f>
        <v>12000</v>
      </c>
      <c r="T176" s="12">
        <f t="shared" si="38"/>
        <v>1200</v>
      </c>
    </row>
    <row r="177" spans="2:20" x14ac:dyDescent="0.2">
      <c r="B177" s="64"/>
      <c r="C177" s="66"/>
      <c r="D177" s="94"/>
      <c r="E177" s="12"/>
      <c r="G177" s="64" t="s">
        <v>49</v>
      </c>
      <c r="H177" s="66">
        <v>1.7999999999999999E-2</v>
      </c>
      <c r="I177" s="94">
        <f>+VLOOKUP(G177,'PRECIO PROVEEDORES'!$A$2:$B$716,2,0)</f>
        <v>1633</v>
      </c>
      <c r="J177" s="12">
        <f t="shared" si="36"/>
        <v>29.393999999999998</v>
      </c>
      <c r="L177" s="7" t="s">
        <v>41</v>
      </c>
      <c r="M177" s="10">
        <v>1.4999999999999999E-2</v>
      </c>
      <c r="N177" s="94">
        <f>+VLOOKUP(L177,'PRECIO PROVEEDORES'!$A$2:$B$716,2,0)</f>
        <v>18304</v>
      </c>
      <c r="O177" s="12">
        <f t="shared" si="37"/>
        <v>274.56</v>
      </c>
      <c r="Q177" s="64" t="s">
        <v>210</v>
      </c>
      <c r="R177" s="66">
        <v>0.1</v>
      </c>
      <c r="S177" s="94">
        <f>+VLOOKUP(Q177,'PRECIO PROVEEDORES'!$A$2:$B$716,2,0)</f>
        <v>1352</v>
      </c>
      <c r="T177" s="12">
        <f t="shared" si="38"/>
        <v>135.20000000000002</v>
      </c>
    </row>
    <row r="178" spans="2:20" x14ac:dyDescent="0.2">
      <c r="B178" s="64" t="s">
        <v>404</v>
      </c>
      <c r="C178" s="66"/>
      <c r="D178" s="94"/>
      <c r="E178" s="12">
        <f>SUM(E174:E176)</f>
        <v>2250.4</v>
      </c>
      <c r="G178" s="7" t="s">
        <v>32</v>
      </c>
      <c r="H178" s="66">
        <v>0.1</v>
      </c>
      <c r="I178" s="94">
        <f>+VLOOKUP(G178,'PRECIO PROVEEDORES'!$A$2:$B$716,2,0)</f>
        <v>12206</v>
      </c>
      <c r="J178" s="12">
        <f t="shared" si="36"/>
        <v>1220.6000000000001</v>
      </c>
      <c r="L178" s="13" t="s">
        <v>46</v>
      </c>
      <c r="M178" s="10">
        <v>2E-3</v>
      </c>
      <c r="N178" s="94">
        <f>+VLOOKUP(L178,'PRECIO PROVEEDORES'!$A$2:$B$716,2,0)</f>
        <v>10164</v>
      </c>
      <c r="O178" s="12">
        <f t="shared" si="37"/>
        <v>20.327999999999999</v>
      </c>
      <c r="Q178" s="64" t="s">
        <v>274</v>
      </c>
      <c r="R178" s="66">
        <v>0.02</v>
      </c>
      <c r="S178" s="94">
        <f>+VLOOKUP(Q178,'PRECIO PROVEEDORES'!$A$2:$B$716,2,0)</f>
        <v>5987</v>
      </c>
      <c r="T178" s="12">
        <f t="shared" si="38"/>
        <v>119.74000000000001</v>
      </c>
    </row>
    <row r="179" spans="2:20" x14ac:dyDescent="0.2">
      <c r="B179" s="64"/>
      <c r="C179" s="66"/>
      <c r="D179" s="94"/>
      <c r="E179" s="12"/>
      <c r="G179" s="64" t="s">
        <v>243</v>
      </c>
      <c r="H179" s="66">
        <v>2.4E-2</v>
      </c>
      <c r="I179" s="94">
        <f>+VLOOKUP(G179,'PRECIO PROVEEDORES'!$A$2:$B$716,2,0)</f>
        <v>17780</v>
      </c>
      <c r="J179" s="12">
        <f t="shared" si="36"/>
        <v>426.72</v>
      </c>
      <c r="L179" s="13" t="s">
        <v>49</v>
      </c>
      <c r="M179" s="10">
        <v>2E-3</v>
      </c>
      <c r="N179" s="94">
        <f>+VLOOKUP(L179,'PRECIO PROVEEDORES'!$A$2:$B$716,2,0)</f>
        <v>1633</v>
      </c>
      <c r="O179" s="12">
        <f t="shared" si="37"/>
        <v>3.266</v>
      </c>
      <c r="Q179" s="64" t="s">
        <v>259</v>
      </c>
      <c r="R179" s="66">
        <v>0.03</v>
      </c>
      <c r="S179" s="94">
        <f>+VLOOKUP(Q179,'PRECIO PROVEEDORES'!$A$2:$B$716,2,0)</f>
        <v>25872</v>
      </c>
      <c r="T179" s="12">
        <f t="shared" si="38"/>
        <v>776.16</v>
      </c>
    </row>
    <row r="180" spans="2:20" x14ac:dyDescent="0.2">
      <c r="B180" s="64"/>
      <c r="C180" s="66"/>
      <c r="D180" s="94"/>
      <c r="E180" s="12"/>
      <c r="G180" s="64" t="s">
        <v>328</v>
      </c>
      <c r="H180" s="66">
        <v>0.04</v>
      </c>
      <c r="I180" s="94">
        <f>+VLOOKUP(G180,'PRECIO PROVEEDORES'!$A$2:$B$716,2,0)</f>
        <v>16900</v>
      </c>
      <c r="J180" s="12">
        <f t="shared" si="36"/>
        <v>676</v>
      </c>
      <c r="L180" s="7" t="s">
        <v>51</v>
      </c>
      <c r="M180" s="10">
        <v>2E-3</v>
      </c>
      <c r="N180" s="94">
        <f>+VLOOKUP(L180,'PRECIO PROVEEDORES'!$A$2:$B$716,2,0)</f>
        <v>22269</v>
      </c>
      <c r="O180" s="12">
        <f t="shared" si="37"/>
        <v>44.538000000000004</v>
      </c>
      <c r="Q180" s="64" t="s">
        <v>293</v>
      </c>
      <c r="R180" s="66">
        <v>0.02</v>
      </c>
      <c r="S180" s="94">
        <f>+VLOOKUP(Q180,'PRECIO PROVEEDORES'!$A$2:$B$716,2,0)</f>
        <v>27769.5</v>
      </c>
      <c r="T180" s="12">
        <f t="shared" si="38"/>
        <v>555.39</v>
      </c>
    </row>
    <row r="181" spans="2:20" x14ac:dyDescent="0.2">
      <c r="B181" s="64"/>
      <c r="C181" s="66"/>
      <c r="D181" s="94"/>
      <c r="E181" s="12"/>
      <c r="G181" s="64" t="s">
        <v>367</v>
      </c>
      <c r="H181" s="66">
        <v>0.75</v>
      </c>
      <c r="I181" s="94">
        <f>+VLOOKUP(G181,'PRECIO PROVEEDORES'!$A$2:$B$716,2,0)</f>
        <v>0</v>
      </c>
      <c r="J181" s="12">
        <f t="shared" si="36"/>
        <v>0</v>
      </c>
      <c r="L181" s="64"/>
      <c r="M181" s="66"/>
      <c r="N181" s="94"/>
      <c r="O181" s="12"/>
      <c r="Q181" s="64"/>
      <c r="R181" s="66"/>
      <c r="S181" s="94"/>
      <c r="T181" s="12"/>
    </row>
    <row r="182" spans="2:20" x14ac:dyDescent="0.2">
      <c r="B182" s="64"/>
      <c r="C182" s="66"/>
      <c r="D182" s="94"/>
      <c r="E182" s="12"/>
      <c r="G182" s="64"/>
      <c r="H182" s="66"/>
      <c r="I182" s="94"/>
      <c r="J182" s="12"/>
      <c r="L182" s="64" t="s">
        <v>430</v>
      </c>
      <c r="M182" s="66"/>
      <c r="N182" s="94"/>
      <c r="O182" s="12">
        <f>SUM(O175:O180)</f>
        <v>741.24199999999996</v>
      </c>
      <c r="Q182" s="64" t="s">
        <v>431</v>
      </c>
      <c r="R182" s="66"/>
      <c r="S182" s="94"/>
      <c r="T182" s="12">
        <f>SUM(T174:T180)</f>
        <v>2890.8119999999999</v>
      </c>
    </row>
    <row r="183" spans="2:20" x14ac:dyDescent="0.2">
      <c r="B183" s="71"/>
      <c r="C183" s="66"/>
      <c r="D183" s="69"/>
      <c r="E183" s="12"/>
      <c r="G183" s="71" t="s">
        <v>340</v>
      </c>
      <c r="H183" s="66"/>
      <c r="I183" s="69"/>
      <c r="J183" s="12">
        <f>SUM(J175:J181)</f>
        <v>3106.9540000000002</v>
      </c>
      <c r="L183" s="71"/>
      <c r="M183" s="66"/>
      <c r="N183" s="69"/>
      <c r="O183" s="12"/>
      <c r="Q183" s="71" t="s">
        <v>351</v>
      </c>
      <c r="R183" s="66"/>
      <c r="S183" s="69"/>
      <c r="T183" s="12">
        <f>T182/9</f>
        <v>321.20133333333331</v>
      </c>
    </row>
    <row r="184" spans="2:20" x14ac:dyDescent="0.2">
      <c r="B184" s="71"/>
      <c r="C184" s="66"/>
      <c r="D184" s="69"/>
      <c r="E184" s="12"/>
      <c r="G184" s="71" t="s">
        <v>432</v>
      </c>
      <c r="H184" s="66"/>
      <c r="I184" s="69"/>
      <c r="J184" s="12">
        <f>J183/10</f>
        <v>310.69540000000001</v>
      </c>
      <c r="L184" s="71"/>
      <c r="M184" s="66"/>
      <c r="N184" s="69"/>
      <c r="O184" s="12"/>
      <c r="Q184" s="71" t="s">
        <v>340</v>
      </c>
      <c r="R184" s="66"/>
      <c r="S184" s="69"/>
      <c r="T184" s="12">
        <f>T182*1000/400</f>
        <v>7227.03</v>
      </c>
    </row>
    <row r="185" spans="2:20" x14ac:dyDescent="0.2">
      <c r="B185" s="71"/>
      <c r="C185" s="66"/>
      <c r="D185" s="69"/>
      <c r="E185" s="12"/>
      <c r="G185" s="71"/>
      <c r="H185" s="66"/>
      <c r="I185" s="69"/>
      <c r="J185" s="12"/>
      <c r="L185" s="71"/>
      <c r="M185" s="66"/>
      <c r="N185" s="69"/>
      <c r="O185" s="12"/>
      <c r="Q185" s="71"/>
      <c r="R185" s="66"/>
      <c r="S185" s="69"/>
      <c r="T185" s="12"/>
    </row>
    <row r="186" spans="2:20" x14ac:dyDescent="0.2">
      <c r="B186" s="71"/>
      <c r="C186" s="66"/>
      <c r="D186" s="69"/>
      <c r="E186" s="12"/>
      <c r="G186" s="71"/>
      <c r="H186" s="66"/>
      <c r="I186" s="69"/>
      <c r="J186" s="12"/>
      <c r="L186" s="71"/>
      <c r="M186" s="66"/>
      <c r="N186" s="69"/>
      <c r="O186" s="12"/>
      <c r="Q186" s="71"/>
      <c r="R186" s="66"/>
      <c r="S186" s="69"/>
      <c r="T186" s="12"/>
    </row>
    <row r="187" spans="2:20" x14ac:dyDescent="0.2">
      <c r="B187" s="64"/>
      <c r="C187" s="66"/>
      <c r="D187" s="69"/>
      <c r="E187" s="12"/>
      <c r="G187" s="64"/>
      <c r="H187" s="66"/>
      <c r="I187" s="69"/>
      <c r="J187" s="12"/>
      <c r="L187" s="64"/>
      <c r="M187" s="66"/>
      <c r="N187" s="69"/>
      <c r="O187" s="12"/>
      <c r="Q187" s="64"/>
      <c r="R187" s="66"/>
      <c r="S187" s="69"/>
      <c r="T187" s="12"/>
    </row>
    <row r="188" spans="2:20" x14ac:dyDescent="0.2">
      <c r="B188" s="64"/>
      <c r="C188" s="66"/>
      <c r="D188" s="69"/>
      <c r="E188" s="12"/>
      <c r="G188" s="64"/>
      <c r="H188" s="66"/>
      <c r="I188" s="69"/>
      <c r="J188" s="12"/>
      <c r="L188" s="64"/>
      <c r="M188" s="66"/>
      <c r="N188" s="69"/>
      <c r="O188" s="12"/>
      <c r="Q188" s="64"/>
      <c r="R188" s="66"/>
      <c r="S188" s="69"/>
      <c r="T188" s="12"/>
    </row>
    <row r="189" spans="2:20" x14ac:dyDescent="0.2">
      <c r="B189" s="64"/>
      <c r="C189" s="66"/>
      <c r="D189" s="69"/>
      <c r="E189" s="12"/>
      <c r="G189" s="64"/>
      <c r="H189" s="66"/>
      <c r="I189" s="69"/>
      <c r="J189" s="12"/>
      <c r="L189" s="64"/>
      <c r="M189" s="66"/>
      <c r="N189" s="69"/>
      <c r="O189" s="12"/>
      <c r="Q189" s="66"/>
      <c r="R189" s="66"/>
      <c r="S189" s="69"/>
      <c r="T189" s="111"/>
    </row>
    <row r="190" spans="2:20" x14ac:dyDescent="0.2">
      <c r="Q190" s="119"/>
      <c r="R190" s="119"/>
      <c r="S190" s="120"/>
      <c r="T190" s="37"/>
    </row>
    <row r="192" spans="2:20" x14ac:dyDescent="0.2">
      <c r="B192" s="218" t="s">
        <v>433</v>
      </c>
      <c r="C192" s="213"/>
      <c r="D192" s="213"/>
      <c r="E192" s="214"/>
      <c r="G192" s="218" t="s">
        <v>434</v>
      </c>
      <c r="H192" s="213"/>
      <c r="I192" s="213"/>
      <c r="J192" s="214"/>
      <c r="L192" s="218" t="s">
        <v>435</v>
      </c>
      <c r="M192" s="213"/>
      <c r="N192" s="213"/>
      <c r="O192" s="214"/>
      <c r="Q192" s="218" t="s">
        <v>436</v>
      </c>
      <c r="R192" s="213"/>
      <c r="S192" s="213"/>
      <c r="T192" s="214"/>
    </row>
    <row r="193" spans="2:20" x14ac:dyDescent="0.2">
      <c r="B193" s="64"/>
      <c r="C193" s="65" t="s">
        <v>8</v>
      </c>
      <c r="D193" s="7" t="s">
        <v>9</v>
      </c>
      <c r="E193" s="8" t="s">
        <v>10</v>
      </c>
      <c r="G193" s="64"/>
      <c r="H193" s="65" t="s">
        <v>8</v>
      </c>
      <c r="I193" s="7" t="s">
        <v>9</v>
      </c>
      <c r="J193" s="8" t="s">
        <v>10</v>
      </c>
      <c r="L193" s="64"/>
      <c r="M193" s="65" t="s">
        <v>8</v>
      </c>
      <c r="N193" s="7" t="s">
        <v>9</v>
      </c>
      <c r="O193" s="8" t="s">
        <v>10</v>
      </c>
      <c r="Q193" s="64"/>
      <c r="R193" s="65" t="s">
        <v>8</v>
      </c>
      <c r="S193" s="7" t="s">
        <v>9</v>
      </c>
      <c r="T193" s="8" t="s">
        <v>10</v>
      </c>
    </row>
    <row r="194" spans="2:20" x14ac:dyDescent="0.2">
      <c r="B194" s="66" t="s">
        <v>247</v>
      </c>
      <c r="C194" s="66">
        <v>0.22500000000000001</v>
      </c>
      <c r="D194" s="94">
        <f>+VLOOKUP(B194,'PRECIO PROVEEDORES'!$A$2:$B$716,2,0)</f>
        <v>12000</v>
      </c>
      <c r="E194" s="12">
        <f t="shared" ref="E194:E197" si="39">+C194*D194</f>
        <v>2700</v>
      </c>
      <c r="G194" s="66" t="s">
        <v>166</v>
      </c>
      <c r="H194" s="66">
        <v>1</v>
      </c>
      <c r="I194" s="94">
        <f>+VLOOKUP(G194,'PRECIO PROVEEDORES'!$A$2:$B$716,2,0)</f>
        <v>1940</v>
      </c>
      <c r="J194" s="12">
        <f t="shared" ref="J194:J196" si="40">+H194*I194</f>
        <v>1940</v>
      </c>
      <c r="L194" s="66" t="s">
        <v>247</v>
      </c>
      <c r="M194" s="66">
        <v>0.15</v>
      </c>
      <c r="N194" s="94">
        <f>+VLOOKUP(L194,'PRECIO PROVEEDORES'!$A$2:$B$716,2,0)</f>
        <v>12000</v>
      </c>
      <c r="O194" s="12">
        <f t="shared" ref="O194:O200" si="41">+M194*N194</f>
        <v>1800</v>
      </c>
      <c r="Q194" s="66" t="s">
        <v>280</v>
      </c>
      <c r="R194" s="66">
        <v>0.4</v>
      </c>
      <c r="S194" s="94">
        <f>+VLOOKUP(Q194,'PRECIO PROVEEDORES'!$A$2:$B$716,2,0)</f>
        <v>3356</v>
      </c>
      <c r="T194" s="12">
        <f t="shared" ref="T194:T197" si="42">+R194*S194</f>
        <v>1342.4</v>
      </c>
    </row>
    <row r="195" spans="2:20" x14ac:dyDescent="0.2">
      <c r="B195" s="64" t="s">
        <v>271</v>
      </c>
      <c r="C195" s="66">
        <v>0.15</v>
      </c>
      <c r="D195" s="94">
        <f>+VLOOKUP(B195,'PRECIO PROVEEDORES'!$A$2:$B$716,2,0)</f>
        <v>1684</v>
      </c>
      <c r="E195" s="12">
        <f t="shared" si="39"/>
        <v>252.6</v>
      </c>
      <c r="G195" s="64" t="s">
        <v>210</v>
      </c>
      <c r="H195" s="66">
        <v>0.24199999999999999</v>
      </c>
      <c r="I195" s="94">
        <f>+VLOOKUP(G195,'PRECIO PROVEEDORES'!$A$2:$B$716,2,0)</f>
        <v>1352</v>
      </c>
      <c r="J195" s="12">
        <f t="shared" si="40"/>
        <v>327.18399999999997</v>
      </c>
      <c r="L195" s="64" t="s">
        <v>271</v>
      </c>
      <c r="M195" s="66">
        <v>0.15</v>
      </c>
      <c r="N195" s="94">
        <f>+VLOOKUP(L195,'PRECIO PROVEEDORES'!$A$2:$B$716,2,0)</f>
        <v>1684</v>
      </c>
      <c r="O195" s="12">
        <f t="shared" si="41"/>
        <v>252.6</v>
      </c>
      <c r="Q195" s="108" t="s">
        <v>248</v>
      </c>
      <c r="R195" s="66">
        <v>0.05</v>
      </c>
      <c r="S195" s="94">
        <f>+VLOOKUP(Q195,'PRECIO PROVEEDORES'!$A$2:$B$716,2,0)</f>
        <v>39988</v>
      </c>
      <c r="T195" s="12">
        <f t="shared" si="42"/>
        <v>1999.4</v>
      </c>
    </row>
    <row r="196" spans="2:20" x14ac:dyDescent="0.2">
      <c r="B196" s="64" t="s">
        <v>17</v>
      </c>
      <c r="C196" s="66">
        <v>1</v>
      </c>
      <c r="D196" s="94">
        <f>+VLOOKUP(B196,'PRECIO PROVEEDORES'!$A$2:$B$716,2,0)</f>
        <v>192</v>
      </c>
      <c r="E196" s="12">
        <f t="shared" si="39"/>
        <v>192</v>
      </c>
      <c r="G196" s="64" t="s">
        <v>273</v>
      </c>
      <c r="H196" s="66">
        <v>0.76</v>
      </c>
      <c r="I196" s="94">
        <f>+VLOOKUP(G196,'PRECIO PROVEEDORES'!$A$2:$B$716,2,0)</f>
        <v>2191</v>
      </c>
      <c r="J196" s="12">
        <f t="shared" si="40"/>
        <v>1665.16</v>
      </c>
      <c r="L196" s="64" t="s">
        <v>237</v>
      </c>
      <c r="M196" s="66">
        <v>0.27</v>
      </c>
      <c r="N196" s="94">
        <f>+VLOOKUP(L196,'PRECIO PROVEEDORES'!$A$2:$B$716,2,0)</f>
        <v>1043.22</v>
      </c>
      <c r="O196" s="12">
        <f t="shared" si="41"/>
        <v>281.66940000000005</v>
      </c>
      <c r="Q196" s="7" t="s">
        <v>305</v>
      </c>
      <c r="R196" s="66">
        <v>0.2</v>
      </c>
      <c r="S196" s="94">
        <f>+VLOOKUP(Q196,'PRECIO PROVEEDORES'!$A$2:$B$716,2,0)</f>
        <v>12959</v>
      </c>
      <c r="T196" s="12">
        <f t="shared" si="42"/>
        <v>2591.8000000000002</v>
      </c>
    </row>
    <row r="197" spans="2:20" x14ac:dyDescent="0.2">
      <c r="B197" s="64" t="s">
        <v>237</v>
      </c>
      <c r="C197" s="66">
        <v>0.42</v>
      </c>
      <c r="D197" s="94">
        <f>+VLOOKUP(B197,'PRECIO PROVEEDORES'!$A$2:$B$716,2,0)</f>
        <v>1043.22</v>
      </c>
      <c r="E197" s="12">
        <f t="shared" si="39"/>
        <v>438.1524</v>
      </c>
      <c r="G197" s="64"/>
      <c r="H197" s="66"/>
      <c r="I197" s="94"/>
      <c r="J197" s="12"/>
      <c r="L197" s="64" t="s">
        <v>49</v>
      </c>
      <c r="M197" s="66">
        <v>5.0000000000000001E-3</v>
      </c>
      <c r="N197" s="94">
        <f>+VLOOKUP(L197,'PRECIO PROVEEDORES'!$A$2:$B$716,2,0)</f>
        <v>1633</v>
      </c>
      <c r="O197" s="12">
        <f t="shared" si="41"/>
        <v>8.1650000000000009</v>
      </c>
      <c r="Q197" s="64" t="s">
        <v>241</v>
      </c>
      <c r="R197" s="66">
        <v>0.2</v>
      </c>
      <c r="S197" s="94">
        <f>+VLOOKUP(Q197,'PRECIO PROVEEDORES'!$A$2:$B$716,2,0)</f>
        <v>10203</v>
      </c>
      <c r="T197" s="12">
        <f t="shared" si="42"/>
        <v>2040.6000000000001</v>
      </c>
    </row>
    <row r="198" spans="2:20" x14ac:dyDescent="0.2">
      <c r="B198" s="64"/>
      <c r="C198" s="66"/>
      <c r="D198" s="94"/>
      <c r="E198" s="12"/>
      <c r="G198" s="64" t="s">
        <v>17</v>
      </c>
      <c r="H198" s="66">
        <v>12</v>
      </c>
      <c r="I198" s="94">
        <f>+VLOOKUP(G198,'PRECIO PROVEEDORES'!$A$2:$B$716,2,0)</f>
        <v>192</v>
      </c>
      <c r="J198" s="12">
        <f>+H198*I198</f>
        <v>2304</v>
      </c>
      <c r="L198" s="64" t="s">
        <v>275</v>
      </c>
      <c r="M198" s="66">
        <v>0.06</v>
      </c>
      <c r="N198" s="94">
        <f>+VLOOKUP(L198,'PRECIO PROVEEDORES'!$A$2:$B$716,2,0)</f>
        <v>13205</v>
      </c>
      <c r="O198" s="12">
        <f t="shared" si="41"/>
        <v>792.3</v>
      </c>
      <c r="Q198" s="64" t="s">
        <v>334</v>
      </c>
      <c r="R198" s="66"/>
      <c r="S198" s="94"/>
      <c r="T198" s="12">
        <f>SUM(T194:T197)</f>
        <v>7974.2000000000007</v>
      </c>
    </row>
    <row r="199" spans="2:20" x14ac:dyDescent="0.2">
      <c r="B199" s="64" t="s">
        <v>437</v>
      </c>
      <c r="C199" s="66"/>
      <c r="D199" s="94"/>
      <c r="E199" s="12">
        <f>SUM(E194:E197)</f>
        <v>3582.7523999999999</v>
      </c>
      <c r="G199" s="64"/>
      <c r="H199" s="66"/>
      <c r="I199" s="94"/>
      <c r="J199" s="12"/>
      <c r="L199" s="64" t="s">
        <v>17</v>
      </c>
      <c r="M199" s="66">
        <v>2</v>
      </c>
      <c r="N199" s="94">
        <f>+VLOOKUP(L199,'PRECIO PROVEEDORES'!$A$2:$B$716,2,0)</f>
        <v>192</v>
      </c>
      <c r="O199" s="12">
        <f t="shared" si="41"/>
        <v>384</v>
      </c>
      <c r="Q199" s="64" t="s">
        <v>351</v>
      </c>
      <c r="R199" s="66"/>
      <c r="S199" s="94"/>
      <c r="T199" s="12">
        <f>T198/22</f>
        <v>362.4636363636364</v>
      </c>
    </row>
    <row r="200" spans="2:20" x14ac:dyDescent="0.2">
      <c r="B200" s="64" t="s">
        <v>351</v>
      </c>
      <c r="C200" s="66"/>
      <c r="D200" s="94"/>
      <c r="E200" s="12">
        <f>E199/16</f>
        <v>223.92202499999999</v>
      </c>
      <c r="G200" s="64"/>
      <c r="H200" s="66"/>
      <c r="I200" s="94"/>
      <c r="J200" s="12"/>
      <c r="L200" s="64" t="s">
        <v>265</v>
      </c>
      <c r="M200" s="66">
        <v>5.0000000000000001E-3</v>
      </c>
      <c r="N200" s="94">
        <f>+VLOOKUP(L200,'PRECIO PROVEEDORES'!$A$2:$B$716,2,0)</f>
        <v>2118</v>
      </c>
      <c r="O200" s="12">
        <f t="shared" si="41"/>
        <v>10.59</v>
      </c>
      <c r="Q200" s="64" t="s">
        <v>340</v>
      </c>
      <c r="R200" s="66"/>
      <c r="S200" s="94"/>
      <c r="T200" s="12">
        <f>T198*1000/850</f>
        <v>9381.4117647058829</v>
      </c>
    </row>
    <row r="201" spans="2:20" x14ac:dyDescent="0.2">
      <c r="B201" s="64" t="s">
        <v>340</v>
      </c>
      <c r="C201" s="66"/>
      <c r="D201" s="94"/>
      <c r="E201" s="12">
        <f>E199*1000/800</f>
        <v>4478.4404999999997</v>
      </c>
      <c r="G201" s="64"/>
      <c r="H201" s="66"/>
      <c r="I201" s="94"/>
      <c r="J201" s="12"/>
      <c r="L201" s="64"/>
      <c r="M201" s="66"/>
      <c r="N201" s="94"/>
      <c r="O201" s="12"/>
      <c r="Q201" s="64"/>
      <c r="R201" s="66"/>
      <c r="S201" s="94"/>
      <c r="T201" s="12"/>
    </row>
    <row r="202" spans="2:20" x14ac:dyDescent="0.2">
      <c r="B202" s="71"/>
      <c r="C202" s="66"/>
      <c r="D202" s="69"/>
      <c r="E202" s="12"/>
      <c r="G202" s="71" t="s">
        <v>438</v>
      </c>
      <c r="H202" s="66"/>
      <c r="I202" s="69"/>
      <c r="J202" s="12">
        <f>SUM(J194:J200)</f>
        <v>6236.3440000000001</v>
      </c>
      <c r="L202" s="71" t="s">
        <v>334</v>
      </c>
      <c r="M202" s="66"/>
      <c r="N202" s="69"/>
      <c r="O202" s="12">
        <f>SUM(O194:O200)</f>
        <v>3529.3244000000004</v>
      </c>
      <c r="Q202" s="71"/>
      <c r="R202" s="66"/>
      <c r="S202" s="69"/>
      <c r="T202" s="12"/>
    </row>
    <row r="203" spans="2:20" x14ac:dyDescent="0.2">
      <c r="B203" s="71"/>
      <c r="C203" s="66"/>
      <c r="D203" s="69"/>
      <c r="E203" s="12"/>
      <c r="G203" s="71"/>
      <c r="H203" s="66"/>
      <c r="I203" s="69"/>
      <c r="J203" s="12"/>
      <c r="L203" s="71" t="s">
        <v>351</v>
      </c>
      <c r="M203" s="66"/>
      <c r="N203" s="69"/>
      <c r="O203" s="12">
        <f>O202/18</f>
        <v>196.07357777777781</v>
      </c>
      <c r="Q203" s="71"/>
      <c r="R203" s="66"/>
      <c r="S203" s="69"/>
      <c r="T203" s="12"/>
    </row>
    <row r="204" spans="2:20" x14ac:dyDescent="0.2">
      <c r="B204" s="71"/>
      <c r="C204" s="66"/>
      <c r="D204" s="69"/>
      <c r="E204" s="12"/>
      <c r="G204" s="71"/>
      <c r="H204" s="66"/>
      <c r="I204" s="69"/>
      <c r="J204" s="12"/>
      <c r="L204" s="71" t="s">
        <v>340</v>
      </c>
      <c r="M204" s="66"/>
      <c r="N204" s="69"/>
      <c r="O204" s="12">
        <f>O202*1000/720</f>
        <v>4901.8394444444448</v>
      </c>
      <c r="Q204" s="71"/>
      <c r="R204" s="66"/>
      <c r="S204" s="69"/>
      <c r="T204" s="12"/>
    </row>
    <row r="205" spans="2:20" x14ac:dyDescent="0.2">
      <c r="B205" s="71"/>
      <c r="C205" s="66"/>
      <c r="D205" s="69"/>
      <c r="E205" s="12"/>
      <c r="G205" s="71"/>
      <c r="H205" s="66"/>
      <c r="I205" s="69"/>
      <c r="J205" s="12"/>
      <c r="L205" s="71"/>
      <c r="M205" s="66"/>
      <c r="N205" s="69"/>
      <c r="O205" s="12"/>
      <c r="Q205" s="71"/>
      <c r="R205" s="66"/>
      <c r="S205" s="69"/>
      <c r="T205" s="12"/>
    </row>
    <row r="206" spans="2:20" x14ac:dyDescent="0.2">
      <c r="B206" s="64"/>
      <c r="C206" s="66"/>
      <c r="D206" s="69"/>
      <c r="E206" s="12"/>
      <c r="G206" s="64"/>
      <c r="H206" s="66"/>
      <c r="I206" s="69"/>
      <c r="J206" s="12"/>
      <c r="L206" s="64"/>
      <c r="M206" s="66"/>
      <c r="N206" s="69"/>
      <c r="O206" s="12"/>
      <c r="Q206" s="64"/>
      <c r="R206" s="66"/>
      <c r="S206" s="69"/>
      <c r="T206" s="12"/>
    </row>
    <row r="207" spans="2:20" x14ac:dyDescent="0.2">
      <c r="B207" s="64"/>
      <c r="C207" s="66"/>
      <c r="D207" s="69"/>
      <c r="E207" s="12"/>
      <c r="G207" s="64"/>
      <c r="H207" s="66"/>
      <c r="I207" s="69"/>
      <c r="J207" s="12"/>
      <c r="L207" s="64"/>
      <c r="M207" s="66"/>
      <c r="N207" s="69"/>
      <c r="O207" s="12"/>
      <c r="Q207" s="64"/>
      <c r="R207" s="66"/>
      <c r="S207" s="69"/>
      <c r="T207" s="12"/>
    </row>
    <row r="208" spans="2:20" x14ac:dyDescent="0.2">
      <c r="B208" s="64"/>
      <c r="C208" s="66"/>
      <c r="D208" s="69"/>
      <c r="E208" s="12"/>
      <c r="G208" s="64"/>
      <c r="H208" s="66"/>
      <c r="I208" s="69"/>
      <c r="J208" s="12"/>
      <c r="L208" s="64"/>
      <c r="M208" s="66"/>
      <c r="N208" s="69"/>
      <c r="O208" s="12"/>
      <c r="Q208" s="64"/>
      <c r="R208" s="66"/>
      <c r="S208" s="69"/>
      <c r="T208" s="12"/>
    </row>
    <row r="211" spans="2:20" x14ac:dyDescent="0.2">
      <c r="B211" s="218" t="s">
        <v>439</v>
      </c>
      <c r="C211" s="213"/>
      <c r="D211" s="213"/>
      <c r="E211" s="214"/>
      <c r="G211" s="218" t="s">
        <v>440</v>
      </c>
      <c r="H211" s="213"/>
      <c r="I211" s="213"/>
      <c r="J211" s="214"/>
      <c r="L211" s="218" t="s">
        <v>441</v>
      </c>
      <c r="M211" s="213"/>
      <c r="N211" s="213"/>
      <c r="O211" s="214"/>
      <c r="Q211" s="218" t="s">
        <v>442</v>
      </c>
      <c r="R211" s="213"/>
      <c r="S211" s="213"/>
      <c r="T211" s="214"/>
    </row>
    <row r="212" spans="2:20" x14ac:dyDescent="0.2">
      <c r="B212" s="64"/>
      <c r="C212" s="65" t="s">
        <v>8</v>
      </c>
      <c r="D212" s="7" t="s">
        <v>9</v>
      </c>
      <c r="E212" s="8" t="s">
        <v>10</v>
      </c>
      <c r="G212" s="64"/>
      <c r="H212" s="65" t="s">
        <v>8</v>
      </c>
      <c r="I212" s="7" t="s">
        <v>9</v>
      </c>
      <c r="J212" s="8" t="s">
        <v>10</v>
      </c>
      <c r="L212" s="64"/>
      <c r="M212" s="65" t="s">
        <v>8</v>
      </c>
      <c r="N212" s="7" t="s">
        <v>9</v>
      </c>
      <c r="O212" s="8" t="s">
        <v>10</v>
      </c>
      <c r="Q212" s="64"/>
      <c r="R212" s="65" t="s">
        <v>8</v>
      </c>
      <c r="S212" s="7" t="s">
        <v>9</v>
      </c>
      <c r="T212" s="8" t="s">
        <v>10</v>
      </c>
    </row>
    <row r="213" spans="2:20" x14ac:dyDescent="0.2">
      <c r="B213" s="108" t="s">
        <v>248</v>
      </c>
      <c r="C213" s="66">
        <v>0.03</v>
      </c>
      <c r="D213" s="94">
        <f>+VLOOKUP(B213,'PRECIO PROVEEDORES'!$A$2:$B$716,2,0)</f>
        <v>39988</v>
      </c>
      <c r="E213" s="12">
        <f t="shared" ref="E213:E215" si="43">+C213*D213</f>
        <v>1199.6399999999999</v>
      </c>
      <c r="G213" s="13" t="s">
        <v>247</v>
      </c>
      <c r="H213" s="66">
        <v>0.2</v>
      </c>
      <c r="I213" s="94">
        <f>+VLOOKUP(G213,'PRECIO PROVEEDORES'!$A$2:$B$716,2,0)</f>
        <v>12000</v>
      </c>
      <c r="J213" s="12">
        <f t="shared" ref="J213:J215" si="44">+H213*I213</f>
        <v>2400</v>
      </c>
      <c r="L213" s="66" t="s">
        <v>247</v>
      </c>
      <c r="M213" s="66">
        <v>0.3</v>
      </c>
      <c r="N213" s="94">
        <f>+VLOOKUP(L213,'PRECIO PROVEEDORES'!$A$2:$B$716,2,0)</f>
        <v>12000</v>
      </c>
      <c r="O213" s="12">
        <f t="shared" ref="O213:O220" si="45">+M213*N213</f>
        <v>3600</v>
      </c>
      <c r="Q213" s="66" t="s">
        <v>280</v>
      </c>
      <c r="R213" s="66">
        <v>0.25</v>
      </c>
      <c r="S213" s="94">
        <f>+VLOOKUP(Q213,'PRECIO PROVEEDORES'!$A$2:$B$716,2,0)</f>
        <v>3356</v>
      </c>
      <c r="T213" s="12">
        <f t="shared" ref="T213:T215" si="46">+R213*S213</f>
        <v>839</v>
      </c>
    </row>
    <row r="214" spans="2:20" x14ac:dyDescent="0.2">
      <c r="B214" s="7" t="s">
        <v>305</v>
      </c>
      <c r="C214" s="66">
        <v>0.27</v>
      </c>
      <c r="D214" s="94">
        <f>+VLOOKUP(B214,'PRECIO PROVEEDORES'!$A$2:$B$716,2,0)</f>
        <v>12959</v>
      </c>
      <c r="E214" s="12">
        <f t="shared" si="43"/>
        <v>3498.9300000000003</v>
      </c>
      <c r="G214" s="13" t="s">
        <v>269</v>
      </c>
      <c r="H214" s="66">
        <v>0.2</v>
      </c>
      <c r="I214" s="94">
        <f>+VLOOKUP(G214,'PRECIO PROVEEDORES'!$A$2:$B$716,2,0)</f>
        <v>6600</v>
      </c>
      <c r="J214" s="12">
        <f t="shared" si="44"/>
        <v>1320</v>
      </c>
      <c r="L214" s="64" t="s">
        <v>210</v>
      </c>
      <c r="M214" s="66">
        <v>0.2</v>
      </c>
      <c r="N214" s="94">
        <f>+VLOOKUP(L214,'PRECIO PROVEEDORES'!$A$2:$B$716,2,0)</f>
        <v>1352</v>
      </c>
      <c r="O214" s="12">
        <f t="shared" si="45"/>
        <v>270.40000000000003</v>
      </c>
      <c r="Q214" s="64" t="s">
        <v>210</v>
      </c>
      <c r="R214" s="66">
        <v>0.05</v>
      </c>
      <c r="S214" s="94">
        <f>+VLOOKUP(Q214,'PRECIO PROVEEDORES'!$A$2:$B$716,2,0)</f>
        <v>1352</v>
      </c>
      <c r="T214" s="12">
        <f t="shared" si="46"/>
        <v>67.600000000000009</v>
      </c>
    </row>
    <row r="215" spans="2:20" x14ac:dyDescent="0.2">
      <c r="B215" s="64" t="s">
        <v>443</v>
      </c>
      <c r="C215" s="66">
        <v>0.08</v>
      </c>
      <c r="D215" s="94">
        <f>+VLOOKUP(B215,'PRECIO PROVEEDORES'!$A$2:$B$716,2,0)</f>
        <v>24700</v>
      </c>
      <c r="E215" s="12">
        <f t="shared" si="43"/>
        <v>1976</v>
      </c>
      <c r="G215" s="13" t="s">
        <v>271</v>
      </c>
      <c r="H215" s="66">
        <v>0.8</v>
      </c>
      <c r="I215" s="94">
        <f>+VLOOKUP(G215,'PRECIO PROVEEDORES'!$A$2:$B$716,2,0)</f>
        <v>1684</v>
      </c>
      <c r="J215" s="12">
        <f t="shared" si="44"/>
        <v>1347.2</v>
      </c>
      <c r="L215" s="64" t="s">
        <v>263</v>
      </c>
      <c r="M215" s="66">
        <v>0.1</v>
      </c>
      <c r="N215" s="94">
        <f>+VLOOKUP(L215,'PRECIO PROVEEDORES'!$A$2:$B$716,2,0)</f>
        <v>1624.77</v>
      </c>
      <c r="O215" s="12">
        <f t="shared" si="45"/>
        <v>162.477</v>
      </c>
      <c r="Q215" s="121" t="s">
        <v>444</v>
      </c>
      <c r="R215" s="66">
        <v>2.5000000000000001E-2</v>
      </c>
      <c r="S215" s="94">
        <f>+VLOOKUP(Q215,'PRECIO PROVEEDORES'!$A$2:$B$716,2,0)</f>
        <v>9506</v>
      </c>
      <c r="T215" s="12">
        <f t="shared" si="46"/>
        <v>237.65</v>
      </c>
    </row>
    <row r="216" spans="2:20" x14ac:dyDescent="0.2">
      <c r="B216" s="64"/>
      <c r="C216" s="66"/>
      <c r="D216" s="94"/>
      <c r="E216" s="12"/>
      <c r="G216" s="64"/>
      <c r="H216" s="66"/>
      <c r="I216" s="94"/>
      <c r="J216" s="12"/>
      <c r="L216" s="64" t="s">
        <v>17</v>
      </c>
      <c r="M216" s="66">
        <v>2</v>
      </c>
      <c r="N216" s="94">
        <f>+VLOOKUP(L216,'PRECIO PROVEEDORES'!$A$2:$B$716,2,0)</f>
        <v>192</v>
      </c>
      <c r="O216" s="12">
        <f t="shared" si="45"/>
        <v>384</v>
      </c>
      <c r="Q216" s="64"/>
      <c r="R216" s="66"/>
      <c r="S216" s="94"/>
      <c r="T216" s="12"/>
    </row>
    <row r="217" spans="2:20" x14ac:dyDescent="0.2">
      <c r="B217" s="64" t="s">
        <v>334</v>
      </c>
      <c r="C217" s="66"/>
      <c r="D217" s="94"/>
      <c r="E217" s="12">
        <f>SUM(E213:E215)</f>
        <v>6674.57</v>
      </c>
      <c r="G217" s="64" t="s">
        <v>423</v>
      </c>
      <c r="H217" s="66"/>
      <c r="I217" s="94"/>
      <c r="J217" s="12">
        <f>SUM(J212:J215)</f>
        <v>5067.2</v>
      </c>
      <c r="L217" s="64" t="s">
        <v>280</v>
      </c>
      <c r="M217" s="66">
        <v>0.15</v>
      </c>
      <c r="N217" s="94">
        <f>+VLOOKUP(L217,'PRECIO PROVEEDORES'!$A$2:$B$716,2,0)</f>
        <v>3356</v>
      </c>
      <c r="O217" s="12">
        <f t="shared" si="45"/>
        <v>503.4</v>
      </c>
      <c r="Q217" s="64" t="s">
        <v>445</v>
      </c>
      <c r="R217" s="66"/>
      <c r="S217" s="94"/>
      <c r="T217" s="12">
        <f>SUM(T212:T215)</f>
        <v>1144.25</v>
      </c>
    </row>
    <row r="218" spans="2:20" x14ac:dyDescent="0.2">
      <c r="B218" s="64" t="s">
        <v>351</v>
      </c>
      <c r="C218" s="66"/>
      <c r="D218" s="94"/>
      <c r="E218" s="12">
        <f>E217/8</f>
        <v>834.32124999999996</v>
      </c>
      <c r="G218" s="64"/>
      <c r="H218" s="66"/>
      <c r="I218" s="94"/>
      <c r="J218" s="12"/>
      <c r="L218" s="64" t="s">
        <v>237</v>
      </c>
      <c r="M218" s="66">
        <v>0.46</v>
      </c>
      <c r="N218" s="94">
        <f>+VLOOKUP(L218,'PRECIO PROVEEDORES'!$A$2:$B$716,2,0)</f>
        <v>1043.22</v>
      </c>
      <c r="O218" s="12">
        <f t="shared" si="45"/>
        <v>479.88120000000004</v>
      </c>
      <c r="Q218" s="64" t="s">
        <v>340</v>
      </c>
      <c r="R218" s="66"/>
      <c r="S218" s="94"/>
      <c r="T218" s="12">
        <f>T217*1000/325</f>
        <v>3520.7692307692309</v>
      </c>
    </row>
    <row r="219" spans="2:20" x14ac:dyDescent="0.2">
      <c r="B219" s="64" t="s">
        <v>340</v>
      </c>
      <c r="C219" s="66"/>
      <c r="D219" s="94"/>
      <c r="E219" s="12">
        <f>E217*1000/380</f>
        <v>17564.657894736843</v>
      </c>
      <c r="G219" s="64"/>
      <c r="H219" s="66"/>
      <c r="I219" s="94"/>
      <c r="J219" s="12"/>
      <c r="L219" s="64" t="s">
        <v>266</v>
      </c>
      <c r="M219" s="66">
        <v>8.0000000000000002E-3</v>
      </c>
      <c r="N219" s="94">
        <f>+VLOOKUP(L219,'PRECIO PROVEEDORES'!$A$2:$B$716,2,0)</f>
        <v>6040</v>
      </c>
      <c r="O219" s="12">
        <f t="shared" si="45"/>
        <v>48.32</v>
      </c>
      <c r="Q219" s="64"/>
      <c r="R219" s="66"/>
      <c r="S219" s="94"/>
      <c r="T219" s="12"/>
    </row>
    <row r="220" spans="2:20" x14ac:dyDescent="0.2">
      <c r="B220" s="64"/>
      <c r="C220" s="66"/>
      <c r="D220" s="94"/>
      <c r="E220" s="12"/>
      <c r="G220" s="64"/>
      <c r="H220" s="66"/>
      <c r="I220" s="94"/>
      <c r="J220" s="12"/>
      <c r="L220" s="64" t="s">
        <v>49</v>
      </c>
      <c r="M220" s="66">
        <v>5.0000000000000001E-3</v>
      </c>
      <c r="N220" s="94">
        <f>+VLOOKUP(L220,'PRECIO PROVEEDORES'!$A$2:$B$716,2,0)</f>
        <v>1633</v>
      </c>
      <c r="O220" s="12">
        <f t="shared" si="45"/>
        <v>8.1650000000000009</v>
      </c>
      <c r="Q220" s="64"/>
      <c r="R220" s="66"/>
      <c r="S220" s="94"/>
      <c r="T220" s="12"/>
    </row>
    <row r="221" spans="2:20" x14ac:dyDescent="0.2">
      <c r="B221" s="71"/>
      <c r="C221" s="66"/>
      <c r="D221" s="69"/>
      <c r="E221" s="12"/>
      <c r="G221" s="71"/>
      <c r="H221" s="66"/>
      <c r="I221" s="69"/>
      <c r="J221" s="12"/>
      <c r="L221" s="71"/>
      <c r="M221" s="66"/>
      <c r="N221" s="69"/>
      <c r="O221" s="12"/>
      <c r="Q221" s="71"/>
      <c r="R221" s="66"/>
      <c r="S221" s="69"/>
      <c r="T221" s="12"/>
    </row>
    <row r="222" spans="2:20" x14ac:dyDescent="0.2">
      <c r="B222" s="71"/>
      <c r="C222" s="66"/>
      <c r="D222" s="69"/>
      <c r="E222" s="12"/>
      <c r="G222" s="71"/>
      <c r="H222" s="66"/>
      <c r="I222" s="69"/>
      <c r="J222" s="12"/>
      <c r="L222" s="71" t="s">
        <v>446</v>
      </c>
      <c r="M222" s="66"/>
      <c r="N222" s="69"/>
      <c r="O222" s="12">
        <f>SUM(O213:O220)</f>
        <v>5456.6431999999995</v>
      </c>
      <c r="Q222" s="71"/>
      <c r="R222" s="66"/>
      <c r="S222" s="69"/>
      <c r="T222" s="12"/>
    </row>
    <row r="223" spans="2:20" x14ac:dyDescent="0.2">
      <c r="B223" s="71"/>
      <c r="C223" s="66"/>
      <c r="D223" s="69"/>
      <c r="E223" s="12"/>
      <c r="G223" s="71"/>
      <c r="H223" s="66"/>
      <c r="I223" s="69"/>
      <c r="J223" s="12"/>
      <c r="L223" s="71" t="s">
        <v>340</v>
      </c>
      <c r="M223" s="66"/>
      <c r="N223" s="69"/>
      <c r="O223" s="12">
        <f>O222*1000/1200</f>
        <v>4547.2026666666661</v>
      </c>
      <c r="Q223" s="71"/>
      <c r="R223" s="66"/>
      <c r="S223" s="69"/>
      <c r="T223" s="12"/>
    </row>
    <row r="224" spans="2:20" x14ac:dyDescent="0.2">
      <c r="B224" s="71"/>
      <c r="C224" s="66"/>
      <c r="D224" s="69"/>
      <c r="E224" s="12"/>
      <c r="G224" s="71"/>
      <c r="H224" s="66"/>
      <c r="I224" s="69"/>
      <c r="J224" s="12"/>
      <c r="L224" s="71"/>
      <c r="M224" s="66"/>
      <c r="N224" s="69"/>
      <c r="O224" s="12"/>
      <c r="Q224" s="71"/>
      <c r="R224" s="66"/>
      <c r="S224" s="69"/>
      <c r="T224" s="12"/>
    </row>
    <row r="225" spans="2:20" x14ac:dyDescent="0.2">
      <c r="B225" s="64"/>
      <c r="C225" s="66"/>
      <c r="D225" s="69"/>
      <c r="E225" s="12"/>
      <c r="G225" s="64"/>
      <c r="H225" s="66"/>
      <c r="I225" s="69"/>
      <c r="J225" s="12"/>
      <c r="L225" s="64"/>
      <c r="M225" s="66"/>
      <c r="N225" s="69"/>
      <c r="O225" s="12"/>
      <c r="Q225" s="64"/>
      <c r="R225" s="66"/>
      <c r="S225" s="69"/>
      <c r="T225" s="12"/>
    </row>
    <row r="226" spans="2:20" x14ac:dyDescent="0.2">
      <c r="B226" s="64"/>
      <c r="C226" s="66"/>
      <c r="D226" s="69"/>
      <c r="E226" s="12"/>
      <c r="G226" s="64"/>
      <c r="H226" s="66"/>
      <c r="I226" s="69"/>
      <c r="J226" s="12"/>
      <c r="L226" s="64"/>
      <c r="M226" s="66"/>
      <c r="N226" s="69"/>
      <c r="O226" s="12"/>
      <c r="Q226" s="64"/>
      <c r="R226" s="66"/>
      <c r="S226" s="69"/>
      <c r="T226" s="12"/>
    </row>
    <row r="227" spans="2:20" x14ac:dyDescent="0.2">
      <c r="B227" s="64"/>
      <c r="C227" s="66"/>
      <c r="D227" s="69"/>
      <c r="E227" s="12"/>
      <c r="G227" s="64"/>
      <c r="H227" s="66"/>
      <c r="I227" s="69"/>
      <c r="J227" s="12"/>
      <c r="L227" s="64"/>
      <c r="M227" s="66"/>
      <c r="N227" s="69"/>
      <c r="O227" s="12"/>
      <c r="Q227" s="64"/>
      <c r="R227" s="66"/>
      <c r="S227" s="69"/>
      <c r="T227" s="12"/>
    </row>
    <row r="230" spans="2:20" x14ac:dyDescent="0.2">
      <c r="B230" s="218" t="s">
        <v>447</v>
      </c>
      <c r="C230" s="213"/>
      <c r="D230" s="213"/>
      <c r="E230" s="214"/>
      <c r="G230" s="218" t="s">
        <v>448</v>
      </c>
      <c r="H230" s="213"/>
      <c r="I230" s="213"/>
      <c r="J230" s="214"/>
      <c r="L230" s="218" t="s">
        <v>62</v>
      </c>
      <c r="M230" s="213"/>
      <c r="N230" s="213"/>
      <c r="O230" s="214"/>
      <c r="Q230" s="218"/>
      <c r="R230" s="213"/>
      <c r="S230" s="213"/>
      <c r="T230" s="214"/>
    </row>
    <row r="231" spans="2:20" x14ac:dyDescent="0.2">
      <c r="B231" s="64"/>
      <c r="C231" s="65" t="s">
        <v>8</v>
      </c>
      <c r="D231" s="7" t="s">
        <v>9</v>
      </c>
      <c r="E231" s="8" t="s">
        <v>10</v>
      </c>
      <c r="G231" s="64"/>
      <c r="H231" s="65" t="s">
        <v>8</v>
      </c>
      <c r="I231" s="7" t="s">
        <v>9</v>
      </c>
      <c r="J231" s="8" t="s">
        <v>10</v>
      </c>
      <c r="L231" s="64"/>
      <c r="M231" s="65" t="s">
        <v>8</v>
      </c>
      <c r="N231" s="7" t="s">
        <v>9</v>
      </c>
      <c r="O231" s="8" t="s">
        <v>10</v>
      </c>
      <c r="Q231" s="64"/>
      <c r="R231" s="65" t="s">
        <v>8</v>
      </c>
      <c r="S231" s="7" t="s">
        <v>9</v>
      </c>
      <c r="T231" s="8" t="s">
        <v>10</v>
      </c>
    </row>
    <row r="232" spans="2:20" x14ac:dyDescent="0.2">
      <c r="B232" s="66" t="s">
        <v>210</v>
      </c>
      <c r="C232" s="66">
        <v>0.15</v>
      </c>
      <c r="D232" s="94">
        <f>+VLOOKUP(B232,'PRECIO PROVEEDORES'!$A$2:$B$716,2,0)</f>
        <v>1352</v>
      </c>
      <c r="E232" s="12">
        <f t="shared" ref="E232:E233" si="47">+C232*D232</f>
        <v>202.79999999999998</v>
      </c>
      <c r="G232" s="13" t="s">
        <v>247</v>
      </c>
      <c r="H232" s="66">
        <v>0.1</v>
      </c>
      <c r="I232" s="94">
        <f>+VLOOKUP(G232,'PRECIO PROVEEDORES'!$A$2:$B$716,2,0)</f>
        <v>12000</v>
      </c>
      <c r="J232" s="12">
        <f t="shared" ref="J232:J236" si="48">+H232*I232</f>
        <v>1200</v>
      </c>
      <c r="L232" s="66" t="s">
        <v>68</v>
      </c>
      <c r="M232" s="66">
        <v>5</v>
      </c>
      <c r="N232" s="94">
        <f>+VLOOKUP(L232,'PRECIO PROVEEDORES'!$A$2:$B$716,2,0)</f>
        <v>17289</v>
      </c>
      <c r="O232" s="12">
        <f t="shared" ref="O232:O239" si="49">+M232*N232</f>
        <v>86445</v>
      </c>
      <c r="Q232" s="13" t="s">
        <v>237</v>
      </c>
      <c r="R232" s="10">
        <v>1.8</v>
      </c>
      <c r="S232" s="94">
        <f>+VLOOKUP(Q232,'PRECIO PROVEEDORES'!$A$2:$B$716,2,0)</f>
        <v>1043.22</v>
      </c>
      <c r="T232" s="12">
        <f t="shared" ref="T232:T241" si="50">+R232*S232</f>
        <v>1877.796</v>
      </c>
    </row>
    <row r="233" spans="2:20" x14ac:dyDescent="0.2">
      <c r="B233" s="64" t="s">
        <v>259</v>
      </c>
      <c r="C233" s="66">
        <v>0.15</v>
      </c>
      <c r="D233" s="94">
        <f>+VLOOKUP(B233,'PRECIO PROVEEDORES'!$A$2:$B$716,2,0)</f>
        <v>25872</v>
      </c>
      <c r="E233" s="12">
        <f t="shared" si="47"/>
        <v>3880.7999999999997</v>
      </c>
      <c r="G233" s="7" t="s">
        <v>449</v>
      </c>
      <c r="H233" s="10">
        <v>0.3</v>
      </c>
      <c r="I233" s="94">
        <f>+VLOOKUP(G233,'PRECIO PROVEEDORES'!$A$2:$B$716,2,0)</f>
        <v>9056</v>
      </c>
      <c r="J233" s="12">
        <f t="shared" si="48"/>
        <v>2716.7999999999997</v>
      </c>
      <c r="L233" s="7" t="s">
        <v>450</v>
      </c>
      <c r="M233" s="66">
        <v>2</v>
      </c>
      <c r="N233" s="94">
        <f>+VLOOKUP(L233,'PRECIO PROVEEDORES'!$A$2:$B$716,2,0)</f>
        <v>2000</v>
      </c>
      <c r="O233" s="12">
        <f t="shared" si="49"/>
        <v>4000</v>
      </c>
      <c r="Q233" s="13" t="s">
        <v>239</v>
      </c>
      <c r="R233" s="10">
        <v>0.2</v>
      </c>
      <c r="S233" s="94">
        <f>+VLOOKUP(Q233,'PRECIO PROVEEDORES'!$A$2:$B$716,2,0)</f>
        <v>890</v>
      </c>
      <c r="T233" s="12">
        <f t="shared" si="50"/>
        <v>178</v>
      </c>
    </row>
    <row r="234" spans="2:20" x14ac:dyDescent="0.2">
      <c r="B234" s="64"/>
      <c r="C234" s="66"/>
      <c r="D234" s="94"/>
      <c r="E234" s="12"/>
      <c r="G234" s="13" t="s">
        <v>275</v>
      </c>
      <c r="H234" s="10">
        <v>0.04</v>
      </c>
      <c r="I234" s="94">
        <f>+VLOOKUP(G234,'PRECIO PROVEEDORES'!$A$2:$B$716,2,0)</f>
        <v>13205</v>
      </c>
      <c r="J234" s="12">
        <f t="shared" si="48"/>
        <v>528.20000000000005</v>
      </c>
      <c r="L234" s="64" t="s">
        <v>43</v>
      </c>
      <c r="M234" s="66">
        <v>0.3</v>
      </c>
      <c r="N234" s="94">
        <f>+VLOOKUP(L234,'PRECIO PROVEEDORES'!$A$2:$B$716,2,0)</f>
        <v>1092.5</v>
      </c>
      <c r="O234" s="12">
        <f t="shared" si="49"/>
        <v>327.75</v>
      </c>
      <c r="Q234" s="13" t="s">
        <v>210</v>
      </c>
      <c r="R234" s="10">
        <v>0.25</v>
      </c>
      <c r="S234" s="94">
        <f>+VLOOKUP(Q234,'PRECIO PROVEEDORES'!$A$2:$B$716,2,0)</f>
        <v>1352</v>
      </c>
      <c r="T234" s="12">
        <f t="shared" si="50"/>
        <v>338</v>
      </c>
    </row>
    <row r="235" spans="2:20" x14ac:dyDescent="0.2">
      <c r="B235" s="64" t="s">
        <v>451</v>
      </c>
      <c r="C235" s="66"/>
      <c r="D235" s="94"/>
      <c r="E235" s="12">
        <f>SUM(E231:E233)</f>
        <v>4083.6</v>
      </c>
      <c r="G235" s="13" t="s">
        <v>271</v>
      </c>
      <c r="H235" s="10">
        <v>0.1</v>
      </c>
      <c r="I235" s="94">
        <f>+VLOOKUP(G235,'PRECIO PROVEEDORES'!$A$2:$B$716,2,0)</f>
        <v>1684</v>
      </c>
      <c r="J235" s="12">
        <f t="shared" si="48"/>
        <v>168.4</v>
      </c>
      <c r="L235" s="64" t="s">
        <v>287</v>
      </c>
      <c r="M235" s="66">
        <v>0.25</v>
      </c>
      <c r="N235" s="94">
        <f>+VLOOKUP(L235,'PRECIO PROVEEDORES'!$A$2:$B$716,2,0)</f>
        <v>1650</v>
      </c>
      <c r="O235" s="12">
        <f t="shared" si="49"/>
        <v>412.5</v>
      </c>
      <c r="Q235" s="13" t="s">
        <v>243</v>
      </c>
      <c r="R235" s="10">
        <v>0.02</v>
      </c>
      <c r="S235" s="94">
        <f>+VLOOKUP(Q235,'PRECIO PROVEEDORES'!$A$2:$B$716,2,0)</f>
        <v>17780</v>
      </c>
      <c r="T235" s="12">
        <f t="shared" si="50"/>
        <v>355.6</v>
      </c>
    </row>
    <row r="236" spans="2:20" x14ac:dyDescent="0.2">
      <c r="B236" s="64" t="s">
        <v>340</v>
      </c>
      <c r="C236" s="66"/>
      <c r="D236" s="94"/>
      <c r="E236" s="12">
        <f>E235*1000/300</f>
        <v>13612</v>
      </c>
      <c r="G236" s="13" t="s">
        <v>273</v>
      </c>
      <c r="H236" s="10">
        <v>1.4999999999999999E-2</v>
      </c>
      <c r="I236" s="94">
        <f>+VLOOKUP(G236,'PRECIO PROVEEDORES'!$A$2:$B$716,2,0)</f>
        <v>2191</v>
      </c>
      <c r="J236" s="12">
        <f t="shared" si="48"/>
        <v>32.865000000000002</v>
      </c>
      <c r="L236" s="64" t="s">
        <v>335</v>
      </c>
      <c r="M236" s="66">
        <v>1.4999999999999999E-2</v>
      </c>
      <c r="N236" s="94">
        <f>+VLOOKUP(L236,'PRECIO PROVEEDORES'!$A$2:$B$716,2,0)</f>
        <v>1800</v>
      </c>
      <c r="O236" s="12">
        <f t="shared" si="49"/>
        <v>27</v>
      </c>
      <c r="Q236" s="13" t="s">
        <v>49</v>
      </c>
      <c r="R236" s="10">
        <v>0.04</v>
      </c>
      <c r="S236" s="94">
        <f>+VLOOKUP(Q236,'PRECIO PROVEEDORES'!$A$2:$B$716,2,0)</f>
        <v>1633</v>
      </c>
      <c r="T236" s="12">
        <f t="shared" si="50"/>
        <v>65.320000000000007</v>
      </c>
    </row>
    <row r="237" spans="2:20" x14ac:dyDescent="0.2">
      <c r="B237" s="64"/>
      <c r="C237" s="66"/>
      <c r="D237" s="94"/>
      <c r="E237" s="12"/>
      <c r="G237" s="64"/>
      <c r="H237" s="66"/>
      <c r="I237" s="94"/>
      <c r="J237" s="12"/>
      <c r="L237" s="64" t="s">
        <v>414</v>
      </c>
      <c r="M237" s="66">
        <v>0.02</v>
      </c>
      <c r="N237" s="94">
        <f>+VLOOKUP(L237,'PRECIO PROVEEDORES'!$A$2:$B$716,2,0)</f>
        <v>8000</v>
      </c>
      <c r="O237" s="12">
        <f t="shared" si="49"/>
        <v>160</v>
      </c>
      <c r="Q237" s="13" t="s">
        <v>166</v>
      </c>
      <c r="R237" s="10">
        <v>0.5</v>
      </c>
      <c r="S237" s="94">
        <f>+VLOOKUP(Q237,'PRECIO PROVEEDORES'!$A$2:$B$716,2,0)</f>
        <v>1940</v>
      </c>
      <c r="T237" s="12">
        <f t="shared" si="50"/>
        <v>970</v>
      </c>
    </row>
    <row r="238" spans="2:20" x14ac:dyDescent="0.2">
      <c r="B238" s="64"/>
      <c r="C238" s="66"/>
      <c r="D238" s="94"/>
      <c r="E238" s="12"/>
      <c r="G238" s="64" t="s">
        <v>452</v>
      </c>
      <c r="H238" s="66"/>
      <c r="I238" s="94"/>
      <c r="J238" s="12">
        <f>SUM(J232:J236)</f>
        <v>4646.2649999999994</v>
      </c>
      <c r="L238" s="64" t="s">
        <v>49</v>
      </c>
      <c r="M238" s="66">
        <v>5.0000000000000001E-3</v>
      </c>
      <c r="N238" s="94">
        <f>+VLOOKUP(L238,'PRECIO PROVEEDORES'!$A$2:$B$716,2,0)</f>
        <v>1633</v>
      </c>
      <c r="O238" s="12">
        <f t="shared" si="49"/>
        <v>8.1650000000000009</v>
      </c>
      <c r="Q238" s="13" t="s">
        <v>17</v>
      </c>
      <c r="R238" s="10">
        <v>6</v>
      </c>
      <c r="S238" s="94">
        <f>+VLOOKUP(Q238,'PRECIO PROVEEDORES'!$A$2:$B$716,2,0)</f>
        <v>192</v>
      </c>
      <c r="T238" s="12">
        <f t="shared" si="50"/>
        <v>1152</v>
      </c>
    </row>
    <row r="239" spans="2:20" x14ac:dyDescent="0.2">
      <c r="B239" s="64"/>
      <c r="C239" s="66"/>
      <c r="D239" s="94"/>
      <c r="E239" s="12"/>
      <c r="G239" s="64"/>
      <c r="H239" s="66"/>
      <c r="I239" s="94"/>
      <c r="J239" s="12">
        <f>J238*2</f>
        <v>9292.5299999999988</v>
      </c>
      <c r="L239" s="64" t="s">
        <v>453</v>
      </c>
      <c r="M239" s="66">
        <v>5.0000000000000001E-3</v>
      </c>
      <c r="N239" s="94">
        <f>+VLOOKUP(L239,'PRECIO PROVEEDORES'!$A$2:$B$716,2,0)</f>
        <v>22269</v>
      </c>
      <c r="O239" s="12">
        <f t="shared" si="49"/>
        <v>111.345</v>
      </c>
      <c r="Q239" s="13" t="s">
        <v>242</v>
      </c>
      <c r="R239" s="10">
        <v>0.06</v>
      </c>
      <c r="S239" s="94">
        <f>+VLOOKUP(Q239,'PRECIO PROVEEDORES'!$A$2:$B$716,2,0)</f>
        <v>6062</v>
      </c>
      <c r="T239" s="12">
        <f t="shared" si="50"/>
        <v>363.71999999999997</v>
      </c>
    </row>
    <row r="240" spans="2:20" x14ac:dyDescent="0.2">
      <c r="B240" s="71"/>
      <c r="C240" s="66"/>
      <c r="D240" s="69"/>
      <c r="E240" s="12"/>
      <c r="G240" s="71"/>
      <c r="H240" s="66"/>
      <c r="I240" s="69"/>
      <c r="J240" s="12"/>
      <c r="L240" s="71"/>
      <c r="M240" s="66"/>
      <c r="N240" s="69"/>
      <c r="O240" s="12"/>
      <c r="Q240" s="13" t="s">
        <v>247</v>
      </c>
      <c r="R240" s="10">
        <v>0.56999999999999995</v>
      </c>
      <c r="S240" s="94">
        <f>+VLOOKUP(Q240,'PRECIO PROVEEDORES'!$A$2:$B$716,2,0)</f>
        <v>12000</v>
      </c>
      <c r="T240" s="12">
        <f t="shared" si="50"/>
        <v>6839.9999999999991</v>
      </c>
    </row>
    <row r="241" spans="2:20" x14ac:dyDescent="0.2">
      <c r="B241" s="71"/>
      <c r="C241" s="66"/>
      <c r="D241" s="69"/>
      <c r="E241" s="12"/>
      <c r="G241" s="71"/>
      <c r="H241" s="66"/>
      <c r="I241" s="69"/>
      <c r="J241" s="12"/>
      <c r="L241" s="71" t="s">
        <v>454</v>
      </c>
      <c r="M241" s="66"/>
      <c r="N241" s="69"/>
      <c r="O241" s="12">
        <f>O232+O233+O234+O235+O236+O237+O238+O239</f>
        <v>91491.76</v>
      </c>
      <c r="Q241" s="71" t="s">
        <v>455</v>
      </c>
      <c r="R241" s="122">
        <v>1.1399999999999999</v>
      </c>
      <c r="S241" s="94">
        <f>+VLOOKUP(Q241,'PRECIO PROVEEDORES'!$A$2:$B$716,2,0)</f>
        <v>3109</v>
      </c>
      <c r="T241" s="12">
        <f t="shared" si="50"/>
        <v>3544.2599999999998</v>
      </c>
    </row>
    <row r="242" spans="2:20" x14ac:dyDescent="0.2">
      <c r="B242" s="71"/>
      <c r="C242" s="66"/>
      <c r="D242" s="69"/>
      <c r="E242" s="12"/>
      <c r="G242" s="71"/>
      <c r="H242" s="66"/>
      <c r="I242" s="69"/>
      <c r="J242" s="12"/>
      <c r="L242" s="71" t="s">
        <v>456</v>
      </c>
      <c r="M242" s="66"/>
      <c r="N242" s="69"/>
      <c r="O242" s="12">
        <f>O241*1000/5000</f>
        <v>18298.351999999999</v>
      </c>
      <c r="Q242" s="71"/>
      <c r="R242" s="66"/>
      <c r="S242" s="69"/>
      <c r="T242" s="12"/>
    </row>
    <row r="243" spans="2:20" x14ac:dyDescent="0.2">
      <c r="B243" s="71"/>
      <c r="C243" s="66"/>
      <c r="D243" s="69"/>
      <c r="E243" s="12"/>
      <c r="G243" s="71"/>
      <c r="H243" s="66"/>
      <c r="I243" s="69"/>
      <c r="J243" s="12"/>
      <c r="L243" s="71"/>
      <c r="M243" s="66"/>
      <c r="N243" s="69"/>
      <c r="O243" s="12"/>
      <c r="Q243" s="71" t="s">
        <v>457</v>
      </c>
      <c r="R243" s="66"/>
      <c r="S243" s="69"/>
      <c r="T243" s="12">
        <f>SUM(T232:T241)</f>
        <v>15684.696</v>
      </c>
    </row>
    <row r="244" spans="2:20" x14ac:dyDescent="0.2">
      <c r="B244" s="64"/>
      <c r="C244" s="66"/>
      <c r="D244" s="69"/>
      <c r="E244" s="12"/>
      <c r="G244" s="64"/>
      <c r="H244" s="66"/>
      <c r="I244" s="69"/>
      <c r="J244" s="12"/>
      <c r="L244" s="64"/>
      <c r="M244" s="66"/>
      <c r="N244" s="69"/>
      <c r="O244" s="12"/>
      <c r="Q244" s="64" t="s">
        <v>458</v>
      </c>
      <c r="R244" s="66"/>
      <c r="S244" s="69"/>
      <c r="T244" s="12">
        <f>T243*1000/4870</f>
        <v>3220.6767967145793</v>
      </c>
    </row>
    <row r="245" spans="2:20" x14ac:dyDescent="0.2">
      <c r="B245" s="64"/>
      <c r="C245" s="66"/>
      <c r="D245" s="69"/>
      <c r="E245" s="12"/>
      <c r="G245" s="64"/>
      <c r="H245" s="66"/>
      <c r="I245" s="69"/>
      <c r="J245" s="12"/>
      <c r="L245" s="64"/>
      <c r="M245" s="66"/>
      <c r="N245" s="69"/>
      <c r="O245" s="12"/>
      <c r="Q245" s="64" t="s">
        <v>459</v>
      </c>
      <c r="R245" s="66"/>
      <c r="S245" s="69"/>
      <c r="T245" s="12">
        <f>T243/57</f>
        <v>275.17010526315789</v>
      </c>
    </row>
    <row r="246" spans="2:20" x14ac:dyDescent="0.2">
      <c r="B246" s="64"/>
      <c r="C246" s="66"/>
      <c r="D246" s="69"/>
      <c r="E246" s="12"/>
      <c r="G246" s="64"/>
      <c r="H246" s="66"/>
      <c r="I246" s="69"/>
      <c r="J246" s="12"/>
      <c r="L246" s="64"/>
      <c r="M246" s="66"/>
      <c r="N246" s="69"/>
      <c r="O246" s="12"/>
      <c r="Q246" s="64"/>
      <c r="R246" s="66"/>
      <c r="S246" s="69"/>
      <c r="T246" s="12"/>
    </row>
    <row r="249" spans="2:20" x14ac:dyDescent="0.2">
      <c r="B249" s="218" t="s">
        <v>460</v>
      </c>
      <c r="C249" s="213"/>
      <c r="D249" s="213"/>
      <c r="E249" s="214"/>
      <c r="G249" s="218" t="s">
        <v>461</v>
      </c>
      <c r="H249" s="213"/>
      <c r="I249" s="213"/>
      <c r="J249" s="214"/>
      <c r="L249" s="218" t="s">
        <v>462</v>
      </c>
      <c r="M249" s="213"/>
      <c r="N249" s="213"/>
      <c r="O249" s="214"/>
      <c r="Q249" s="218" t="s">
        <v>463</v>
      </c>
      <c r="R249" s="213"/>
      <c r="S249" s="213"/>
      <c r="T249" s="214"/>
    </row>
    <row r="250" spans="2:20" x14ac:dyDescent="0.2">
      <c r="B250" s="64"/>
      <c r="C250" s="65" t="s">
        <v>8</v>
      </c>
      <c r="D250" s="7" t="s">
        <v>9</v>
      </c>
      <c r="E250" s="8" t="s">
        <v>10</v>
      </c>
      <c r="G250" s="64"/>
      <c r="H250" s="65" t="s">
        <v>8</v>
      </c>
      <c r="I250" s="7" t="s">
        <v>9</v>
      </c>
      <c r="J250" s="8" t="s">
        <v>10</v>
      </c>
      <c r="L250" s="64"/>
      <c r="M250" s="65" t="s">
        <v>8</v>
      </c>
      <c r="N250" s="7" t="s">
        <v>9</v>
      </c>
      <c r="O250" s="8" t="s">
        <v>10</v>
      </c>
      <c r="Q250" s="64"/>
      <c r="R250" s="65" t="s">
        <v>8</v>
      </c>
      <c r="S250" s="7" t="s">
        <v>9</v>
      </c>
      <c r="T250" s="8" t="s">
        <v>10</v>
      </c>
    </row>
    <row r="251" spans="2:20" x14ac:dyDescent="0.2">
      <c r="B251" s="13" t="s">
        <v>237</v>
      </c>
      <c r="C251" s="10">
        <v>2</v>
      </c>
      <c r="D251" s="94">
        <f>+VLOOKUP(B251,'PRECIO PROVEEDORES'!$A$2:$B$716,2,0)</f>
        <v>1043.22</v>
      </c>
      <c r="E251" s="12">
        <f t="shared" ref="E251:E257" si="51">+C251*D251</f>
        <v>2086.44</v>
      </c>
      <c r="G251" s="66" t="s">
        <v>464</v>
      </c>
      <c r="H251" s="66">
        <v>1</v>
      </c>
      <c r="I251" s="94">
        <f>+VLOOKUP(G251,'PRECIO PROVEEDORES'!$A$2:$B$716,2,0)</f>
        <v>15800</v>
      </c>
      <c r="J251" s="12">
        <f t="shared" ref="J251:J255" si="52">+H251*I251</f>
        <v>15800</v>
      </c>
      <c r="L251" s="66" t="s">
        <v>465</v>
      </c>
      <c r="M251" s="66">
        <v>1</v>
      </c>
      <c r="N251" s="94">
        <f>+VLOOKUP(L251,'PRECIO PROVEEDORES'!$A$2:$B$716,2,0)</f>
        <v>3570</v>
      </c>
      <c r="O251" s="12">
        <f t="shared" ref="O251:O258" si="53">+M251*N251</f>
        <v>3570</v>
      </c>
      <c r="Q251" s="13" t="s">
        <v>237</v>
      </c>
      <c r="R251" s="10">
        <v>1.8</v>
      </c>
      <c r="S251" s="94">
        <f>+VLOOKUP(Q251,'PRECIO PROVEEDORES'!$A$2:$B$716,2,0)</f>
        <v>1043.22</v>
      </c>
      <c r="T251" s="12">
        <f t="shared" ref="T251:T259" si="54">+R251*S251</f>
        <v>1877.796</v>
      </c>
    </row>
    <row r="252" spans="2:20" x14ac:dyDescent="0.2">
      <c r="B252" s="13" t="s">
        <v>239</v>
      </c>
      <c r="C252" s="10">
        <v>0.5</v>
      </c>
      <c r="D252" s="94">
        <f>+VLOOKUP(B252,'PRECIO PROVEEDORES'!$A$2:$B$716,2,0)</f>
        <v>890</v>
      </c>
      <c r="E252" s="12">
        <f t="shared" si="51"/>
        <v>445</v>
      </c>
      <c r="G252" s="64" t="s">
        <v>335</v>
      </c>
      <c r="H252" s="66">
        <v>0.02</v>
      </c>
      <c r="I252" s="94">
        <f>+VLOOKUP(G252,'PRECIO PROVEEDORES'!$A$2:$B$716,2,0)</f>
        <v>1800</v>
      </c>
      <c r="J252" s="12">
        <f t="shared" si="52"/>
        <v>36</v>
      </c>
      <c r="L252" s="64" t="s">
        <v>43</v>
      </c>
      <c r="M252" s="66">
        <v>0.25</v>
      </c>
      <c r="N252" s="94">
        <f>+VLOOKUP(L252,'PRECIO PROVEEDORES'!$A$2:$B$716,2,0)</f>
        <v>1092.5</v>
      </c>
      <c r="O252" s="12">
        <f t="shared" si="53"/>
        <v>273.125</v>
      </c>
      <c r="Q252" s="13" t="s">
        <v>239</v>
      </c>
      <c r="R252" s="10">
        <v>0.2</v>
      </c>
      <c r="S252" s="94">
        <f>+VLOOKUP(Q252,'PRECIO PROVEEDORES'!$A$2:$B$716,2,0)</f>
        <v>890</v>
      </c>
      <c r="T252" s="12">
        <f t="shared" si="54"/>
        <v>178</v>
      </c>
    </row>
    <row r="253" spans="2:20" x14ac:dyDescent="0.2">
      <c r="B253" s="13" t="s">
        <v>210</v>
      </c>
      <c r="C253" s="10">
        <v>0.25</v>
      </c>
      <c r="D253" s="94">
        <f>+VLOOKUP(B253,'PRECIO PROVEEDORES'!$A$2:$B$716,2,0)</f>
        <v>1352</v>
      </c>
      <c r="E253" s="12">
        <f t="shared" si="51"/>
        <v>338</v>
      </c>
      <c r="G253" s="64" t="s">
        <v>49</v>
      </c>
      <c r="H253" s="66">
        <v>5.0000000000000001E-3</v>
      </c>
      <c r="I253" s="94">
        <f>+VLOOKUP(G253,'PRECIO PROVEEDORES'!$A$2:$B$716,2,0)</f>
        <v>1633</v>
      </c>
      <c r="J253" s="12">
        <f t="shared" si="52"/>
        <v>8.1650000000000009</v>
      </c>
      <c r="L253" s="7" t="s">
        <v>22</v>
      </c>
      <c r="M253" s="66">
        <v>0.25</v>
      </c>
      <c r="N253" s="94">
        <f>+VLOOKUP(L253,'PRECIO PROVEEDORES'!$A$2:$B$716,2,0)</f>
        <v>4788</v>
      </c>
      <c r="O253" s="12">
        <f t="shared" si="53"/>
        <v>1197</v>
      </c>
      <c r="Q253" s="13" t="s">
        <v>210</v>
      </c>
      <c r="R253" s="10">
        <v>0.25</v>
      </c>
      <c r="S253" s="94">
        <f>+VLOOKUP(Q253,'PRECIO PROVEEDORES'!$A$2:$B$716,2,0)</f>
        <v>1352</v>
      </c>
      <c r="T253" s="12">
        <f t="shared" si="54"/>
        <v>338</v>
      </c>
    </row>
    <row r="254" spans="2:20" x14ac:dyDescent="0.2">
      <c r="B254" s="13" t="s">
        <v>243</v>
      </c>
      <c r="C254" s="10">
        <v>1.6E-2</v>
      </c>
      <c r="D254" s="94">
        <f>+VLOOKUP(B254,'PRECIO PROVEEDORES'!$A$2:$B$716,2,0)</f>
        <v>17780</v>
      </c>
      <c r="E254" s="12">
        <f t="shared" si="51"/>
        <v>284.48</v>
      </c>
      <c r="G254" s="64" t="s">
        <v>453</v>
      </c>
      <c r="H254" s="66">
        <v>5.0000000000000001E-3</v>
      </c>
      <c r="I254" s="94">
        <f>+VLOOKUP(G254,'PRECIO PROVEEDORES'!$A$2:$B$716,2,0)</f>
        <v>22269</v>
      </c>
      <c r="J254" s="12">
        <f t="shared" si="52"/>
        <v>111.345</v>
      </c>
      <c r="L254" s="64" t="s">
        <v>335</v>
      </c>
      <c r="M254" s="66">
        <v>0.02</v>
      </c>
      <c r="N254" s="94">
        <f>+VLOOKUP(L254,'PRECIO PROVEEDORES'!$A$2:$B$716,2,0)</f>
        <v>1800</v>
      </c>
      <c r="O254" s="12">
        <f t="shared" si="53"/>
        <v>36</v>
      </c>
      <c r="Q254" s="13" t="s">
        <v>243</v>
      </c>
      <c r="R254" s="10">
        <v>1.2999999999999999E-2</v>
      </c>
      <c r="S254" s="94">
        <f>+VLOOKUP(Q254,'PRECIO PROVEEDORES'!$A$2:$B$716,2,0)</f>
        <v>17780</v>
      </c>
      <c r="T254" s="12">
        <f t="shared" si="54"/>
        <v>231.14</v>
      </c>
    </row>
    <row r="255" spans="2:20" x14ac:dyDescent="0.2">
      <c r="B255" s="13" t="s">
        <v>17</v>
      </c>
      <c r="C255" s="10">
        <v>3</v>
      </c>
      <c r="D255" s="94">
        <f>+VLOOKUP(B255,'PRECIO PROVEEDORES'!$A$2:$B$716,2,0)</f>
        <v>192</v>
      </c>
      <c r="E255" s="12">
        <f t="shared" si="51"/>
        <v>576</v>
      </c>
      <c r="G255" s="64" t="s">
        <v>17</v>
      </c>
      <c r="H255" s="66">
        <v>1</v>
      </c>
      <c r="I255" s="94">
        <f>+VLOOKUP(G255,'PRECIO PROVEEDORES'!$A$2:$B$716,2,0)</f>
        <v>192</v>
      </c>
      <c r="J255" s="12">
        <f t="shared" si="52"/>
        <v>192</v>
      </c>
      <c r="L255" s="64" t="s">
        <v>466</v>
      </c>
      <c r="M255" s="66">
        <v>5.0000000000000001E-3</v>
      </c>
      <c r="N255" s="94">
        <f>+VLOOKUP(L255,'PRECIO PROVEEDORES'!$A$2:$B$716,2,0)</f>
        <v>6751.8</v>
      </c>
      <c r="O255" s="12">
        <f t="shared" si="53"/>
        <v>33.759</v>
      </c>
      <c r="Q255" s="13" t="s">
        <v>49</v>
      </c>
      <c r="R255" s="10">
        <v>0.04</v>
      </c>
      <c r="S255" s="94">
        <f>+VLOOKUP(Q255,'PRECIO PROVEEDORES'!$A$2:$B$716,2,0)</f>
        <v>1633</v>
      </c>
      <c r="T255" s="12">
        <f t="shared" si="54"/>
        <v>65.320000000000007</v>
      </c>
    </row>
    <row r="256" spans="2:20" x14ac:dyDescent="0.2">
      <c r="B256" s="13" t="s">
        <v>247</v>
      </c>
      <c r="C256" s="10">
        <v>0.7</v>
      </c>
      <c r="D256" s="94">
        <f>+VLOOKUP(B256,'PRECIO PROVEEDORES'!$A$2:$B$716,2,0)</f>
        <v>12000</v>
      </c>
      <c r="E256" s="12">
        <f t="shared" si="51"/>
        <v>8400</v>
      </c>
      <c r="G256" s="64"/>
      <c r="H256" s="66"/>
      <c r="I256" s="94"/>
      <c r="J256" s="12"/>
      <c r="L256" s="64" t="s">
        <v>453</v>
      </c>
      <c r="M256" s="66">
        <v>5.0000000000000001E-3</v>
      </c>
      <c r="N256" s="94">
        <f>+VLOOKUP(L256,'PRECIO PROVEEDORES'!$A$2:$B$716,2,0)</f>
        <v>22269</v>
      </c>
      <c r="O256" s="12">
        <f t="shared" si="53"/>
        <v>111.345</v>
      </c>
      <c r="Q256" s="13" t="s">
        <v>166</v>
      </c>
      <c r="R256" s="10">
        <v>0.5</v>
      </c>
      <c r="S256" s="94">
        <f>+VLOOKUP(Q256,'PRECIO PROVEEDORES'!$A$2:$B$716,2,0)</f>
        <v>1940</v>
      </c>
      <c r="T256" s="12">
        <f t="shared" si="54"/>
        <v>970</v>
      </c>
    </row>
    <row r="257" spans="2:20" x14ac:dyDescent="0.2">
      <c r="B257" s="66" t="s">
        <v>49</v>
      </c>
      <c r="C257" s="103">
        <v>4.3999999999999997E-2</v>
      </c>
      <c r="D257" s="94">
        <f>+VLOOKUP(B257,'PRECIO PROVEEDORES'!$A$2:$B$716,2,0)</f>
        <v>1633</v>
      </c>
      <c r="E257" s="12">
        <f t="shared" si="51"/>
        <v>71.85199999999999</v>
      </c>
      <c r="G257" s="64" t="s">
        <v>467</v>
      </c>
      <c r="H257" s="66"/>
      <c r="I257" s="94"/>
      <c r="J257" s="12">
        <f>SUM(J251:J255)</f>
        <v>16147.51</v>
      </c>
      <c r="L257" s="64" t="s">
        <v>49</v>
      </c>
      <c r="M257" s="66">
        <v>5.0000000000000001E-3</v>
      </c>
      <c r="N257" s="94">
        <f>+VLOOKUP(L257,'PRECIO PROVEEDORES'!$A$2:$B$716,2,0)</f>
        <v>1633</v>
      </c>
      <c r="O257" s="12">
        <f t="shared" si="53"/>
        <v>8.1650000000000009</v>
      </c>
      <c r="Q257" s="13" t="s">
        <v>17</v>
      </c>
      <c r="R257" s="10">
        <v>6</v>
      </c>
      <c r="S257" s="94">
        <f>+VLOOKUP(Q257,'PRECIO PROVEEDORES'!$A$2:$B$716,2,0)</f>
        <v>192</v>
      </c>
      <c r="T257" s="12">
        <f t="shared" si="54"/>
        <v>1152</v>
      </c>
    </row>
    <row r="258" spans="2:20" x14ac:dyDescent="0.2">
      <c r="B258" s="64"/>
      <c r="C258" s="66"/>
      <c r="D258" s="94"/>
      <c r="E258" s="12"/>
      <c r="G258" s="64" t="s">
        <v>340</v>
      </c>
      <c r="H258" s="66"/>
      <c r="I258" s="94"/>
      <c r="J258" s="12">
        <f>J257*1000/1050</f>
        <v>15378.580952380953</v>
      </c>
      <c r="L258" s="64" t="s">
        <v>46</v>
      </c>
      <c r="M258" s="66">
        <v>5.0000000000000001E-3</v>
      </c>
      <c r="N258" s="94">
        <f>+VLOOKUP(L258,'PRECIO PROVEEDORES'!$A$2:$B$716,2,0)</f>
        <v>10164</v>
      </c>
      <c r="O258" s="12">
        <f t="shared" si="53"/>
        <v>50.82</v>
      </c>
      <c r="Q258" s="13" t="s">
        <v>242</v>
      </c>
      <c r="R258" s="10">
        <v>0.06</v>
      </c>
      <c r="S258" s="94">
        <f>+VLOOKUP(Q258,'PRECIO PROVEEDORES'!$A$2:$B$716,2,0)</f>
        <v>6062</v>
      </c>
      <c r="T258" s="12">
        <f t="shared" si="54"/>
        <v>363.71999999999997</v>
      </c>
    </row>
    <row r="259" spans="2:20" x14ac:dyDescent="0.2">
      <c r="B259" s="71" t="s">
        <v>468</v>
      </c>
      <c r="C259" s="66"/>
      <c r="D259" s="69"/>
      <c r="E259" s="12">
        <f>SUM(E251:E257)</f>
        <v>12201.772000000001</v>
      </c>
      <c r="G259" s="71"/>
      <c r="H259" s="66"/>
      <c r="I259" s="69"/>
      <c r="J259" s="12"/>
      <c r="L259" s="71"/>
      <c r="M259" s="66"/>
      <c r="N259" s="69"/>
      <c r="O259" s="12"/>
      <c r="Q259" s="13" t="s">
        <v>247</v>
      </c>
      <c r="R259" s="10">
        <v>1.07</v>
      </c>
      <c r="S259" s="94">
        <f>+VLOOKUP(Q259,'PRECIO PROVEEDORES'!$A$2:$B$716,2,0)</f>
        <v>12000</v>
      </c>
      <c r="T259" s="12">
        <f t="shared" si="54"/>
        <v>12840</v>
      </c>
    </row>
    <row r="260" spans="2:20" x14ac:dyDescent="0.2">
      <c r="B260" s="71" t="s">
        <v>469</v>
      </c>
      <c r="C260" s="66"/>
      <c r="D260" s="69"/>
      <c r="E260" s="12">
        <f>E259*1000/3650</f>
        <v>3342.9512328767123</v>
      </c>
      <c r="G260" s="71"/>
      <c r="H260" s="66"/>
      <c r="I260" s="69"/>
      <c r="J260" s="12"/>
      <c r="L260" s="71" t="s">
        <v>470</v>
      </c>
      <c r="M260" s="66"/>
      <c r="N260" s="69"/>
      <c r="O260" s="12">
        <f>SUM(O251:O258)</f>
        <v>5280.2139999999999</v>
      </c>
      <c r="Q260" s="71"/>
      <c r="R260" s="66"/>
      <c r="S260" s="69"/>
      <c r="T260" s="12"/>
    </row>
    <row r="261" spans="2:20" x14ac:dyDescent="0.2">
      <c r="B261" s="71"/>
      <c r="C261" s="66"/>
      <c r="D261" s="69"/>
      <c r="E261" s="12"/>
      <c r="G261" s="71"/>
      <c r="H261" s="66"/>
      <c r="I261" s="69"/>
      <c r="J261" s="12"/>
      <c r="L261" s="71" t="s">
        <v>471</v>
      </c>
      <c r="M261" s="66"/>
      <c r="N261" s="69"/>
      <c r="O261" s="12">
        <f>O260*1000/2500</f>
        <v>2112.0855999999999</v>
      </c>
      <c r="Q261" s="71" t="s">
        <v>472</v>
      </c>
      <c r="R261" s="66"/>
      <c r="S261" s="69"/>
      <c r="T261" s="12">
        <f>SUM(T251:T259)</f>
        <v>18015.976000000002</v>
      </c>
    </row>
    <row r="262" spans="2:20" x14ac:dyDescent="0.2">
      <c r="B262" s="71"/>
      <c r="C262" s="66"/>
      <c r="D262" s="69"/>
      <c r="E262" s="12"/>
      <c r="G262" s="71"/>
      <c r="H262" s="66"/>
      <c r="I262" s="69"/>
      <c r="J262" s="12"/>
      <c r="L262" s="71"/>
      <c r="M262" s="66"/>
      <c r="N262" s="69"/>
      <c r="O262" s="12"/>
      <c r="Q262" s="71" t="s">
        <v>340</v>
      </c>
      <c r="R262" s="66"/>
      <c r="S262" s="69"/>
      <c r="T262" s="12">
        <f>T261*1000/3600</f>
        <v>5004.437777777779</v>
      </c>
    </row>
    <row r="263" spans="2:20" x14ac:dyDescent="0.2">
      <c r="B263" s="64"/>
      <c r="C263" s="66"/>
      <c r="D263" s="69"/>
      <c r="E263" s="12"/>
      <c r="G263" s="64"/>
      <c r="H263" s="66"/>
      <c r="I263" s="69"/>
      <c r="J263" s="12"/>
      <c r="L263" s="64"/>
      <c r="M263" s="66"/>
      <c r="N263" s="69"/>
      <c r="O263" s="12"/>
      <c r="Q263" s="64"/>
      <c r="R263" s="66"/>
      <c r="S263" s="69"/>
      <c r="T263" s="12"/>
    </row>
    <row r="264" spans="2:20" x14ac:dyDescent="0.2">
      <c r="B264" s="64"/>
      <c r="C264" s="66"/>
      <c r="D264" s="69"/>
      <c r="E264" s="12"/>
      <c r="G264" s="64"/>
      <c r="H264" s="66"/>
      <c r="I264" s="69"/>
      <c r="J264" s="12"/>
      <c r="L264" s="64"/>
      <c r="M264" s="66"/>
      <c r="N264" s="69"/>
      <c r="O264" s="12"/>
      <c r="Q264" s="64"/>
      <c r="R264" s="66"/>
      <c r="S264" s="69"/>
      <c r="T264" s="12"/>
    </row>
    <row r="265" spans="2:20" x14ac:dyDescent="0.2">
      <c r="B265" s="64"/>
      <c r="C265" s="66"/>
      <c r="D265" s="69"/>
      <c r="E265" s="12"/>
      <c r="G265" s="64"/>
      <c r="H265" s="66"/>
      <c r="I265" s="69"/>
      <c r="J265" s="12"/>
      <c r="L265" s="64"/>
      <c r="M265" s="66"/>
      <c r="N265" s="69"/>
      <c r="O265" s="12"/>
      <c r="Q265" s="64"/>
      <c r="R265" s="66"/>
      <c r="S265" s="69"/>
      <c r="T265" s="12"/>
    </row>
    <row r="268" spans="2:20" x14ac:dyDescent="0.2">
      <c r="B268" s="218" t="s">
        <v>473</v>
      </c>
      <c r="C268" s="213"/>
      <c r="D268" s="213"/>
      <c r="E268" s="214"/>
      <c r="G268" s="218" t="s">
        <v>474</v>
      </c>
      <c r="H268" s="213"/>
      <c r="I268" s="213"/>
      <c r="J268" s="214"/>
      <c r="L268" s="218" t="s">
        <v>475</v>
      </c>
      <c r="M268" s="213"/>
      <c r="N268" s="213"/>
      <c r="O268" s="214"/>
      <c r="Q268" s="218" t="s">
        <v>476</v>
      </c>
      <c r="R268" s="213"/>
      <c r="S268" s="213"/>
      <c r="T268" s="214"/>
    </row>
    <row r="269" spans="2:20" x14ac:dyDescent="0.2">
      <c r="B269" s="64"/>
      <c r="C269" s="65" t="s">
        <v>8</v>
      </c>
      <c r="D269" s="7" t="s">
        <v>9</v>
      </c>
      <c r="E269" s="8" t="s">
        <v>10</v>
      </c>
      <c r="G269" s="64"/>
      <c r="H269" s="65" t="s">
        <v>8</v>
      </c>
      <c r="I269" s="7" t="s">
        <v>9</v>
      </c>
      <c r="J269" s="8" t="s">
        <v>10</v>
      </c>
      <c r="L269" s="64"/>
      <c r="M269" s="65" t="s">
        <v>8</v>
      </c>
      <c r="N269" s="7" t="s">
        <v>9</v>
      </c>
      <c r="O269" s="8" t="s">
        <v>10</v>
      </c>
      <c r="Q269" s="64"/>
      <c r="R269" s="65" t="s">
        <v>8</v>
      </c>
      <c r="S269" s="7" t="s">
        <v>9</v>
      </c>
      <c r="T269" s="8" t="s">
        <v>10</v>
      </c>
    </row>
    <row r="270" spans="2:20" x14ac:dyDescent="0.2">
      <c r="B270" s="7" t="s">
        <v>38</v>
      </c>
      <c r="C270" s="66">
        <v>1</v>
      </c>
      <c r="D270" s="94">
        <f>+VLOOKUP(B270,'PRECIO PROVEEDORES'!$A$2:$B$716,2,0)</f>
        <v>3330</v>
      </c>
      <c r="E270" s="12">
        <f t="shared" ref="E270:E281" si="55">+C270*D270</f>
        <v>3330</v>
      </c>
      <c r="G270" s="66" t="s">
        <v>219</v>
      </c>
      <c r="H270" s="66">
        <v>1</v>
      </c>
      <c r="I270" s="94">
        <f>+VLOOKUP(G270,'PRECIO PROVEEDORES'!$A$2:$B$716,2,0)</f>
        <v>2017.07</v>
      </c>
      <c r="J270" s="12">
        <f t="shared" ref="J270:J273" si="56">+H270*I270</f>
        <v>2017.07</v>
      </c>
      <c r="L270" s="7" t="s">
        <v>477</v>
      </c>
      <c r="M270" s="66">
        <v>1</v>
      </c>
      <c r="N270" s="94">
        <f>+VLOOKUP(L270,'PRECIO PROVEEDORES'!$A$2:$B$716,2,0)</f>
        <v>3231.45</v>
      </c>
      <c r="O270" s="12">
        <f t="shared" ref="O270:O274" si="57">+M270*N270</f>
        <v>3231.45</v>
      </c>
      <c r="Q270" s="7" t="s">
        <v>478</v>
      </c>
      <c r="R270" s="66">
        <v>0.1</v>
      </c>
      <c r="S270" s="94">
        <f>+VLOOKUP(Q270,'PRECIO PROVEEDORES'!$A$2:$B$716,2,0)</f>
        <v>18460</v>
      </c>
      <c r="T270" s="12">
        <f t="shared" ref="T270:T272" si="58">+R270*S270</f>
        <v>1846</v>
      </c>
    </row>
    <row r="271" spans="2:20" x14ac:dyDescent="0.2">
      <c r="B271" s="64" t="s">
        <v>43</v>
      </c>
      <c r="C271" s="66">
        <v>0.4</v>
      </c>
      <c r="D271" s="94">
        <f>+VLOOKUP(B271,'PRECIO PROVEEDORES'!$A$2:$B$716,2,0)</f>
        <v>1092.5</v>
      </c>
      <c r="E271" s="12">
        <f t="shared" si="55"/>
        <v>437</v>
      </c>
      <c r="G271" s="64" t="s">
        <v>210</v>
      </c>
      <c r="H271" s="66">
        <v>0.24199999999999999</v>
      </c>
      <c r="I271" s="94">
        <f>+VLOOKUP(G271,'PRECIO PROVEEDORES'!$A$2:$B$716,2,0)</f>
        <v>1352</v>
      </c>
      <c r="J271" s="12">
        <f t="shared" si="56"/>
        <v>327.18399999999997</v>
      </c>
      <c r="L271" s="64" t="s">
        <v>479</v>
      </c>
      <c r="M271" s="66">
        <v>0.15</v>
      </c>
      <c r="N271" s="94">
        <f>+VLOOKUP(L271,'PRECIO PROVEEDORES'!$A$2:$B$716,2,0)</f>
        <v>18460</v>
      </c>
      <c r="O271" s="12">
        <f t="shared" si="57"/>
        <v>2769</v>
      </c>
      <c r="Q271" s="7" t="s">
        <v>34</v>
      </c>
      <c r="R271" s="66">
        <v>0.1</v>
      </c>
      <c r="S271" s="94">
        <f>+VLOOKUP(Q271,'PRECIO PROVEEDORES'!$A$2:$B$716,2,0)</f>
        <v>5917</v>
      </c>
      <c r="T271" s="12">
        <f t="shared" si="58"/>
        <v>591.70000000000005</v>
      </c>
    </row>
    <row r="272" spans="2:20" x14ac:dyDescent="0.2">
      <c r="B272" s="121" t="s">
        <v>335</v>
      </c>
      <c r="C272" s="66">
        <v>0.02</v>
      </c>
      <c r="D272" s="94">
        <f>+VLOOKUP(B272,'PRECIO PROVEEDORES'!$A$2:$B$716,2,0)</f>
        <v>1800</v>
      </c>
      <c r="E272" s="12">
        <f t="shared" si="55"/>
        <v>36</v>
      </c>
      <c r="G272" s="121" t="s">
        <v>17</v>
      </c>
      <c r="H272" s="66">
        <v>12</v>
      </c>
      <c r="I272" s="94">
        <f>+VLOOKUP(G272,'PRECIO PROVEEDORES'!$A$2:$B$716,2,0)</f>
        <v>192</v>
      </c>
      <c r="J272" s="12">
        <f t="shared" si="56"/>
        <v>2304</v>
      </c>
      <c r="L272" s="7" t="s">
        <v>34</v>
      </c>
      <c r="M272" s="66">
        <v>0.15</v>
      </c>
      <c r="N272" s="94">
        <f>+VLOOKUP(L272,'PRECIO PROVEEDORES'!$A$2:$B$716,2,0)</f>
        <v>5917</v>
      </c>
      <c r="O272" s="12">
        <f t="shared" si="57"/>
        <v>887.55</v>
      </c>
      <c r="Q272" s="7" t="s">
        <v>480</v>
      </c>
      <c r="R272" s="66">
        <v>0.1</v>
      </c>
      <c r="S272" s="94">
        <f>+VLOOKUP(Q272,'PRECIO PROVEEDORES'!$A$2:$B$716,2,0)</f>
        <v>3000</v>
      </c>
      <c r="T272" s="12">
        <f t="shared" si="58"/>
        <v>300</v>
      </c>
    </row>
    <row r="273" spans="2:20" x14ac:dyDescent="0.2">
      <c r="B273" s="7" t="s">
        <v>481</v>
      </c>
      <c r="C273" s="66">
        <v>0.4</v>
      </c>
      <c r="D273" s="94">
        <f>+VLOOKUP(B273,'PRECIO PROVEEDORES'!$A$2:$B$716,2,0)</f>
        <v>6250</v>
      </c>
      <c r="E273" s="12">
        <f t="shared" si="55"/>
        <v>2500</v>
      </c>
      <c r="G273" s="64" t="s">
        <v>273</v>
      </c>
      <c r="H273" s="66">
        <v>0.08</v>
      </c>
      <c r="I273" s="94">
        <f>+VLOOKUP(G273,'PRECIO PROVEEDORES'!$A$2:$B$716,2,0)</f>
        <v>2191</v>
      </c>
      <c r="J273" s="12">
        <f t="shared" si="56"/>
        <v>175.28</v>
      </c>
      <c r="L273" s="64" t="s">
        <v>220</v>
      </c>
      <c r="M273" s="66">
        <v>0.05</v>
      </c>
      <c r="N273" s="94">
        <f>+VLOOKUP(L273,'PRECIO PROVEEDORES'!$A$2:$B$716,2,0)</f>
        <v>3000</v>
      </c>
      <c r="O273" s="12">
        <f t="shared" si="57"/>
        <v>150</v>
      </c>
      <c r="Q273" s="64"/>
      <c r="R273" s="66"/>
      <c r="S273" s="94"/>
      <c r="T273" s="12"/>
    </row>
    <row r="274" spans="2:20" x14ac:dyDescent="0.2">
      <c r="B274" s="7" t="s">
        <v>482</v>
      </c>
      <c r="C274" s="66">
        <v>0.4</v>
      </c>
      <c r="D274" s="94">
        <f>+VLOOKUP(B274,'PRECIO PROVEEDORES'!$A$2:$B$716,2,0)</f>
        <v>4160</v>
      </c>
      <c r="E274" s="12">
        <f t="shared" si="55"/>
        <v>1664</v>
      </c>
      <c r="G274" s="64"/>
      <c r="H274" s="66"/>
      <c r="I274" s="94"/>
      <c r="J274" s="12"/>
      <c r="L274" s="64" t="s">
        <v>11</v>
      </c>
      <c r="M274" s="66">
        <v>0.05</v>
      </c>
      <c r="N274" s="94">
        <f>+VLOOKUP(L274,'PRECIO PROVEEDORES'!$A$2:$B$716,2,0)</f>
        <v>7449.2</v>
      </c>
      <c r="O274" s="12">
        <f t="shared" si="57"/>
        <v>372.46000000000004</v>
      </c>
      <c r="Q274" s="64" t="s">
        <v>483</v>
      </c>
      <c r="R274" s="66"/>
      <c r="S274" s="94"/>
      <c r="T274" s="12">
        <f>SUM(T269:T272)</f>
        <v>2737.7</v>
      </c>
    </row>
    <row r="275" spans="2:20" x14ac:dyDescent="0.2">
      <c r="B275" s="64" t="s">
        <v>46</v>
      </c>
      <c r="C275" s="66">
        <v>5.0000000000000001E-3</v>
      </c>
      <c r="D275" s="94">
        <f>+VLOOKUP(B275,'PRECIO PROVEEDORES'!$A$2:$B$716,2,0)</f>
        <v>10164</v>
      </c>
      <c r="E275" s="12">
        <f t="shared" si="55"/>
        <v>50.82</v>
      </c>
      <c r="G275" s="64" t="s">
        <v>484</v>
      </c>
      <c r="H275" s="66"/>
      <c r="I275" s="94"/>
      <c r="J275" s="12">
        <f>SUM(J270:J273)</f>
        <v>4823.5339999999997</v>
      </c>
      <c r="L275" s="64"/>
      <c r="M275" s="66"/>
      <c r="N275" s="94"/>
      <c r="O275" s="12"/>
      <c r="Q275" s="64" t="s">
        <v>340</v>
      </c>
      <c r="R275" s="66"/>
      <c r="S275" s="94"/>
      <c r="T275" s="12">
        <f>T274*1000/300</f>
        <v>9125.6666666666661</v>
      </c>
    </row>
    <row r="276" spans="2:20" x14ac:dyDescent="0.2">
      <c r="B276" s="64" t="s">
        <v>453</v>
      </c>
      <c r="C276" s="66">
        <v>5.0000000000000001E-3</v>
      </c>
      <c r="D276" s="94">
        <f>+VLOOKUP(B276,'PRECIO PROVEEDORES'!$A$2:$B$716,2,0)</f>
        <v>22269</v>
      </c>
      <c r="E276" s="12">
        <f t="shared" si="55"/>
        <v>111.345</v>
      </c>
      <c r="G276" s="64"/>
      <c r="H276" s="66"/>
      <c r="I276" s="94"/>
      <c r="J276" s="12">
        <f>J275*1000/1400</f>
        <v>3445.3814285714284</v>
      </c>
      <c r="L276" s="64" t="s">
        <v>485</v>
      </c>
      <c r="M276" s="66"/>
      <c r="N276" s="94"/>
      <c r="O276" s="12">
        <f>SUM(O270:O274)</f>
        <v>7410.46</v>
      </c>
      <c r="Q276" s="64"/>
      <c r="R276" s="66"/>
      <c r="S276" s="94"/>
      <c r="T276" s="12"/>
    </row>
    <row r="277" spans="2:20" x14ac:dyDescent="0.2">
      <c r="B277" s="64" t="s">
        <v>245</v>
      </c>
      <c r="C277" s="66">
        <v>5.0000000000000001E-3</v>
      </c>
      <c r="D277" s="94">
        <f>+VLOOKUP(B277,'PRECIO PROVEEDORES'!$A$2:$B$716,2,0)</f>
        <v>2517</v>
      </c>
      <c r="E277" s="12">
        <f t="shared" si="55"/>
        <v>12.585000000000001</v>
      </c>
      <c r="G277" s="64"/>
      <c r="H277" s="66"/>
      <c r="I277" s="94"/>
      <c r="J277" s="12"/>
      <c r="L277" s="64" t="s">
        <v>340</v>
      </c>
      <c r="M277" s="66"/>
      <c r="N277" s="94"/>
      <c r="O277" s="12">
        <f>O276*1000/620</f>
        <v>11952.354838709678</v>
      </c>
      <c r="Q277" s="64"/>
      <c r="R277" s="66"/>
      <c r="S277" s="94"/>
      <c r="T277" s="12"/>
    </row>
    <row r="278" spans="2:20" x14ac:dyDescent="0.2">
      <c r="B278" s="71" t="s">
        <v>239</v>
      </c>
      <c r="C278" s="66">
        <v>0.03</v>
      </c>
      <c r="D278" s="94">
        <f>+VLOOKUP(B278,'PRECIO PROVEEDORES'!$A$2:$B$716,2,0)</f>
        <v>890</v>
      </c>
      <c r="E278" s="12">
        <f t="shared" si="55"/>
        <v>26.7</v>
      </c>
      <c r="G278" s="71"/>
      <c r="H278" s="66"/>
      <c r="I278" s="69"/>
      <c r="J278" s="12"/>
      <c r="L278" s="71"/>
      <c r="M278" s="66"/>
      <c r="N278" s="69"/>
      <c r="O278" s="12"/>
      <c r="Q278" s="71"/>
      <c r="R278" s="66"/>
      <c r="S278" s="69"/>
      <c r="T278" s="12"/>
    </row>
    <row r="279" spans="2:20" x14ac:dyDescent="0.2">
      <c r="B279" s="71" t="s">
        <v>220</v>
      </c>
      <c r="C279" s="66">
        <v>0.05</v>
      </c>
      <c r="D279" s="94">
        <f>+VLOOKUP(B279,'PRECIO PROVEEDORES'!$A$2:$B$716,2,0)</f>
        <v>3000</v>
      </c>
      <c r="E279" s="12">
        <f t="shared" si="55"/>
        <v>150</v>
      </c>
      <c r="G279" s="71"/>
      <c r="H279" s="66"/>
      <c r="I279" s="69"/>
      <c r="J279" s="12"/>
      <c r="L279" s="71"/>
      <c r="M279" s="66"/>
      <c r="N279" s="69"/>
      <c r="O279" s="12"/>
      <c r="Q279" s="71"/>
      <c r="R279" s="66"/>
      <c r="S279" s="69"/>
      <c r="T279" s="12"/>
    </row>
    <row r="280" spans="2:20" x14ac:dyDescent="0.2">
      <c r="B280" s="71" t="s">
        <v>49</v>
      </c>
      <c r="C280" s="66">
        <v>0.01</v>
      </c>
      <c r="D280" s="94">
        <f>+VLOOKUP(B280,'PRECIO PROVEEDORES'!$A$2:$B$716,2,0)</f>
        <v>1633</v>
      </c>
      <c r="E280" s="12">
        <f t="shared" si="55"/>
        <v>16.330000000000002</v>
      </c>
      <c r="G280" s="71"/>
      <c r="H280" s="66"/>
      <c r="I280" s="69"/>
      <c r="J280" s="12"/>
      <c r="L280" s="71"/>
      <c r="M280" s="66"/>
      <c r="N280" s="69"/>
      <c r="O280" s="12"/>
      <c r="Q280" s="71"/>
      <c r="R280" s="66"/>
      <c r="S280" s="69"/>
      <c r="T280" s="12"/>
    </row>
    <row r="281" spans="2:20" x14ac:dyDescent="0.2">
      <c r="B281" s="71" t="s">
        <v>486</v>
      </c>
      <c r="C281" s="66">
        <v>0.25</v>
      </c>
      <c r="D281" s="94">
        <f>+VLOOKUP(B281,'PRECIO PROVEEDORES'!$A$2:$B$716,2,0)</f>
        <v>4788</v>
      </c>
      <c r="E281" s="12">
        <f t="shared" si="55"/>
        <v>1197</v>
      </c>
      <c r="G281" s="71"/>
      <c r="H281" s="66"/>
      <c r="I281" s="69"/>
      <c r="J281" s="12"/>
      <c r="L281" s="71"/>
      <c r="M281" s="66"/>
      <c r="N281" s="69"/>
      <c r="O281" s="12"/>
      <c r="Q281" s="71"/>
      <c r="R281" s="66"/>
      <c r="S281" s="69"/>
      <c r="T281" s="12"/>
    </row>
    <row r="282" spans="2:20" x14ac:dyDescent="0.2">
      <c r="B282" s="64" t="s">
        <v>487</v>
      </c>
      <c r="C282" s="66"/>
      <c r="D282" s="69"/>
      <c r="E282" s="12">
        <f>SUM(E269:E280)</f>
        <v>8334.7800000000007</v>
      </c>
      <c r="G282" s="64"/>
      <c r="H282" s="66"/>
      <c r="I282" s="69"/>
      <c r="J282" s="12"/>
      <c r="L282" s="64"/>
      <c r="M282" s="66"/>
      <c r="N282" s="69"/>
      <c r="O282" s="12"/>
      <c r="Q282" s="64"/>
      <c r="R282" s="66"/>
      <c r="S282" s="69"/>
      <c r="T282" s="12"/>
    </row>
    <row r="283" spans="2:20" x14ac:dyDescent="0.2">
      <c r="B283" s="64" t="s">
        <v>340</v>
      </c>
      <c r="C283" s="66"/>
      <c r="D283" s="69"/>
      <c r="E283" s="12">
        <f>E282*1000/1400</f>
        <v>5953.4142857142861</v>
      </c>
      <c r="G283" s="64"/>
      <c r="H283" s="66"/>
      <c r="I283" s="69"/>
      <c r="J283" s="12"/>
      <c r="L283" s="64"/>
      <c r="M283" s="66"/>
      <c r="N283" s="69"/>
      <c r="O283" s="12"/>
      <c r="Q283" s="64"/>
      <c r="R283" s="66"/>
      <c r="S283" s="69"/>
      <c r="T283" s="12"/>
    </row>
    <row r="284" spans="2:20" x14ac:dyDescent="0.2">
      <c r="B284" s="64"/>
      <c r="C284" s="66"/>
      <c r="D284" s="69"/>
      <c r="E284" s="12"/>
      <c r="G284" s="64"/>
      <c r="H284" s="66"/>
      <c r="I284" s="69"/>
      <c r="J284" s="12"/>
      <c r="L284" s="64"/>
      <c r="M284" s="66"/>
      <c r="N284" s="69"/>
      <c r="O284" s="12"/>
      <c r="Q284" s="64"/>
      <c r="R284" s="66"/>
      <c r="S284" s="69"/>
      <c r="T284" s="12"/>
    </row>
    <row r="287" spans="2:20" x14ac:dyDescent="0.2">
      <c r="B287" s="218" t="s">
        <v>488</v>
      </c>
      <c r="C287" s="213"/>
      <c r="D287" s="213"/>
      <c r="E287" s="214"/>
      <c r="G287" s="218" t="s">
        <v>489</v>
      </c>
      <c r="H287" s="213"/>
      <c r="I287" s="213"/>
      <c r="J287" s="214"/>
      <c r="L287" s="218" t="s">
        <v>490</v>
      </c>
      <c r="M287" s="213"/>
      <c r="N287" s="213"/>
      <c r="O287" s="214"/>
      <c r="Q287" s="218" t="s">
        <v>491</v>
      </c>
      <c r="R287" s="213"/>
      <c r="S287" s="213"/>
      <c r="T287" s="214"/>
    </row>
    <row r="288" spans="2:20" x14ac:dyDescent="0.2">
      <c r="B288" s="64"/>
      <c r="C288" s="65" t="s">
        <v>8</v>
      </c>
      <c r="D288" s="7" t="s">
        <v>9</v>
      </c>
      <c r="E288" s="8" t="s">
        <v>10</v>
      </c>
      <c r="G288" s="64"/>
      <c r="H288" s="65" t="s">
        <v>8</v>
      </c>
      <c r="I288" s="7" t="s">
        <v>9</v>
      </c>
      <c r="J288" s="8" t="s">
        <v>10</v>
      </c>
      <c r="L288" s="64"/>
      <c r="M288" s="65" t="s">
        <v>8</v>
      </c>
      <c r="N288" s="7" t="s">
        <v>9</v>
      </c>
      <c r="O288" s="8" t="s">
        <v>10</v>
      </c>
      <c r="Q288" s="64"/>
      <c r="R288" s="65" t="s">
        <v>8</v>
      </c>
      <c r="S288" s="7" t="s">
        <v>9</v>
      </c>
      <c r="T288" s="8" t="s">
        <v>10</v>
      </c>
    </row>
    <row r="289" spans="2:20" x14ac:dyDescent="0.2">
      <c r="B289" s="7" t="s">
        <v>239</v>
      </c>
      <c r="C289" s="10">
        <v>12.54</v>
      </c>
      <c r="D289" s="94">
        <f>+VLOOKUP(B289,'PRECIO PROVEEDORES'!$A$2:$B$716,2,0)</f>
        <v>890</v>
      </c>
      <c r="E289" s="12">
        <f t="shared" ref="E289:E294" si="59">+C289*D289</f>
        <v>11160.599999999999</v>
      </c>
      <c r="G289" s="66" t="s">
        <v>239</v>
      </c>
      <c r="H289" s="68">
        <v>10</v>
      </c>
      <c r="I289" s="94">
        <f>+VLOOKUP(G289,'PRECIO PROVEEDORES'!$A$2:$B$716,2,0)</f>
        <v>890</v>
      </c>
      <c r="J289" s="12">
        <f t="shared" ref="J289:J291" si="60">+H289*I289</f>
        <v>8900</v>
      </c>
      <c r="L289" s="66" t="s">
        <v>319</v>
      </c>
      <c r="M289" s="66">
        <v>0.25</v>
      </c>
      <c r="N289" s="94">
        <f>+VLOOKUP(L289,'PRECIO PROVEEDORES'!$A$2:$B$716,2,0)</f>
        <v>1043.22</v>
      </c>
      <c r="O289" s="12">
        <f t="shared" ref="O289:O294" si="61">+M289*N289</f>
        <v>260.80500000000001</v>
      </c>
      <c r="Q289" s="66" t="s">
        <v>319</v>
      </c>
      <c r="R289" s="66">
        <v>0.2</v>
      </c>
      <c r="S289" s="94">
        <f>+VLOOKUP(Q289,'PRECIO PROVEEDORES'!$A$2:$B$716,2,0)</f>
        <v>1043.22</v>
      </c>
      <c r="T289" s="12">
        <f t="shared" ref="T289:T295" si="62">+R289*S289</f>
        <v>208.64400000000001</v>
      </c>
    </row>
    <row r="290" spans="2:20" x14ac:dyDescent="0.2">
      <c r="B290" s="13" t="s">
        <v>492</v>
      </c>
      <c r="C290" s="10">
        <v>0.48</v>
      </c>
      <c r="D290" s="94">
        <f>+VLOOKUP(B290,'PRECIO PROVEEDORES'!$A$2:$B$716,2,0)</f>
        <v>10373</v>
      </c>
      <c r="E290" s="12">
        <f t="shared" si="59"/>
        <v>4979.04</v>
      </c>
      <c r="G290" s="64" t="s">
        <v>243</v>
      </c>
      <c r="H290" s="68">
        <v>0.2</v>
      </c>
      <c r="I290" s="94">
        <f>+VLOOKUP(G290,'PRECIO PROVEEDORES'!$A$2:$B$716,2,0)</f>
        <v>17780</v>
      </c>
      <c r="J290" s="12">
        <f t="shared" si="60"/>
        <v>3556</v>
      </c>
      <c r="L290" s="64" t="s">
        <v>301</v>
      </c>
      <c r="M290" s="66">
        <v>0.11</v>
      </c>
      <c r="N290" s="94">
        <f>+VLOOKUP(L290,'PRECIO PROVEEDORES'!$A$2:$B$716,2,0)</f>
        <v>1684</v>
      </c>
      <c r="O290" s="12">
        <f t="shared" si="61"/>
        <v>185.24</v>
      </c>
      <c r="Q290" s="64" t="s">
        <v>301</v>
      </c>
      <c r="R290" s="66">
        <v>0.11</v>
      </c>
      <c r="S290" s="94">
        <f>+VLOOKUP(Q290,'PRECIO PROVEEDORES'!$A$2:$B$716,2,0)</f>
        <v>1684</v>
      </c>
      <c r="T290" s="12">
        <f t="shared" si="62"/>
        <v>185.24</v>
      </c>
    </row>
    <row r="291" spans="2:20" x14ac:dyDescent="0.2">
      <c r="B291" s="7" t="s">
        <v>210</v>
      </c>
      <c r="C291" s="10">
        <v>0.12</v>
      </c>
      <c r="D291" s="94">
        <f>+VLOOKUP(B291,'PRECIO PROVEEDORES'!$A$2:$B$716,2,0)</f>
        <v>1352</v>
      </c>
      <c r="E291" s="12">
        <f t="shared" si="59"/>
        <v>162.23999999999998</v>
      </c>
      <c r="G291" s="121" t="s">
        <v>49</v>
      </c>
      <c r="H291" s="68">
        <v>0.2</v>
      </c>
      <c r="I291" s="94">
        <f>+VLOOKUP(G291,'PRECIO PROVEEDORES'!$A$2:$B$716,2,0)</f>
        <v>1633</v>
      </c>
      <c r="J291" s="12">
        <f t="shared" si="60"/>
        <v>326.60000000000002</v>
      </c>
      <c r="L291" s="121" t="s">
        <v>151</v>
      </c>
      <c r="M291" s="66">
        <v>5.0000000000000001E-3</v>
      </c>
      <c r="N291" s="94">
        <f>+VLOOKUP(L291,'PRECIO PROVEEDORES'!$A$2:$B$716,2,0)</f>
        <v>1633</v>
      </c>
      <c r="O291" s="12">
        <f t="shared" si="61"/>
        <v>8.1650000000000009</v>
      </c>
      <c r="Q291" s="121" t="s">
        <v>151</v>
      </c>
      <c r="R291" s="66">
        <v>5.0000000000000001E-3</v>
      </c>
      <c r="S291" s="94">
        <f>+VLOOKUP(Q291,'PRECIO PROVEEDORES'!$A$2:$B$716,2,0)</f>
        <v>1633</v>
      </c>
      <c r="T291" s="12">
        <f t="shared" si="62"/>
        <v>8.1650000000000009</v>
      </c>
    </row>
    <row r="292" spans="2:20" x14ac:dyDescent="0.2">
      <c r="B292" s="13" t="s">
        <v>192</v>
      </c>
      <c r="C292" s="10">
        <v>7.54</v>
      </c>
      <c r="D292" s="94">
        <f>+VLOOKUP(B292,'PRECIO PROVEEDORES'!$A$2:$B$716,2,0)</f>
        <v>400</v>
      </c>
      <c r="E292" s="12">
        <f t="shared" si="59"/>
        <v>3016</v>
      </c>
      <c r="G292" s="64" t="s">
        <v>367</v>
      </c>
      <c r="H292" s="68">
        <v>6.22</v>
      </c>
      <c r="I292" s="94"/>
      <c r="J292" s="12"/>
      <c r="L292" s="64" t="s">
        <v>493</v>
      </c>
      <c r="M292" s="66">
        <v>0.15</v>
      </c>
      <c r="N292" s="94">
        <f>+VLOOKUP(L292,'PRECIO PROVEEDORES'!$A$2:$B$716,2,0)</f>
        <v>12000</v>
      </c>
      <c r="O292" s="12">
        <f t="shared" si="61"/>
        <v>1800</v>
      </c>
      <c r="Q292" s="64" t="s">
        <v>493</v>
      </c>
      <c r="R292" s="66">
        <v>0.15</v>
      </c>
      <c r="S292" s="94">
        <f>+VLOOKUP(Q292,'PRECIO PROVEEDORES'!$A$2:$B$716,2,0)</f>
        <v>12000</v>
      </c>
      <c r="T292" s="12">
        <f t="shared" si="62"/>
        <v>1800</v>
      </c>
    </row>
    <row r="293" spans="2:20" x14ac:dyDescent="0.2">
      <c r="B293" s="13" t="s">
        <v>115</v>
      </c>
      <c r="C293" s="10">
        <v>0.22</v>
      </c>
      <c r="D293" s="94">
        <f>+VLOOKUP(B293,'PRECIO PROVEEDORES'!$A$2:$B$716,2,0)</f>
        <v>4299.01</v>
      </c>
      <c r="E293" s="12">
        <f t="shared" si="59"/>
        <v>945.7822000000001</v>
      </c>
      <c r="G293" s="64" t="s">
        <v>494</v>
      </c>
      <c r="H293" s="66"/>
      <c r="I293" s="94"/>
      <c r="J293" s="12">
        <f>SUM(J288:J291)</f>
        <v>12782.6</v>
      </c>
      <c r="L293" s="64" t="s">
        <v>97</v>
      </c>
      <c r="M293" s="66">
        <v>2</v>
      </c>
      <c r="N293" s="94">
        <f>+VLOOKUP(L293,'PRECIO PROVEEDORES'!$A$2:$B$716,2,0)</f>
        <v>192</v>
      </c>
      <c r="O293" s="12">
        <f t="shared" si="61"/>
        <v>384</v>
      </c>
      <c r="Q293" s="64" t="s">
        <v>97</v>
      </c>
      <c r="R293" s="66">
        <v>2</v>
      </c>
      <c r="S293" s="94">
        <f>+VLOOKUP(Q293,'PRECIO PROVEEDORES'!$A$2:$B$716,2,0)</f>
        <v>192</v>
      </c>
      <c r="T293" s="12">
        <f t="shared" si="62"/>
        <v>384</v>
      </c>
    </row>
    <row r="294" spans="2:20" x14ac:dyDescent="0.2">
      <c r="B294" s="7" t="s">
        <v>49</v>
      </c>
      <c r="C294" s="10">
        <v>0.24</v>
      </c>
      <c r="D294" s="94">
        <f>+VLOOKUP(B294,'PRECIO PROVEEDORES'!$A$2:$B$716,2,0)</f>
        <v>1633</v>
      </c>
      <c r="E294" s="12">
        <f t="shared" si="59"/>
        <v>391.91999999999996</v>
      </c>
      <c r="G294" s="64" t="s">
        <v>495</v>
      </c>
      <c r="H294" s="66"/>
      <c r="I294" s="94"/>
      <c r="J294" s="12">
        <f>J293*3.33</f>
        <v>42566.058000000005</v>
      </c>
      <c r="L294" s="64" t="s">
        <v>249</v>
      </c>
      <c r="M294" s="66">
        <v>5.0000000000000001E-3</v>
      </c>
      <c r="N294" s="94">
        <f>+VLOOKUP(L294,'PRECIO PROVEEDORES'!$A$2:$B$716,2,0)</f>
        <v>2118</v>
      </c>
      <c r="O294" s="12">
        <f t="shared" si="61"/>
        <v>10.59</v>
      </c>
      <c r="Q294" s="64" t="s">
        <v>249</v>
      </c>
      <c r="R294" s="66">
        <v>5.0000000000000001E-3</v>
      </c>
      <c r="S294" s="94">
        <f>+VLOOKUP(Q294,'PRECIO PROVEEDORES'!$A$2:$B$716,2,0)</f>
        <v>2118</v>
      </c>
      <c r="T294" s="12">
        <f t="shared" si="62"/>
        <v>10.59</v>
      </c>
    </row>
    <row r="295" spans="2:20" x14ac:dyDescent="0.2">
      <c r="B295" s="64"/>
      <c r="C295" s="66"/>
      <c r="D295" s="94"/>
      <c r="E295" s="12"/>
      <c r="G295" s="64"/>
      <c r="H295" s="66"/>
      <c r="I295" s="94"/>
      <c r="J295" s="12"/>
      <c r="L295" s="64"/>
      <c r="M295" s="66"/>
      <c r="N295" s="94"/>
      <c r="O295" s="12"/>
      <c r="Q295" s="64" t="s">
        <v>267</v>
      </c>
      <c r="R295" s="66"/>
      <c r="S295" s="94">
        <f>+VLOOKUP(Q295,'PRECIO PROVEEDORES'!$A$2:$B$716,2,0)</f>
        <v>13205</v>
      </c>
      <c r="T295" s="12">
        <f t="shared" si="62"/>
        <v>0</v>
      </c>
    </row>
    <row r="296" spans="2:20" x14ac:dyDescent="0.2">
      <c r="B296" s="64" t="s">
        <v>494</v>
      </c>
      <c r="C296" s="66"/>
      <c r="D296" s="94"/>
      <c r="E296" s="12">
        <f>SUM(E288:E294)</f>
        <v>20655.582199999997</v>
      </c>
      <c r="G296" s="64"/>
      <c r="H296" s="66"/>
      <c r="I296" s="94"/>
      <c r="J296" s="12"/>
      <c r="L296" s="64" t="s">
        <v>454</v>
      </c>
      <c r="M296" s="66"/>
      <c r="N296" s="94"/>
      <c r="O296" s="12">
        <f>SUM(O288:O294)</f>
        <v>2648.8</v>
      </c>
      <c r="Q296" s="64"/>
      <c r="R296" s="66"/>
      <c r="S296" s="94"/>
      <c r="T296" s="12"/>
    </row>
    <row r="297" spans="2:20" x14ac:dyDescent="0.2">
      <c r="B297" s="71" t="s">
        <v>495</v>
      </c>
      <c r="C297" s="66"/>
      <c r="D297" s="69"/>
      <c r="E297" s="12">
        <f>E296*3.33</f>
        <v>68783.088725999987</v>
      </c>
      <c r="G297" s="71"/>
      <c r="H297" s="66"/>
      <c r="I297" s="69"/>
      <c r="J297" s="12"/>
      <c r="L297" s="71" t="s">
        <v>496</v>
      </c>
      <c r="M297" s="66"/>
      <c r="N297" s="69"/>
      <c r="O297" s="12">
        <f>O296/8</f>
        <v>331.1</v>
      </c>
      <c r="Q297" s="64" t="s">
        <v>454</v>
      </c>
      <c r="R297" s="66"/>
      <c r="S297" s="94"/>
      <c r="T297" s="12">
        <f>SUM(T289:T295)</f>
        <v>2596.6390000000001</v>
      </c>
    </row>
    <row r="298" spans="2:20" x14ac:dyDescent="0.2">
      <c r="B298" s="71"/>
      <c r="C298" s="66"/>
      <c r="D298" s="69"/>
      <c r="E298" s="12"/>
      <c r="G298" s="71"/>
      <c r="H298" s="66"/>
      <c r="I298" s="69"/>
      <c r="J298" s="12"/>
      <c r="L298" s="71"/>
      <c r="M298" s="66"/>
      <c r="N298" s="69"/>
      <c r="O298" s="12"/>
      <c r="Q298" s="71" t="s">
        <v>496</v>
      </c>
      <c r="R298" s="66"/>
      <c r="S298" s="69"/>
      <c r="T298" s="12">
        <f>T297/8</f>
        <v>324.57987500000002</v>
      </c>
    </row>
    <row r="299" spans="2:20" x14ac:dyDescent="0.2">
      <c r="B299" s="71"/>
      <c r="C299" s="66"/>
      <c r="D299" s="69"/>
      <c r="E299" s="12"/>
      <c r="G299" s="71"/>
      <c r="H299" s="66"/>
      <c r="I299" s="69"/>
      <c r="J299" s="12"/>
      <c r="L299" s="71"/>
      <c r="M299" s="66"/>
      <c r="N299" s="69"/>
      <c r="O299" s="12"/>
      <c r="Q299" s="71"/>
      <c r="R299" s="66"/>
      <c r="S299" s="69"/>
      <c r="T299" s="12"/>
    </row>
    <row r="300" spans="2:20" x14ac:dyDescent="0.2">
      <c r="B300" s="71"/>
      <c r="C300" s="66"/>
      <c r="D300" s="69"/>
      <c r="E300" s="12"/>
      <c r="G300" s="71"/>
      <c r="H300" s="66"/>
      <c r="I300" s="69"/>
      <c r="J300" s="12"/>
      <c r="L300" s="71"/>
      <c r="M300" s="66"/>
      <c r="N300" s="69"/>
      <c r="O300" s="12"/>
      <c r="Q300" s="71"/>
      <c r="R300" s="66"/>
      <c r="S300" s="69"/>
      <c r="T300" s="12"/>
    </row>
    <row r="301" spans="2:20" x14ac:dyDescent="0.2">
      <c r="B301" s="64"/>
      <c r="C301" s="66"/>
      <c r="D301" s="69"/>
      <c r="E301" s="12"/>
      <c r="G301" s="64"/>
      <c r="H301" s="66"/>
      <c r="I301" s="69"/>
      <c r="J301" s="12"/>
      <c r="L301" s="64"/>
      <c r="M301" s="66"/>
      <c r="N301" s="69"/>
      <c r="O301" s="12"/>
      <c r="Q301" s="64"/>
      <c r="R301" s="66"/>
      <c r="S301" s="69"/>
      <c r="T301" s="12"/>
    </row>
    <row r="302" spans="2:20" x14ac:dyDescent="0.2">
      <c r="B302" s="64"/>
      <c r="C302" s="66"/>
      <c r="D302" s="69"/>
      <c r="E302" s="12"/>
      <c r="G302" s="64"/>
      <c r="H302" s="66"/>
      <c r="I302" s="69"/>
      <c r="J302" s="12"/>
      <c r="L302" s="64"/>
      <c r="M302" s="66"/>
      <c r="N302" s="69"/>
      <c r="O302" s="12"/>
      <c r="Q302" s="64"/>
      <c r="R302" s="66"/>
      <c r="S302" s="69"/>
      <c r="T302" s="12"/>
    </row>
    <row r="303" spans="2:20" x14ac:dyDescent="0.2">
      <c r="B303" s="64"/>
      <c r="C303" s="66"/>
      <c r="D303" s="69"/>
      <c r="E303" s="12"/>
      <c r="G303" s="64"/>
      <c r="H303" s="66"/>
      <c r="I303" s="69"/>
      <c r="J303" s="12"/>
      <c r="L303" s="64"/>
      <c r="M303" s="66"/>
      <c r="N303" s="69"/>
      <c r="O303" s="12"/>
      <c r="Q303" s="64"/>
      <c r="R303" s="66"/>
      <c r="S303" s="69"/>
      <c r="T303" s="12"/>
    </row>
    <row r="306" spans="2:20" x14ac:dyDescent="0.2">
      <c r="B306" s="218" t="s">
        <v>491</v>
      </c>
      <c r="C306" s="213"/>
      <c r="D306" s="213"/>
      <c r="E306" s="214"/>
      <c r="G306" s="218" t="s">
        <v>497</v>
      </c>
      <c r="H306" s="213"/>
      <c r="I306" s="213"/>
      <c r="J306" s="214"/>
      <c r="L306" s="218" t="s">
        <v>497</v>
      </c>
      <c r="M306" s="213"/>
      <c r="N306" s="213"/>
      <c r="O306" s="214"/>
      <c r="Q306" s="218" t="s">
        <v>497</v>
      </c>
      <c r="R306" s="213"/>
      <c r="S306" s="213"/>
      <c r="T306" s="214"/>
    </row>
    <row r="307" spans="2:20" x14ac:dyDescent="0.2">
      <c r="B307" s="64"/>
      <c r="C307" s="65" t="s">
        <v>8</v>
      </c>
      <c r="D307" s="7" t="s">
        <v>9</v>
      </c>
      <c r="E307" s="8" t="s">
        <v>10</v>
      </c>
      <c r="G307" s="64"/>
      <c r="H307" s="65" t="s">
        <v>8</v>
      </c>
      <c r="I307" s="7" t="s">
        <v>9</v>
      </c>
      <c r="J307" s="8" t="s">
        <v>10</v>
      </c>
      <c r="L307" s="64"/>
      <c r="M307" s="65" t="s">
        <v>8</v>
      </c>
      <c r="N307" s="7" t="s">
        <v>9</v>
      </c>
      <c r="O307" s="8" t="s">
        <v>10</v>
      </c>
      <c r="Q307" s="64"/>
      <c r="R307" s="65" t="s">
        <v>8</v>
      </c>
      <c r="S307" s="7" t="s">
        <v>9</v>
      </c>
      <c r="T307" s="8" t="s">
        <v>10</v>
      </c>
    </row>
    <row r="308" spans="2:20" x14ac:dyDescent="0.2">
      <c r="B308" s="66" t="s">
        <v>319</v>
      </c>
      <c r="C308" s="66">
        <v>0.2</v>
      </c>
      <c r="D308" s="94">
        <v>1043.22</v>
      </c>
      <c r="E308" s="12">
        <v>208.64400000000001</v>
      </c>
      <c r="G308" s="66"/>
      <c r="H308" s="66"/>
      <c r="I308" s="94" t="e">
        <f>+VLOOKUP(G308,'PRECIO PROVEEDORES'!$A$2:$B$716,2,0)</f>
        <v>#N/A</v>
      </c>
      <c r="J308" s="12" t="e">
        <f t="shared" ref="J308:J310" si="63">+H308*I308</f>
        <v>#N/A</v>
      </c>
      <c r="L308" s="66"/>
      <c r="M308" s="66"/>
      <c r="N308" s="94" t="e">
        <f>+VLOOKUP(L308,'PRECIO PROVEEDORES'!$A$2:$B$716,2,0)</f>
        <v>#N/A</v>
      </c>
      <c r="O308" s="12" t="e">
        <f t="shared" ref="O308:O310" si="64">+M308*N308</f>
        <v>#N/A</v>
      </c>
      <c r="Q308" s="66"/>
      <c r="R308" s="66"/>
      <c r="S308" s="94" t="e">
        <f>+VLOOKUP(Q308,'PRECIO PROVEEDORES'!$A$2:$B$716,2,0)</f>
        <v>#N/A</v>
      </c>
      <c r="T308" s="12" t="e">
        <f t="shared" ref="T308:T310" si="65">+R308*S308</f>
        <v>#N/A</v>
      </c>
    </row>
    <row r="309" spans="2:20" x14ac:dyDescent="0.2">
      <c r="B309" s="64" t="s">
        <v>301</v>
      </c>
      <c r="C309" s="66">
        <v>0.11</v>
      </c>
      <c r="D309" s="94">
        <v>1684</v>
      </c>
      <c r="E309" s="12">
        <v>185.24</v>
      </c>
      <c r="G309" s="64"/>
      <c r="H309" s="66"/>
      <c r="I309" s="94" t="e">
        <f>+VLOOKUP(G309,'PRECIO PROVEEDORES'!$A$2:$B$716,2,0)</f>
        <v>#N/A</v>
      </c>
      <c r="J309" s="12" t="e">
        <f t="shared" si="63"/>
        <v>#N/A</v>
      </c>
      <c r="L309" s="64"/>
      <c r="M309" s="66"/>
      <c r="N309" s="94" t="e">
        <f>+VLOOKUP(L309,'PRECIO PROVEEDORES'!$A$2:$B$716,2,0)</f>
        <v>#N/A</v>
      </c>
      <c r="O309" s="12" t="e">
        <f t="shared" si="64"/>
        <v>#N/A</v>
      </c>
      <c r="Q309" s="64"/>
      <c r="R309" s="66"/>
      <c r="S309" s="94" t="e">
        <f>+VLOOKUP(Q309,'PRECIO PROVEEDORES'!$A$2:$B$716,2,0)</f>
        <v>#N/A</v>
      </c>
      <c r="T309" s="12" t="e">
        <f t="shared" si="65"/>
        <v>#N/A</v>
      </c>
    </row>
    <row r="310" spans="2:20" x14ac:dyDescent="0.2">
      <c r="B310" s="121" t="s">
        <v>151</v>
      </c>
      <c r="C310" s="66">
        <v>5.0000000000000001E-3</v>
      </c>
      <c r="D310" s="94">
        <v>1633</v>
      </c>
      <c r="E310" s="12">
        <v>8.1650000000000009</v>
      </c>
      <c r="G310" s="121"/>
      <c r="H310" s="66"/>
      <c r="I310" s="94" t="e">
        <f>+VLOOKUP(G310,'PRECIO PROVEEDORES'!$A$2:$B$716,2,0)</f>
        <v>#N/A</v>
      </c>
      <c r="J310" s="12" t="e">
        <f t="shared" si="63"/>
        <v>#N/A</v>
      </c>
      <c r="L310" s="121"/>
      <c r="M310" s="66"/>
      <c r="N310" s="94" t="e">
        <f>+VLOOKUP(L310,'PRECIO PROVEEDORES'!$A$2:$B$716,2,0)</f>
        <v>#N/A</v>
      </c>
      <c r="O310" s="12" t="e">
        <f t="shared" si="64"/>
        <v>#N/A</v>
      </c>
      <c r="Q310" s="121"/>
      <c r="R310" s="66"/>
      <c r="S310" s="94" t="e">
        <f>+VLOOKUP(Q310,'PRECIO PROVEEDORES'!$A$2:$B$716,2,0)</f>
        <v>#N/A</v>
      </c>
      <c r="T310" s="12" t="e">
        <f t="shared" si="65"/>
        <v>#N/A</v>
      </c>
    </row>
    <row r="311" spans="2:20" x14ac:dyDescent="0.2">
      <c r="B311" s="64" t="s">
        <v>493</v>
      </c>
      <c r="C311" s="66">
        <v>0.15</v>
      </c>
      <c r="D311" s="94">
        <v>12000</v>
      </c>
      <c r="E311" s="12">
        <v>1800</v>
      </c>
      <c r="G311" s="64"/>
      <c r="H311" s="66"/>
      <c r="I311" s="94"/>
      <c r="J311" s="12"/>
      <c r="L311" s="64"/>
      <c r="M311" s="66"/>
      <c r="N311" s="94"/>
      <c r="O311" s="12"/>
      <c r="Q311" s="64"/>
      <c r="R311" s="66"/>
      <c r="S311" s="94"/>
      <c r="T311" s="12"/>
    </row>
    <row r="312" spans="2:20" x14ac:dyDescent="0.2">
      <c r="B312" s="64" t="s">
        <v>97</v>
      </c>
      <c r="C312" s="66">
        <v>2</v>
      </c>
      <c r="D312" s="94">
        <v>192</v>
      </c>
      <c r="E312" s="12">
        <v>384</v>
      </c>
      <c r="G312" s="64"/>
      <c r="H312" s="66"/>
      <c r="I312" s="94"/>
      <c r="J312" s="12" t="e">
        <f>SUM(J307:J310)</f>
        <v>#N/A</v>
      </c>
      <c r="L312" s="64"/>
      <c r="M312" s="66"/>
      <c r="N312" s="94"/>
      <c r="O312" s="12" t="e">
        <f>SUM(O307:O310)</f>
        <v>#N/A</v>
      </c>
      <c r="Q312" s="64"/>
      <c r="R312" s="66"/>
      <c r="S312" s="94"/>
      <c r="T312" s="12" t="e">
        <f>SUM(T307:T310)</f>
        <v>#N/A</v>
      </c>
    </row>
    <row r="313" spans="2:20" x14ac:dyDescent="0.2">
      <c r="B313" s="64" t="s">
        <v>249</v>
      </c>
      <c r="C313" s="66">
        <v>5.0000000000000001E-3</v>
      </c>
      <c r="D313" s="94">
        <v>2118</v>
      </c>
      <c r="E313" s="12">
        <v>10.59</v>
      </c>
      <c r="G313" s="64"/>
      <c r="H313" s="66"/>
      <c r="I313" s="94"/>
      <c r="J313" s="12" t="e">
        <f>J312*1000/325</f>
        <v>#N/A</v>
      </c>
      <c r="L313" s="64"/>
      <c r="M313" s="66"/>
      <c r="N313" s="94"/>
      <c r="O313" s="12" t="e">
        <f>O312*1000/325</f>
        <v>#N/A</v>
      </c>
      <c r="Q313" s="64"/>
      <c r="R313" s="66"/>
      <c r="S313" s="94"/>
      <c r="T313" s="12" t="e">
        <f>T312*1000/325</f>
        <v>#N/A</v>
      </c>
    </row>
    <row r="314" spans="2:20" x14ac:dyDescent="0.2">
      <c r="B314" s="64" t="s">
        <v>267</v>
      </c>
      <c r="C314" s="66">
        <v>0.05</v>
      </c>
      <c r="D314" s="94">
        <v>13205</v>
      </c>
      <c r="E314" s="12">
        <v>0</v>
      </c>
      <c r="G314" s="64"/>
      <c r="H314" s="66"/>
      <c r="I314" s="94"/>
      <c r="J314" s="12"/>
      <c r="L314" s="64"/>
      <c r="M314" s="66"/>
      <c r="N314" s="94"/>
      <c r="O314" s="12"/>
      <c r="Q314" s="64"/>
      <c r="R314" s="66"/>
      <c r="S314" s="94"/>
      <c r="T314" s="12"/>
    </row>
    <row r="315" spans="2:20" x14ac:dyDescent="0.2">
      <c r="B315" s="64"/>
      <c r="C315" s="66"/>
      <c r="D315" s="94"/>
      <c r="E315" s="12"/>
      <c r="G315" s="64"/>
      <c r="H315" s="66"/>
      <c r="I315" s="94"/>
      <c r="J315" s="12"/>
      <c r="L315" s="64"/>
      <c r="M315" s="66"/>
      <c r="N315" s="94"/>
      <c r="O315" s="12"/>
      <c r="Q315" s="64"/>
      <c r="R315" s="66"/>
      <c r="S315" s="94"/>
      <c r="T315" s="12"/>
    </row>
    <row r="316" spans="2:20" x14ac:dyDescent="0.2">
      <c r="B316" s="71" t="s">
        <v>454</v>
      </c>
      <c r="C316" s="66"/>
      <c r="D316" s="69"/>
      <c r="E316" s="12">
        <f>SUM(E308:E315)</f>
        <v>2596.6390000000001</v>
      </c>
      <c r="G316" s="71"/>
      <c r="H316" s="66"/>
      <c r="I316" s="69"/>
      <c r="J316" s="12"/>
      <c r="L316" s="71"/>
      <c r="M316" s="66"/>
      <c r="N316" s="69"/>
      <c r="O316" s="12"/>
      <c r="Q316" s="71"/>
      <c r="R316" s="66"/>
      <c r="S316" s="69"/>
      <c r="T316" s="12"/>
    </row>
    <row r="317" spans="2:20" x14ac:dyDescent="0.2">
      <c r="B317" s="71" t="s">
        <v>496</v>
      </c>
      <c r="C317" s="66"/>
      <c r="D317" s="69"/>
      <c r="E317" s="12">
        <f>E316/6</f>
        <v>432.77316666666667</v>
      </c>
      <c r="G317" s="71"/>
      <c r="H317" s="66"/>
      <c r="I317" s="69"/>
      <c r="J317" s="12"/>
      <c r="L317" s="71"/>
      <c r="M317" s="66"/>
      <c r="N317" s="69"/>
      <c r="O317" s="12"/>
      <c r="Q317" s="71"/>
      <c r="R317" s="66"/>
      <c r="S317" s="69"/>
      <c r="T317" s="12"/>
    </row>
    <row r="318" spans="2:20" x14ac:dyDescent="0.2">
      <c r="B318" s="71"/>
      <c r="C318" s="66"/>
      <c r="D318" s="69"/>
      <c r="E318" s="12"/>
      <c r="G318" s="71"/>
      <c r="H318" s="66"/>
      <c r="I318" s="69"/>
      <c r="J318" s="12"/>
      <c r="L318" s="71"/>
      <c r="M318" s="66"/>
      <c r="N318" s="69"/>
      <c r="O318" s="12"/>
      <c r="Q318" s="71"/>
      <c r="R318" s="66"/>
      <c r="S318" s="69"/>
      <c r="T318" s="12"/>
    </row>
    <row r="319" spans="2:20" x14ac:dyDescent="0.2">
      <c r="B319" s="71"/>
      <c r="C319" s="66"/>
      <c r="D319" s="69"/>
      <c r="E319" s="12"/>
      <c r="G319" s="71"/>
      <c r="H319" s="66"/>
      <c r="I319" s="69"/>
      <c r="J319" s="12"/>
      <c r="L319" s="71"/>
      <c r="M319" s="66"/>
      <c r="N319" s="69"/>
      <c r="O319" s="12"/>
      <c r="Q319" s="71"/>
      <c r="R319" s="66"/>
      <c r="S319" s="69"/>
      <c r="T319" s="12"/>
    </row>
    <row r="320" spans="2:20" x14ac:dyDescent="0.2">
      <c r="B320" s="64"/>
      <c r="C320" s="66"/>
      <c r="D320" s="69"/>
      <c r="E320" s="12"/>
      <c r="G320" s="64"/>
      <c r="H320" s="66"/>
      <c r="I320" s="69"/>
      <c r="J320" s="12"/>
      <c r="L320" s="64"/>
      <c r="M320" s="66"/>
      <c r="N320" s="69"/>
      <c r="O320" s="12"/>
      <c r="Q320" s="64"/>
      <c r="R320" s="66"/>
      <c r="S320" s="69"/>
      <c r="T320" s="12"/>
    </row>
    <row r="321" spans="2:20" x14ac:dyDescent="0.2">
      <c r="B321" s="64"/>
      <c r="C321" s="66"/>
      <c r="D321" s="69"/>
      <c r="E321" s="12"/>
      <c r="G321" s="64"/>
      <c r="H321" s="66"/>
      <c r="I321" s="69"/>
      <c r="J321" s="12"/>
      <c r="L321" s="64"/>
      <c r="M321" s="66"/>
      <c r="N321" s="69"/>
      <c r="O321" s="12"/>
      <c r="Q321" s="64"/>
      <c r="R321" s="66"/>
      <c r="S321" s="69"/>
      <c r="T321" s="12"/>
    </row>
    <row r="322" spans="2:20" x14ac:dyDescent="0.2">
      <c r="B322" s="64"/>
      <c r="C322" s="66"/>
      <c r="D322" s="69"/>
      <c r="E322" s="12"/>
      <c r="G322" s="64"/>
      <c r="H322" s="66"/>
      <c r="I322" s="69"/>
      <c r="J322" s="12"/>
      <c r="L322" s="64"/>
      <c r="M322" s="66"/>
      <c r="N322" s="69"/>
      <c r="O322" s="12"/>
      <c r="Q322" s="64"/>
      <c r="R322" s="66"/>
      <c r="S322" s="69"/>
      <c r="T322" s="12"/>
    </row>
  </sheetData>
  <mergeCells count="68">
    <mergeCell ref="B306:E306"/>
    <mergeCell ref="G306:J306"/>
    <mergeCell ref="L306:O306"/>
    <mergeCell ref="Q306:T306"/>
    <mergeCell ref="L135:O135"/>
    <mergeCell ref="Q135:T135"/>
    <mergeCell ref="B97:E97"/>
    <mergeCell ref="B116:E116"/>
    <mergeCell ref="G116:J116"/>
    <mergeCell ref="L116:O116"/>
    <mergeCell ref="Q116:T116"/>
    <mergeCell ref="B135:E135"/>
    <mergeCell ref="G135:J135"/>
    <mergeCell ref="B78:E78"/>
    <mergeCell ref="G78:J78"/>
    <mergeCell ref="L78:O78"/>
    <mergeCell ref="Q78:T78"/>
    <mergeCell ref="G97:J97"/>
    <mergeCell ref="L97:O97"/>
    <mergeCell ref="Q97:T97"/>
    <mergeCell ref="L59:O59"/>
    <mergeCell ref="Q59:T59"/>
    <mergeCell ref="B21:E21"/>
    <mergeCell ref="B40:E40"/>
    <mergeCell ref="G40:J40"/>
    <mergeCell ref="L40:O40"/>
    <mergeCell ref="Q40:T40"/>
    <mergeCell ref="B59:E59"/>
    <mergeCell ref="G59:J59"/>
    <mergeCell ref="B2:E2"/>
    <mergeCell ref="G2:J2"/>
    <mergeCell ref="L2:O2"/>
    <mergeCell ref="Q2:T2"/>
    <mergeCell ref="G21:J21"/>
    <mergeCell ref="L21:O21"/>
    <mergeCell ref="Q21:T21"/>
    <mergeCell ref="B268:E268"/>
    <mergeCell ref="G268:J268"/>
    <mergeCell ref="L268:O268"/>
    <mergeCell ref="Q268:T268"/>
    <mergeCell ref="B287:E287"/>
    <mergeCell ref="Q287:T287"/>
    <mergeCell ref="G287:J287"/>
    <mergeCell ref="L287:O287"/>
    <mergeCell ref="B230:E230"/>
    <mergeCell ref="G230:J230"/>
    <mergeCell ref="L230:O230"/>
    <mergeCell ref="Q230:T230"/>
    <mergeCell ref="B249:E249"/>
    <mergeCell ref="Q249:T249"/>
    <mergeCell ref="G249:J249"/>
    <mergeCell ref="L249:O249"/>
    <mergeCell ref="B192:E192"/>
    <mergeCell ref="G192:J192"/>
    <mergeCell ref="L192:O192"/>
    <mergeCell ref="Q192:T192"/>
    <mergeCell ref="B211:E211"/>
    <mergeCell ref="G211:J211"/>
    <mergeCell ref="L211:O211"/>
    <mergeCell ref="Q211:T211"/>
    <mergeCell ref="B154:E154"/>
    <mergeCell ref="G154:J154"/>
    <mergeCell ref="L154:O154"/>
    <mergeCell ref="Q154:T154"/>
    <mergeCell ref="G173:J173"/>
    <mergeCell ref="L173:O173"/>
    <mergeCell ref="Q173:T173"/>
    <mergeCell ref="B173:E17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400-000000000000}">
          <x14:formula1>
            <xm:f>'PRECIO PROVEEDORES'!$A$3:$A$543</xm:f>
          </x14:formula1>
          <xm:sqref>L289:L294 Q289:Q295 B308:B314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998"/>
  <sheetViews>
    <sheetView showGridLines="0" workbookViewId="0"/>
  </sheetViews>
  <sheetFormatPr baseColWidth="10" defaultColWidth="12.6640625" defaultRowHeight="15" customHeight="1" x14ac:dyDescent="0.15"/>
  <cols>
    <col min="1" max="1" width="3.33203125" customWidth="1"/>
    <col min="2" max="2" width="34.83203125" customWidth="1"/>
    <col min="3" max="3" width="10.33203125" customWidth="1"/>
    <col min="4" max="4" width="13.1640625" customWidth="1"/>
    <col min="5" max="5" width="9.33203125" customWidth="1"/>
    <col min="7" max="7" width="33.83203125" customWidth="1"/>
    <col min="12" max="12" width="34.83203125" customWidth="1"/>
    <col min="17" max="17" width="31.33203125" customWidth="1"/>
    <col min="22" max="22" width="28" customWidth="1"/>
    <col min="27" max="27" width="25.5" customWidth="1"/>
  </cols>
  <sheetData>
    <row r="1" spans="2:30" x14ac:dyDescent="0.2">
      <c r="B1" s="2"/>
      <c r="C1" s="2"/>
      <c r="D1" s="2"/>
      <c r="E1" s="2"/>
    </row>
    <row r="2" spans="2:30" x14ac:dyDescent="0.2">
      <c r="B2" s="212" t="s">
        <v>498</v>
      </c>
      <c r="C2" s="213"/>
      <c r="D2" s="213"/>
      <c r="E2" s="214"/>
      <c r="G2" s="212" t="s">
        <v>499</v>
      </c>
      <c r="H2" s="213"/>
      <c r="I2" s="213"/>
      <c r="J2" s="214"/>
      <c r="L2" s="218" t="s">
        <v>234</v>
      </c>
      <c r="M2" s="213"/>
      <c r="N2" s="213"/>
      <c r="O2" s="214"/>
      <c r="Q2" s="219"/>
      <c r="R2" s="220"/>
      <c r="S2" s="220"/>
      <c r="T2" s="220"/>
      <c r="V2" s="219"/>
      <c r="W2" s="220"/>
      <c r="X2" s="220"/>
      <c r="Y2" s="220"/>
      <c r="AA2" s="219"/>
      <c r="AB2" s="220"/>
      <c r="AC2" s="220"/>
      <c r="AD2" s="220"/>
    </row>
    <row r="3" spans="2:30" ht="16" x14ac:dyDescent="0.2">
      <c r="B3" s="5"/>
      <c r="C3" s="6" t="s">
        <v>8</v>
      </c>
      <c r="D3" s="7" t="s">
        <v>9</v>
      </c>
      <c r="E3" s="8" t="s">
        <v>10</v>
      </c>
      <c r="G3" s="13"/>
      <c r="H3" s="6" t="s">
        <v>8</v>
      </c>
      <c r="I3" s="7" t="s">
        <v>9</v>
      </c>
      <c r="J3" s="8" t="s">
        <v>10</v>
      </c>
      <c r="L3" s="64"/>
      <c r="M3" s="65" t="s">
        <v>8</v>
      </c>
      <c r="N3" s="7" t="s">
        <v>9</v>
      </c>
      <c r="O3" s="8" t="s">
        <v>10</v>
      </c>
      <c r="Q3" s="2"/>
      <c r="R3" s="86"/>
      <c r="S3" s="2"/>
      <c r="T3" s="2"/>
      <c r="V3" s="2"/>
      <c r="W3" s="86"/>
      <c r="X3" s="2"/>
      <c r="Y3" s="2"/>
      <c r="AA3" s="2"/>
      <c r="AB3" s="86"/>
      <c r="AC3" s="2"/>
      <c r="AD3" s="2"/>
    </row>
    <row r="4" spans="2:30" ht="16" x14ac:dyDescent="0.2">
      <c r="B4" s="13" t="s">
        <v>247</v>
      </c>
      <c r="C4" s="10">
        <v>0.22500000000000001</v>
      </c>
      <c r="D4" s="11">
        <f>+VLOOKUP(B4,'PRECIO PROVEEDORES'!$A$2:$B$716,2,0)</f>
        <v>12000</v>
      </c>
      <c r="E4" s="12">
        <f t="shared" ref="E4:E16" si="0">+C4*D4</f>
        <v>2700</v>
      </c>
      <c r="G4" s="13" t="s">
        <v>237</v>
      </c>
      <c r="H4" s="10">
        <v>1.8</v>
      </c>
      <c r="I4" s="11">
        <f>+VLOOKUP(G4,'PRECIO PROVEEDORES'!$A$2:$B$716,2,0)</f>
        <v>1043.22</v>
      </c>
      <c r="J4" s="12">
        <f t="shared" ref="J4:J12" si="1">+H4*I4</f>
        <v>1877.796</v>
      </c>
      <c r="L4" s="13" t="s">
        <v>237</v>
      </c>
      <c r="M4" s="10">
        <v>1.8</v>
      </c>
      <c r="N4" s="94">
        <f>+VLOOKUP(L4,'PRECIO PROVEEDORES'!$A$2:$B$716,2,0)</f>
        <v>1043.22</v>
      </c>
      <c r="O4" s="12">
        <f t="shared" ref="O4:O12" si="2">+M4*N4</f>
        <v>1877.796</v>
      </c>
      <c r="Q4" s="105"/>
      <c r="R4" s="106"/>
      <c r="S4" s="87"/>
      <c r="T4" s="37"/>
      <c r="V4" s="2"/>
      <c r="W4" s="2"/>
      <c r="X4" s="87"/>
      <c r="Y4" s="37"/>
      <c r="AA4" s="2"/>
      <c r="AB4" s="2"/>
      <c r="AC4" s="87"/>
      <c r="AD4" s="37"/>
    </row>
    <row r="5" spans="2:30" ht="16" x14ac:dyDescent="0.2">
      <c r="B5" s="13" t="s">
        <v>210</v>
      </c>
      <c r="C5" s="10">
        <v>0.2</v>
      </c>
      <c r="D5" s="11">
        <f>+VLOOKUP(B5,'PRECIO PROVEEDORES'!$A$2:$B$716,2,0)</f>
        <v>1352</v>
      </c>
      <c r="E5" s="12">
        <f t="shared" si="0"/>
        <v>270.40000000000003</v>
      </c>
      <c r="G5" s="13" t="s">
        <v>239</v>
      </c>
      <c r="H5" s="10">
        <v>0.2</v>
      </c>
      <c r="I5" s="11">
        <f>+VLOOKUP(G5,'PRECIO PROVEEDORES'!$A$2:$B$716,2,0)</f>
        <v>890</v>
      </c>
      <c r="J5" s="12">
        <f t="shared" si="1"/>
        <v>178</v>
      </c>
      <c r="L5" s="13" t="s">
        <v>239</v>
      </c>
      <c r="M5" s="10">
        <v>0.2</v>
      </c>
      <c r="N5" s="94">
        <f>+VLOOKUP(L5,'PRECIO PROVEEDORES'!$A$2:$B$716,2,0)</f>
        <v>890</v>
      </c>
      <c r="O5" s="12">
        <f t="shared" si="2"/>
        <v>178</v>
      </c>
      <c r="Q5" s="105"/>
      <c r="R5" s="106"/>
      <c r="S5" s="87"/>
      <c r="T5" s="37"/>
      <c r="V5" s="2"/>
      <c r="W5" s="2"/>
      <c r="X5" s="87"/>
      <c r="Y5" s="37"/>
      <c r="AA5" s="2"/>
      <c r="AB5" s="2"/>
      <c r="AC5" s="87"/>
      <c r="AD5" s="37"/>
    </row>
    <row r="6" spans="2:30" ht="16" x14ac:dyDescent="0.2">
      <c r="B6" s="7" t="s">
        <v>240</v>
      </c>
      <c r="C6" s="10">
        <v>0.2</v>
      </c>
      <c r="D6" s="11">
        <f>+VLOOKUP(B6,'PRECIO PROVEEDORES'!$A$2:$B$716,2,0)</f>
        <v>1624.77</v>
      </c>
      <c r="E6" s="12">
        <f t="shared" si="0"/>
        <v>324.95400000000001</v>
      </c>
      <c r="G6" s="13" t="s">
        <v>210</v>
      </c>
      <c r="H6" s="10">
        <v>0.16</v>
      </c>
      <c r="I6" s="11">
        <f>+VLOOKUP(G6,'PRECIO PROVEEDORES'!$A$2:$B$716,2,0)</f>
        <v>1352</v>
      </c>
      <c r="J6" s="12">
        <f t="shared" si="1"/>
        <v>216.32</v>
      </c>
      <c r="L6" s="13" t="s">
        <v>210</v>
      </c>
      <c r="M6" s="10">
        <v>0.25</v>
      </c>
      <c r="N6" s="94">
        <f>+VLOOKUP(L6,'PRECIO PROVEEDORES'!$A$2:$B$716,2,0)</f>
        <v>1352</v>
      </c>
      <c r="O6" s="12">
        <f t="shared" si="2"/>
        <v>338</v>
      </c>
      <c r="Q6" s="105"/>
      <c r="R6" s="106"/>
      <c r="S6" s="87"/>
      <c r="T6" s="37"/>
      <c r="V6" s="2"/>
      <c r="W6" s="2"/>
      <c r="X6" s="87"/>
      <c r="Y6" s="37"/>
      <c r="AA6" s="2"/>
      <c r="AB6" s="2"/>
      <c r="AC6" s="87"/>
      <c r="AD6" s="37"/>
    </row>
    <row r="7" spans="2:30" ht="16" x14ac:dyDescent="0.2">
      <c r="B7" s="7" t="s">
        <v>97</v>
      </c>
      <c r="C7" s="10">
        <v>2</v>
      </c>
      <c r="D7" s="11">
        <f>+VLOOKUP(B7,'PRECIO PROVEEDORES'!$A$2:$B$716,2,0)</f>
        <v>192</v>
      </c>
      <c r="E7" s="12">
        <f t="shared" si="0"/>
        <v>384</v>
      </c>
      <c r="G7" s="13" t="s">
        <v>243</v>
      </c>
      <c r="H7" s="10">
        <v>1.2999999999999999E-2</v>
      </c>
      <c r="I7" s="11">
        <f>+VLOOKUP(G7,'PRECIO PROVEEDORES'!$A$2:$B$716,2,0)</f>
        <v>17780</v>
      </c>
      <c r="J7" s="12">
        <f t="shared" si="1"/>
        <v>231.14</v>
      </c>
      <c r="L7" s="13" t="s">
        <v>243</v>
      </c>
      <c r="M7" s="10">
        <v>1.2999999999999999E-2</v>
      </c>
      <c r="N7" s="94">
        <f>+VLOOKUP(L7,'PRECIO PROVEEDORES'!$A$2:$B$716,2,0)</f>
        <v>17780</v>
      </c>
      <c r="O7" s="12">
        <f t="shared" si="2"/>
        <v>231.14</v>
      </c>
      <c r="Q7" s="105"/>
      <c r="R7" s="106"/>
      <c r="S7" s="87"/>
      <c r="T7" s="37"/>
      <c r="V7" s="2"/>
      <c r="W7" s="2"/>
      <c r="X7" s="87"/>
      <c r="Y7" s="37"/>
      <c r="AA7" s="2"/>
      <c r="AB7" s="2"/>
      <c r="AC7" s="87"/>
      <c r="AD7" s="37"/>
    </row>
    <row r="8" spans="2:30" ht="16" x14ac:dyDescent="0.2">
      <c r="B8" s="13" t="s">
        <v>237</v>
      </c>
      <c r="C8" s="10">
        <v>0.46</v>
      </c>
      <c r="D8" s="11">
        <f>+VLOOKUP(B8,'PRECIO PROVEEDORES'!$A$2:$B$716,2,0)</f>
        <v>1043.22</v>
      </c>
      <c r="E8" s="12">
        <f t="shared" si="0"/>
        <v>479.88120000000004</v>
      </c>
      <c r="G8" s="13" t="s">
        <v>49</v>
      </c>
      <c r="H8" s="10">
        <v>0.04</v>
      </c>
      <c r="I8" s="11">
        <f>+VLOOKUP(G8,'PRECIO PROVEEDORES'!$A$2:$B$716,2,0)</f>
        <v>1633</v>
      </c>
      <c r="J8" s="12">
        <f t="shared" si="1"/>
        <v>65.320000000000007</v>
      </c>
      <c r="L8" s="13" t="s">
        <v>49</v>
      </c>
      <c r="M8" s="10">
        <v>0.04</v>
      </c>
      <c r="N8" s="94">
        <f>+VLOOKUP(L8,'PRECIO PROVEEDORES'!$A$2:$B$716,2,0)</f>
        <v>1633</v>
      </c>
      <c r="O8" s="12">
        <f t="shared" si="2"/>
        <v>65.320000000000007</v>
      </c>
      <c r="Q8" s="105"/>
      <c r="R8" s="106"/>
      <c r="S8" s="87"/>
      <c r="T8" s="37"/>
      <c r="V8" s="2"/>
      <c r="W8" s="2"/>
      <c r="X8" s="87"/>
      <c r="Y8" s="37"/>
      <c r="AA8" s="2"/>
      <c r="AB8" s="2"/>
      <c r="AC8" s="87"/>
      <c r="AD8" s="37"/>
    </row>
    <row r="9" spans="2:30" ht="16" x14ac:dyDescent="0.2">
      <c r="B9" s="100" t="s">
        <v>245</v>
      </c>
      <c r="C9" s="10">
        <v>5.0000000000000001E-3</v>
      </c>
      <c r="D9" s="11">
        <f>+VLOOKUP(B9,'PRECIO PROVEEDORES'!$A$2:$B$716,2,0)</f>
        <v>2517</v>
      </c>
      <c r="E9" s="12">
        <f t="shared" si="0"/>
        <v>12.585000000000001</v>
      </c>
      <c r="G9" s="13" t="s">
        <v>166</v>
      </c>
      <c r="H9" s="10">
        <v>0.5</v>
      </c>
      <c r="I9" s="11">
        <f>+VLOOKUP(G9,'PRECIO PROVEEDORES'!$A$2:$B$716,2,0)</f>
        <v>1940</v>
      </c>
      <c r="J9" s="12">
        <f t="shared" si="1"/>
        <v>970</v>
      </c>
      <c r="L9" s="13" t="s">
        <v>166</v>
      </c>
      <c r="M9" s="10">
        <v>0.5</v>
      </c>
      <c r="N9" s="94">
        <f>+VLOOKUP(L9,'PRECIO PROVEEDORES'!$A$2:$B$716,2,0)</f>
        <v>1940</v>
      </c>
      <c r="O9" s="12">
        <f t="shared" si="2"/>
        <v>970</v>
      </c>
      <c r="Q9" s="105"/>
      <c r="R9" s="106"/>
      <c r="S9" s="87"/>
      <c r="T9" s="37"/>
      <c r="V9" s="2"/>
      <c r="W9" s="2"/>
      <c r="X9" s="87"/>
      <c r="Y9" s="37"/>
      <c r="AA9" s="2"/>
      <c r="AB9" s="2"/>
      <c r="AC9" s="87"/>
      <c r="AD9" s="37"/>
    </row>
    <row r="10" spans="2:30" ht="16" x14ac:dyDescent="0.2">
      <c r="B10" s="7" t="s">
        <v>246</v>
      </c>
      <c r="C10" s="10">
        <v>7.0000000000000001E-3</v>
      </c>
      <c r="D10" s="11">
        <f>+VLOOKUP(B10,'PRECIO PROVEEDORES'!$A$2:$B$716,2,0)</f>
        <v>6040</v>
      </c>
      <c r="E10" s="12">
        <f t="shared" si="0"/>
        <v>42.28</v>
      </c>
      <c r="G10" s="13" t="s">
        <v>17</v>
      </c>
      <c r="H10" s="10">
        <v>6</v>
      </c>
      <c r="I10" s="11">
        <f>+VLOOKUP(G10,'PRECIO PROVEEDORES'!$A$2:$B$716,2,0)</f>
        <v>192</v>
      </c>
      <c r="J10" s="12">
        <f t="shared" si="1"/>
        <v>1152</v>
      </c>
      <c r="L10" s="13" t="s">
        <v>17</v>
      </c>
      <c r="M10" s="10">
        <v>6</v>
      </c>
      <c r="N10" s="94">
        <f>+VLOOKUP(L10,'PRECIO PROVEEDORES'!$A$2:$B$716,2,0)</f>
        <v>192</v>
      </c>
      <c r="O10" s="12">
        <f t="shared" si="2"/>
        <v>1152</v>
      </c>
      <c r="Q10" s="105"/>
      <c r="R10" s="106"/>
      <c r="S10" s="87"/>
      <c r="T10" s="37"/>
      <c r="V10" s="2"/>
      <c r="W10" s="2"/>
      <c r="X10" s="87"/>
      <c r="Y10" s="37"/>
      <c r="AA10" s="2"/>
      <c r="AB10" s="2"/>
      <c r="AC10" s="87"/>
      <c r="AD10" s="37"/>
    </row>
    <row r="11" spans="2:30" ht="16" x14ac:dyDescent="0.2">
      <c r="B11" s="13" t="s">
        <v>49</v>
      </c>
      <c r="C11" s="36">
        <v>3.0000000000000001E-3</v>
      </c>
      <c r="D11" s="11">
        <f>+VLOOKUP(B11,'PRECIO PROVEEDORES'!$A$2:$B$716,2,0)</f>
        <v>1633</v>
      </c>
      <c r="E11" s="12">
        <f t="shared" si="0"/>
        <v>4.899</v>
      </c>
      <c r="G11" s="13" t="s">
        <v>242</v>
      </c>
      <c r="H11" s="10">
        <v>0.06</v>
      </c>
      <c r="I11" s="11">
        <f>+VLOOKUP(G11,'PRECIO PROVEEDORES'!$A$2:$B$716,2,0)</f>
        <v>6062</v>
      </c>
      <c r="J11" s="12">
        <f t="shared" si="1"/>
        <v>363.71999999999997</v>
      </c>
      <c r="L11" s="13" t="s">
        <v>242</v>
      </c>
      <c r="M11" s="10">
        <v>0.06</v>
      </c>
      <c r="N11" s="94">
        <f>+VLOOKUP(L11,'PRECIO PROVEEDORES'!$A$2:$B$716,2,0)</f>
        <v>6062</v>
      </c>
      <c r="O11" s="12">
        <f t="shared" si="2"/>
        <v>363.71999999999997</v>
      </c>
      <c r="Q11" s="105"/>
      <c r="R11" s="106"/>
      <c r="S11" s="87"/>
      <c r="T11" s="37"/>
      <c r="V11" s="2"/>
      <c r="W11" s="2"/>
      <c r="X11" s="87"/>
      <c r="Y11" s="37"/>
      <c r="AA11" s="2"/>
      <c r="AB11" s="2"/>
      <c r="AC11" s="87"/>
      <c r="AD11" s="37"/>
    </row>
    <row r="12" spans="2:30" ht="16" x14ac:dyDescent="0.2">
      <c r="B12" s="107" t="s">
        <v>238</v>
      </c>
      <c r="C12" s="36">
        <v>6.5000000000000002E-2</v>
      </c>
      <c r="D12" s="11">
        <f>+VLOOKUP(B12,'PRECIO PROVEEDORES'!$A$2:$B$716,2,0)</f>
        <v>36068</v>
      </c>
      <c r="E12" s="12">
        <f t="shared" si="0"/>
        <v>2344.42</v>
      </c>
      <c r="G12" s="13" t="s">
        <v>247</v>
      </c>
      <c r="H12" s="10">
        <v>1.07</v>
      </c>
      <c r="I12" s="11">
        <f>+VLOOKUP(G12,'PRECIO PROVEEDORES'!$A$2:$B$716,2,0)</f>
        <v>12000</v>
      </c>
      <c r="J12" s="12">
        <f t="shared" si="1"/>
        <v>12840</v>
      </c>
      <c r="L12" s="13" t="s">
        <v>247</v>
      </c>
      <c r="M12" s="10">
        <v>1.07</v>
      </c>
      <c r="N12" s="94">
        <f>+VLOOKUP(L12,'PRECIO PROVEEDORES'!$A$2:$B$716,2,0)</f>
        <v>12000</v>
      </c>
      <c r="O12" s="12">
        <f t="shared" si="2"/>
        <v>12840</v>
      </c>
      <c r="Q12" s="105"/>
      <c r="R12" s="106"/>
      <c r="S12" s="87"/>
      <c r="T12" s="37"/>
      <c r="V12" s="2"/>
      <c r="W12" s="2"/>
      <c r="X12" s="87"/>
      <c r="Y12" s="37"/>
      <c r="AA12" s="2"/>
      <c r="AB12" s="2"/>
      <c r="AC12" s="87"/>
      <c r="AD12" s="37"/>
    </row>
    <row r="13" spans="2:30" ht="16" x14ac:dyDescent="0.2">
      <c r="B13" s="108" t="s">
        <v>248</v>
      </c>
      <c r="C13" s="36">
        <v>6.5000000000000002E-2</v>
      </c>
      <c r="D13" s="11">
        <f>+VLOOKUP(B13,'PRECIO PROVEEDORES'!$A$2:$B$716,2,0)</f>
        <v>39988</v>
      </c>
      <c r="E13" s="12">
        <f t="shared" si="0"/>
        <v>2599.2200000000003</v>
      </c>
      <c r="G13" s="19"/>
      <c r="H13" s="7"/>
      <c r="I13" s="11"/>
      <c r="J13" s="12"/>
      <c r="L13" s="71"/>
      <c r="M13" s="66"/>
      <c r="N13" s="69"/>
      <c r="O13" s="70"/>
      <c r="Q13" s="2"/>
      <c r="R13" s="2"/>
      <c r="S13" s="87"/>
      <c r="T13" s="37"/>
      <c r="V13" s="2"/>
      <c r="W13" s="2"/>
      <c r="X13" s="87"/>
      <c r="Y13" s="37"/>
      <c r="AA13" s="2"/>
      <c r="AB13" s="2"/>
      <c r="AC13" s="87"/>
      <c r="AD13" s="37"/>
    </row>
    <row r="14" spans="2:30" ht="16" x14ac:dyDescent="0.2">
      <c r="B14" s="7" t="s">
        <v>249</v>
      </c>
      <c r="C14" s="36">
        <v>5.0000000000000001E-3</v>
      </c>
      <c r="D14" s="11">
        <f>+VLOOKUP(B14,'PRECIO PROVEEDORES'!$A$2:$B$716,2,0)</f>
        <v>2118</v>
      </c>
      <c r="E14" s="12">
        <f t="shared" si="0"/>
        <v>10.59</v>
      </c>
      <c r="G14" s="19"/>
      <c r="H14" s="7"/>
      <c r="I14" s="11"/>
      <c r="J14" s="12"/>
      <c r="L14" s="71"/>
      <c r="M14" s="66"/>
      <c r="N14" s="69"/>
      <c r="O14" s="70"/>
      <c r="Q14" s="2"/>
      <c r="R14" s="2"/>
      <c r="S14" s="87"/>
      <c r="T14" s="37"/>
      <c r="V14" s="2"/>
      <c r="W14" s="2"/>
      <c r="X14" s="87"/>
      <c r="Y14" s="37"/>
      <c r="AA14" s="2"/>
      <c r="AB14" s="2"/>
      <c r="AC14" s="87"/>
      <c r="AD14" s="37"/>
    </row>
    <row r="15" spans="2:30" x14ac:dyDescent="0.2">
      <c r="B15" s="7" t="s">
        <v>500</v>
      </c>
      <c r="C15" s="7">
        <v>6.5000000000000002E-2</v>
      </c>
      <c r="D15" s="11">
        <f>+VLOOKUP(B15,'PRECIO PROVEEDORES'!$A$2:$B$716,2,0)</f>
        <v>10030</v>
      </c>
      <c r="E15" s="12">
        <f t="shared" si="0"/>
        <v>651.95000000000005</v>
      </c>
      <c r="G15" s="19"/>
      <c r="H15" s="7"/>
      <c r="I15" s="11"/>
      <c r="J15" s="12"/>
      <c r="L15" s="71"/>
      <c r="M15" s="66"/>
      <c r="N15" s="69"/>
      <c r="O15" s="70"/>
      <c r="Q15" s="2"/>
      <c r="R15" s="2"/>
      <c r="S15" s="87"/>
      <c r="T15" s="37"/>
      <c r="V15" s="2"/>
      <c r="W15" s="2"/>
      <c r="X15" s="87"/>
      <c r="Y15" s="37"/>
      <c r="AA15" s="2"/>
      <c r="AB15" s="2"/>
      <c r="AC15" s="87"/>
      <c r="AD15" s="37"/>
    </row>
    <row r="16" spans="2:30" x14ac:dyDescent="0.2">
      <c r="B16" s="7" t="s">
        <v>305</v>
      </c>
      <c r="C16" s="7">
        <v>6.5000000000000002E-2</v>
      </c>
      <c r="D16" s="11">
        <f>+VLOOKUP(B16,'PRECIO PROVEEDORES'!$A$2:$B$716,2,0)</f>
        <v>12959</v>
      </c>
      <c r="E16" s="12">
        <f t="shared" si="0"/>
        <v>842.33500000000004</v>
      </c>
      <c r="G16" s="5"/>
      <c r="H16" s="7"/>
      <c r="I16" s="11"/>
      <c r="J16" s="12"/>
      <c r="L16" s="64"/>
      <c r="M16" s="66"/>
      <c r="N16" s="69"/>
      <c r="O16" s="70"/>
      <c r="Q16" s="2"/>
      <c r="R16" s="2"/>
      <c r="S16" s="87"/>
      <c r="T16" s="37"/>
      <c r="V16" s="2"/>
      <c r="W16" s="2"/>
      <c r="X16" s="87"/>
      <c r="Y16" s="37"/>
      <c r="AA16" s="2"/>
      <c r="AB16" s="2"/>
      <c r="AC16" s="87"/>
      <c r="AD16" s="37"/>
    </row>
    <row r="17" spans="1:30" ht="15.75" customHeight="1" x14ac:dyDescent="0.2">
      <c r="B17" s="5"/>
      <c r="C17" s="123"/>
      <c r="D17" s="11"/>
      <c r="E17" s="12"/>
      <c r="G17" s="5"/>
      <c r="H17" s="7"/>
      <c r="I17" s="11"/>
      <c r="J17" s="12"/>
      <c r="L17" s="64"/>
      <c r="M17" s="66"/>
      <c r="N17" s="69"/>
      <c r="O17" s="70"/>
      <c r="Q17" s="2"/>
      <c r="R17" s="2"/>
      <c r="S17" s="87"/>
      <c r="T17" s="37"/>
      <c r="V17" s="2"/>
      <c r="W17" s="2"/>
      <c r="X17" s="87"/>
      <c r="Y17" s="37"/>
      <c r="AA17" s="2"/>
      <c r="AB17" s="2"/>
      <c r="AC17" s="87"/>
      <c r="AD17" s="37"/>
    </row>
    <row r="18" spans="1:30" ht="15.75" customHeight="1" x14ac:dyDescent="0.2">
      <c r="B18" s="5"/>
      <c r="C18" s="7"/>
      <c r="D18" s="11"/>
      <c r="E18" s="12"/>
      <c r="G18" s="5"/>
      <c r="H18" s="7"/>
      <c r="I18" s="11"/>
      <c r="J18" s="12"/>
      <c r="L18" s="64"/>
      <c r="M18" s="66"/>
      <c r="N18" s="69"/>
      <c r="O18" s="70"/>
      <c r="Q18" s="2"/>
      <c r="R18" s="2"/>
      <c r="S18" s="87"/>
      <c r="T18" s="37"/>
      <c r="V18" s="2"/>
      <c r="W18" s="2"/>
      <c r="X18" s="87"/>
      <c r="Y18" s="37"/>
      <c r="AA18" s="2"/>
      <c r="AB18" s="2"/>
      <c r="AC18" s="87"/>
      <c r="AD18" s="37"/>
    </row>
    <row r="19" spans="1:30" ht="15.75" customHeight="1" x14ac:dyDescent="0.2">
      <c r="B19" s="21" t="s">
        <v>52</v>
      </c>
      <c r="C19" s="22"/>
      <c r="D19" s="23"/>
      <c r="E19" s="24">
        <f>SUM(E4:E18)</f>
        <v>10667.514200000001</v>
      </c>
      <c r="G19" s="21" t="s">
        <v>52</v>
      </c>
      <c r="H19" s="22"/>
      <c r="I19" s="23"/>
      <c r="J19" s="24">
        <f>SUM(J4:J18)</f>
        <v>17894.296000000002</v>
      </c>
      <c r="L19" s="72" t="s">
        <v>52</v>
      </c>
      <c r="M19" s="73"/>
      <c r="N19" s="74"/>
      <c r="O19" s="95">
        <f>SUM(O4:O18)</f>
        <v>18015.976000000002</v>
      </c>
      <c r="Q19" s="88"/>
      <c r="R19" s="88"/>
      <c r="S19" s="89"/>
      <c r="T19" s="89"/>
      <c r="V19" s="88"/>
      <c r="W19" s="88"/>
      <c r="X19" s="89"/>
      <c r="Y19" s="89"/>
      <c r="AA19" s="88"/>
      <c r="AB19" s="88"/>
      <c r="AC19" s="89"/>
      <c r="AD19" s="89"/>
    </row>
    <row r="20" spans="1:30" ht="15.75" customHeight="1" x14ac:dyDescent="0.2">
      <c r="A20" s="2"/>
      <c r="B20" s="19" t="s">
        <v>53</v>
      </c>
      <c r="C20" s="27"/>
      <c r="D20" s="28"/>
      <c r="E20" s="29">
        <f>SUM(E19)</f>
        <v>10667.514200000001</v>
      </c>
      <c r="G20" s="19" t="s">
        <v>53</v>
      </c>
      <c r="H20" s="27"/>
      <c r="I20" s="28"/>
      <c r="J20" s="29">
        <f>SUM(J19)</f>
        <v>17894.296000000002</v>
      </c>
      <c r="L20" s="76" t="s">
        <v>53</v>
      </c>
      <c r="M20" s="77"/>
      <c r="N20" s="78"/>
      <c r="O20" s="96">
        <f>SUM(O19)</f>
        <v>18015.976000000002</v>
      </c>
      <c r="Q20" s="2"/>
      <c r="R20" s="2"/>
      <c r="S20" s="90"/>
      <c r="T20" s="90"/>
      <c r="V20" s="2"/>
      <c r="W20" s="2"/>
      <c r="X20" s="90"/>
      <c r="Y20" s="90"/>
      <c r="AA20" s="2"/>
      <c r="AB20" s="2"/>
      <c r="AC20" s="90"/>
      <c r="AD20" s="90"/>
    </row>
    <row r="21" spans="1:30" ht="15.75" customHeight="1" x14ac:dyDescent="0.2">
      <c r="A21" s="2"/>
      <c r="B21" s="19" t="s">
        <v>54</v>
      </c>
      <c r="C21" s="27"/>
      <c r="D21" s="28"/>
      <c r="E21" s="29">
        <f>+E20/14</f>
        <v>761.96530000000007</v>
      </c>
      <c r="G21" s="19" t="s">
        <v>54</v>
      </c>
      <c r="H21" s="27"/>
      <c r="I21" s="28"/>
      <c r="J21" s="29">
        <f>+J20/70</f>
        <v>255.63280000000003</v>
      </c>
      <c r="L21" s="76" t="s">
        <v>54</v>
      </c>
      <c r="M21" s="77"/>
      <c r="N21" s="78"/>
      <c r="O21" s="96">
        <f>+O20/40</f>
        <v>450.39940000000007</v>
      </c>
      <c r="Q21" s="2"/>
      <c r="R21" s="2"/>
      <c r="S21" s="90"/>
      <c r="T21" s="90"/>
      <c r="V21" s="2"/>
      <c r="W21" s="2"/>
      <c r="X21" s="90"/>
      <c r="Y21" s="90"/>
      <c r="AA21" s="2"/>
      <c r="AB21" s="2"/>
      <c r="AC21" s="90"/>
      <c r="AD21" s="90"/>
    </row>
    <row r="22" spans="1:30" ht="15.75" customHeight="1" x14ac:dyDescent="0.2">
      <c r="A22" s="2"/>
      <c r="B22" s="19" t="s">
        <v>55</v>
      </c>
      <c r="C22" s="27"/>
      <c r="D22" s="31">
        <v>0.3</v>
      </c>
      <c r="E22" s="29"/>
      <c r="F22" s="124">
        <f>E23-(E23*5%)</f>
        <v>2412.8901166666647</v>
      </c>
      <c r="G22" s="19" t="s">
        <v>55</v>
      </c>
      <c r="H22" s="27"/>
      <c r="I22" s="31">
        <v>0.3</v>
      </c>
      <c r="J22" s="29"/>
      <c r="K22" s="124">
        <f>J23-(J23*5%)</f>
        <v>809.50386666666589</v>
      </c>
      <c r="L22" s="76" t="s">
        <v>55</v>
      </c>
      <c r="M22" s="77"/>
      <c r="N22" s="80">
        <v>0.3</v>
      </c>
      <c r="O22" s="81"/>
      <c r="Q22" s="2"/>
      <c r="R22" s="2"/>
      <c r="S22" s="91"/>
      <c r="T22" s="90"/>
      <c r="V22" s="2"/>
      <c r="W22" s="2"/>
      <c r="X22" s="91"/>
      <c r="Y22" s="90"/>
      <c r="AA22" s="2"/>
      <c r="AB22" s="2"/>
      <c r="AC22" s="91"/>
      <c r="AD22" s="90"/>
    </row>
    <row r="23" spans="1:30" ht="15.75" customHeight="1" x14ac:dyDescent="0.2">
      <c r="A23" s="2"/>
      <c r="B23" s="19" t="s">
        <v>56</v>
      </c>
      <c r="C23" s="27"/>
      <c r="D23" s="31"/>
      <c r="E23" s="29">
        <f>+E21*3.33333333333333</f>
        <v>2539.8843333333311</v>
      </c>
      <c r="F23" s="124">
        <f>E23-(E23*10%)</f>
        <v>2285.8958999999982</v>
      </c>
      <c r="G23" s="19" t="s">
        <v>56</v>
      </c>
      <c r="H23" s="27"/>
      <c r="I23" s="31"/>
      <c r="J23" s="29">
        <f>+J21*3.33333333333333</f>
        <v>852.10933333333253</v>
      </c>
      <c r="K23" s="124">
        <f>J23-(J23*10%)</f>
        <v>766.89839999999924</v>
      </c>
      <c r="L23" s="76" t="s">
        <v>56</v>
      </c>
      <c r="M23" s="77"/>
      <c r="N23" s="82"/>
      <c r="O23" s="96">
        <f>+O21*3.33333333333333</f>
        <v>1501.3313333333319</v>
      </c>
      <c r="Q23" s="2"/>
      <c r="R23" s="2"/>
      <c r="S23" s="91"/>
      <c r="T23" s="90"/>
      <c r="V23" s="2"/>
      <c r="W23" s="2"/>
      <c r="X23" s="91"/>
      <c r="Y23" s="90"/>
      <c r="AA23" s="2"/>
      <c r="AB23" s="2"/>
      <c r="AC23" s="91"/>
      <c r="AD23" s="90"/>
    </row>
    <row r="24" spans="1:30" ht="15.75" customHeight="1" x14ac:dyDescent="0.2">
      <c r="A24" s="2"/>
      <c r="B24" s="19" t="s">
        <v>57</v>
      </c>
      <c r="C24" s="27"/>
      <c r="D24" s="27">
        <v>2286</v>
      </c>
      <c r="E24" s="29">
        <v>3400</v>
      </c>
      <c r="F24" s="124">
        <f>E23-(E23*15%)</f>
        <v>2158.9016833333317</v>
      </c>
      <c r="G24" s="19" t="s">
        <v>57</v>
      </c>
      <c r="H24" s="27">
        <v>900</v>
      </c>
      <c r="I24" s="27">
        <v>850</v>
      </c>
      <c r="J24" s="29">
        <v>916.66</v>
      </c>
      <c r="K24" s="124">
        <f>J23-(J23*15%)</f>
        <v>724.29293333333271</v>
      </c>
      <c r="L24" s="76" t="s">
        <v>57</v>
      </c>
      <c r="M24" s="77"/>
      <c r="N24" s="77">
        <v>1350</v>
      </c>
      <c r="O24" s="96">
        <v>1510.41</v>
      </c>
      <c r="Q24" s="2"/>
      <c r="R24" s="2"/>
      <c r="S24" s="2"/>
      <c r="T24" s="90"/>
      <c r="V24" s="2"/>
      <c r="W24" s="2"/>
      <c r="X24" s="2"/>
      <c r="Y24" s="90"/>
      <c r="AA24" s="2"/>
      <c r="AB24" s="2"/>
      <c r="AC24" s="2"/>
      <c r="AD24" s="90"/>
    </row>
    <row r="25" spans="1:30" ht="15.75" customHeight="1" x14ac:dyDescent="0.2">
      <c r="A25" s="2"/>
      <c r="B25" s="19"/>
      <c r="C25" s="27"/>
      <c r="D25" s="28"/>
      <c r="E25" s="24">
        <f>+E24-E23</f>
        <v>860.11566666666886</v>
      </c>
      <c r="F25" s="125">
        <f>E23-(E24*20%)</f>
        <v>1859.8843333333311</v>
      </c>
      <c r="G25" s="19"/>
      <c r="H25" s="27"/>
      <c r="I25" s="28"/>
      <c r="J25" s="24">
        <f>+J24-J23</f>
        <v>64.550666666667439</v>
      </c>
      <c r="K25" s="125">
        <f>J23-(J24*20%)</f>
        <v>668.77733333333254</v>
      </c>
      <c r="L25" s="71"/>
      <c r="M25" s="77"/>
      <c r="N25" s="78"/>
      <c r="O25" s="95">
        <f>+O24-O23</f>
        <v>9.0786666666681413</v>
      </c>
      <c r="Q25" s="2"/>
      <c r="R25" s="2"/>
      <c r="S25" s="2"/>
      <c r="T25" s="90"/>
      <c r="V25" s="2"/>
      <c r="W25" s="2"/>
      <c r="X25" s="2"/>
      <c r="Y25" s="90"/>
      <c r="AA25" s="2"/>
      <c r="AB25" s="2"/>
      <c r="AC25" s="2"/>
      <c r="AD25" s="90"/>
    </row>
    <row r="26" spans="1:30" ht="15.75" customHeight="1" x14ac:dyDescent="0.2">
      <c r="A26" s="2"/>
      <c r="B26" s="32" t="s">
        <v>58</v>
      </c>
      <c r="C26" s="33"/>
      <c r="D26" s="33"/>
      <c r="E26" s="34">
        <f>E21/E24</f>
        <v>0.22410744117647061</v>
      </c>
      <c r="G26" s="32" t="s">
        <v>58</v>
      </c>
      <c r="H26" s="33"/>
      <c r="I26" s="33"/>
      <c r="J26" s="34">
        <f>J21/J24</f>
        <v>0.27887417363035372</v>
      </c>
      <c r="L26" s="32" t="s">
        <v>58</v>
      </c>
      <c r="M26" s="83"/>
      <c r="N26" s="97"/>
      <c r="O26" s="98">
        <f>O21/O24</f>
        <v>0.29819678100648173</v>
      </c>
      <c r="Q26" s="2"/>
      <c r="R26" s="2"/>
      <c r="S26" s="90"/>
      <c r="T26" s="89"/>
      <c r="V26" s="2"/>
      <c r="W26" s="2"/>
      <c r="X26" s="90"/>
      <c r="Y26" s="89"/>
      <c r="AA26" s="2"/>
      <c r="AB26" s="2"/>
      <c r="AC26" s="90"/>
      <c r="AD26" s="89"/>
    </row>
    <row r="27" spans="1:30" ht="15.75" customHeight="1" x14ac:dyDescent="0.2">
      <c r="B27" s="2"/>
      <c r="C27" s="2"/>
      <c r="D27" s="2"/>
      <c r="E27" s="91"/>
      <c r="G27" s="2"/>
      <c r="H27" s="2"/>
      <c r="I27" s="2"/>
      <c r="L27" s="2"/>
      <c r="M27" s="2"/>
      <c r="N27" s="2"/>
      <c r="O27" s="91"/>
      <c r="Q27" s="2"/>
      <c r="R27" s="2"/>
      <c r="S27" s="2"/>
      <c r="T27" s="91"/>
      <c r="V27" s="2"/>
      <c r="W27" s="2"/>
      <c r="X27" s="2"/>
      <c r="Y27" s="91"/>
      <c r="AA27" s="2"/>
      <c r="AB27" s="2"/>
      <c r="AC27" s="2"/>
      <c r="AD27" s="91"/>
    </row>
    <row r="28" spans="1:30" ht="15.75" customHeight="1" x14ac:dyDescent="0.15"/>
    <row r="29" spans="1:30" ht="15.75" customHeight="1" x14ac:dyDescent="0.2">
      <c r="B29" s="218" t="s">
        <v>501</v>
      </c>
      <c r="C29" s="213"/>
      <c r="D29" s="213"/>
      <c r="E29" s="214"/>
      <c r="G29" s="218" t="s">
        <v>502</v>
      </c>
      <c r="H29" s="213"/>
      <c r="I29" s="213"/>
      <c r="J29" s="214"/>
      <c r="L29" s="218" t="s">
        <v>253</v>
      </c>
      <c r="M29" s="213"/>
      <c r="N29" s="213"/>
      <c r="O29" s="214"/>
    </row>
    <row r="30" spans="1:30" ht="15.75" customHeight="1" x14ac:dyDescent="0.2">
      <c r="B30" s="64"/>
      <c r="C30" s="65" t="s">
        <v>8</v>
      </c>
      <c r="D30" s="7" t="s">
        <v>9</v>
      </c>
      <c r="E30" s="8" t="s">
        <v>10</v>
      </c>
      <c r="G30" s="64"/>
      <c r="H30" s="65" t="s">
        <v>8</v>
      </c>
      <c r="I30" s="7" t="s">
        <v>9</v>
      </c>
      <c r="J30" s="8" t="s">
        <v>10</v>
      </c>
      <c r="L30" s="64"/>
      <c r="M30" s="65" t="s">
        <v>8</v>
      </c>
      <c r="N30" s="7" t="s">
        <v>9</v>
      </c>
      <c r="O30" s="8" t="s">
        <v>10</v>
      </c>
      <c r="Q30" s="221"/>
      <c r="R30" s="220"/>
      <c r="S30" s="220"/>
      <c r="T30" s="220"/>
      <c r="V30" s="219"/>
      <c r="W30" s="220"/>
      <c r="X30" s="220"/>
      <c r="Y30" s="220"/>
      <c r="AA30" s="219"/>
      <c r="AB30" s="220"/>
      <c r="AC30" s="220"/>
      <c r="AD30" s="220"/>
    </row>
    <row r="31" spans="1:30" ht="15.75" customHeight="1" x14ac:dyDescent="0.2">
      <c r="B31" s="13" t="s">
        <v>237</v>
      </c>
      <c r="C31" s="10">
        <v>2</v>
      </c>
      <c r="D31" s="94">
        <f>+VLOOKUP(B31,'PRECIO PROVEEDORES'!$A$2:$B$716,2,0)</f>
        <v>1043.22</v>
      </c>
      <c r="E31" s="12">
        <f t="shared" ref="E31:E37" si="3">+C31*D31</f>
        <v>2086.44</v>
      </c>
      <c r="G31" s="13" t="s">
        <v>247</v>
      </c>
      <c r="H31" s="10">
        <v>0.32</v>
      </c>
      <c r="I31" s="94">
        <f>+VLOOKUP(G31,'PRECIO PROVEEDORES'!$A$2:$B$716,2,0)</f>
        <v>12000</v>
      </c>
      <c r="J31" s="12">
        <f t="shared" ref="J31:J39" si="4">+H31*I31</f>
        <v>3840</v>
      </c>
      <c r="L31" s="13" t="s">
        <v>254</v>
      </c>
      <c r="M31" s="10">
        <v>0.25</v>
      </c>
      <c r="N31" s="94">
        <f>+VLOOKUP(L31,'PRECIO PROVEEDORES'!$A$2:$B$716,2,0)</f>
        <v>5400</v>
      </c>
      <c r="O31" s="12">
        <f t="shared" ref="O31:O35" si="5">+M31*N31</f>
        <v>1350</v>
      </c>
      <c r="Q31" s="2"/>
      <c r="R31" s="86"/>
      <c r="S31" s="2"/>
      <c r="T31" s="2"/>
      <c r="V31" s="2"/>
      <c r="W31" s="86"/>
      <c r="X31" s="2"/>
      <c r="Y31" s="2"/>
      <c r="AA31" s="2"/>
      <c r="AB31" s="86"/>
      <c r="AC31" s="2"/>
      <c r="AD31" s="2"/>
    </row>
    <row r="32" spans="1:30" ht="15.75" customHeight="1" x14ac:dyDescent="0.2">
      <c r="B32" s="13" t="s">
        <v>239</v>
      </c>
      <c r="C32" s="10">
        <v>0.5</v>
      </c>
      <c r="D32" s="94">
        <f>+VLOOKUP(B32,'PRECIO PROVEEDORES'!$A$2:$B$716,2,0)</f>
        <v>890</v>
      </c>
      <c r="E32" s="12">
        <f t="shared" si="3"/>
        <v>445</v>
      </c>
      <c r="G32" s="13" t="s">
        <v>210</v>
      </c>
      <c r="H32" s="10">
        <v>0.4</v>
      </c>
      <c r="I32" s="94">
        <f>+VLOOKUP(G32,'PRECIO PROVEEDORES'!$A$2:$B$716,2,0)</f>
        <v>1352</v>
      </c>
      <c r="J32" s="12">
        <f t="shared" si="4"/>
        <v>540.80000000000007</v>
      </c>
      <c r="L32" s="13" t="s">
        <v>173</v>
      </c>
      <c r="M32" s="10">
        <v>0.88</v>
      </c>
      <c r="N32" s="94">
        <f>+VLOOKUP(L32,'PRECIO PROVEEDORES'!$A$2:$B$716,2,0)</f>
        <v>12675</v>
      </c>
      <c r="O32" s="12">
        <f t="shared" si="5"/>
        <v>11154</v>
      </c>
      <c r="Q32" s="105"/>
      <c r="R32" s="106"/>
      <c r="S32" s="87"/>
      <c r="T32" s="37"/>
      <c r="V32" s="2"/>
      <c r="W32" s="2"/>
      <c r="X32" s="87"/>
      <c r="Y32" s="37"/>
      <c r="AA32" s="2"/>
      <c r="AB32" s="2"/>
      <c r="AC32" s="87"/>
      <c r="AD32" s="37"/>
    </row>
    <row r="33" spans="2:30" ht="15.75" customHeight="1" x14ac:dyDescent="0.2">
      <c r="B33" s="13" t="s">
        <v>210</v>
      </c>
      <c r="C33" s="10">
        <v>0.25</v>
      </c>
      <c r="D33" s="94">
        <f>+VLOOKUP(B33,'PRECIO PROVEEDORES'!$A$2:$B$716,2,0)</f>
        <v>1352</v>
      </c>
      <c r="E33" s="12">
        <f t="shared" si="3"/>
        <v>338</v>
      </c>
      <c r="G33" s="13" t="s">
        <v>17</v>
      </c>
      <c r="H33" s="10">
        <v>2</v>
      </c>
      <c r="I33" s="94">
        <f>+VLOOKUP(G33,'PRECIO PROVEEDORES'!$A$2:$B$716,2,0)</f>
        <v>192</v>
      </c>
      <c r="J33" s="12">
        <f t="shared" si="4"/>
        <v>384</v>
      </c>
      <c r="L33" s="13" t="s">
        <v>17</v>
      </c>
      <c r="M33" s="10">
        <v>6</v>
      </c>
      <c r="N33" s="94">
        <f>+VLOOKUP(L33,'PRECIO PROVEEDORES'!$A$2:$B$716,2,0)</f>
        <v>192</v>
      </c>
      <c r="O33" s="12">
        <f t="shared" si="5"/>
        <v>1152</v>
      </c>
      <c r="Q33" s="105"/>
      <c r="R33" s="106"/>
      <c r="S33" s="87"/>
      <c r="T33" s="37"/>
      <c r="V33" s="2"/>
      <c r="W33" s="2"/>
      <c r="X33" s="87"/>
      <c r="Y33" s="37"/>
      <c r="AA33" s="2"/>
      <c r="AB33" s="2"/>
      <c r="AC33" s="87"/>
      <c r="AD33" s="37"/>
    </row>
    <row r="34" spans="2:30" ht="15.75" customHeight="1" x14ac:dyDescent="0.2">
      <c r="B34" s="13" t="s">
        <v>243</v>
      </c>
      <c r="C34" s="10">
        <v>1.6E-2</v>
      </c>
      <c r="D34" s="94">
        <f>+VLOOKUP(B34,'PRECIO PROVEEDORES'!$A$2:$B$716,2,0)</f>
        <v>17780</v>
      </c>
      <c r="E34" s="12">
        <f t="shared" si="3"/>
        <v>284.48</v>
      </c>
      <c r="G34" s="13" t="s">
        <v>237</v>
      </c>
      <c r="H34" s="10">
        <v>0.53500000000000003</v>
      </c>
      <c r="I34" s="94">
        <f>+VLOOKUP(G34,'PRECIO PROVEEDORES'!$A$2:$B$716,2,0)</f>
        <v>1043.22</v>
      </c>
      <c r="J34" s="12">
        <f t="shared" si="4"/>
        <v>558.12270000000001</v>
      </c>
      <c r="L34" s="7" t="s">
        <v>503</v>
      </c>
      <c r="M34" s="10">
        <v>0.12</v>
      </c>
      <c r="N34" s="94">
        <f>+VLOOKUP(L34,'PRECIO PROVEEDORES'!$A$2:$B$716,2,0)</f>
        <v>7331</v>
      </c>
      <c r="O34" s="12">
        <f t="shared" si="5"/>
        <v>879.71999999999991</v>
      </c>
      <c r="Q34" s="105"/>
      <c r="R34" s="106"/>
      <c r="S34" s="87"/>
      <c r="T34" s="37"/>
      <c r="V34" s="2"/>
      <c r="W34" s="2"/>
      <c r="X34" s="87"/>
      <c r="Y34" s="37"/>
      <c r="AA34" s="2"/>
      <c r="AB34" s="2"/>
      <c r="AC34" s="87"/>
      <c r="AD34" s="37"/>
    </row>
    <row r="35" spans="2:30" ht="15.75" customHeight="1" x14ac:dyDescent="0.2">
      <c r="B35" s="13" t="s">
        <v>17</v>
      </c>
      <c r="C35" s="10">
        <v>3</v>
      </c>
      <c r="D35" s="94">
        <f>+VLOOKUP(B35,'PRECIO PROVEEDORES'!$A$2:$B$716,2,0)</f>
        <v>192</v>
      </c>
      <c r="E35" s="12">
        <f t="shared" si="3"/>
        <v>576</v>
      </c>
      <c r="G35" s="7" t="s">
        <v>246</v>
      </c>
      <c r="H35" s="10">
        <v>8.0000000000000002E-3</v>
      </c>
      <c r="I35" s="94">
        <f>+VLOOKUP(G35,'PRECIO PROVEEDORES'!$A$2:$B$716,2,0)</f>
        <v>6040</v>
      </c>
      <c r="J35" s="12">
        <f t="shared" si="4"/>
        <v>48.32</v>
      </c>
      <c r="L35" s="13" t="s">
        <v>259</v>
      </c>
      <c r="M35" s="10">
        <v>0.01</v>
      </c>
      <c r="N35" s="94">
        <f>+VLOOKUP(L35,'PRECIO PROVEEDORES'!$A$2:$B$716,2,0)</f>
        <v>25872</v>
      </c>
      <c r="O35" s="12">
        <f t="shared" si="5"/>
        <v>258.72000000000003</v>
      </c>
      <c r="Q35" s="105"/>
      <c r="R35" s="106"/>
      <c r="S35" s="87"/>
      <c r="T35" s="37"/>
      <c r="V35" s="2"/>
      <c r="W35" s="2"/>
      <c r="X35" s="87"/>
      <c r="Y35" s="37"/>
      <c r="AA35" s="2"/>
      <c r="AB35" s="2"/>
      <c r="AC35" s="87"/>
      <c r="AD35" s="37"/>
    </row>
    <row r="36" spans="2:30" ht="15.75" customHeight="1" x14ac:dyDescent="0.2">
      <c r="B36" s="13" t="s">
        <v>247</v>
      </c>
      <c r="C36" s="10">
        <v>0.7</v>
      </c>
      <c r="D36" s="94">
        <f>+VLOOKUP(B36,'PRECIO PROVEEDORES'!$A$2:$B$716,2,0)</f>
        <v>12000</v>
      </c>
      <c r="E36" s="12">
        <f t="shared" si="3"/>
        <v>8400</v>
      </c>
      <c r="G36" s="7" t="s">
        <v>249</v>
      </c>
      <c r="H36" s="10">
        <v>0.01</v>
      </c>
      <c r="I36" s="94">
        <f>+VLOOKUP(G36,'PRECIO PROVEEDORES'!$A$2:$B$716,2,0)</f>
        <v>2118</v>
      </c>
      <c r="J36" s="12">
        <f t="shared" si="4"/>
        <v>21.18</v>
      </c>
      <c r="L36" s="17" t="s">
        <v>288</v>
      </c>
      <c r="M36" s="10">
        <v>0.5</v>
      </c>
      <c r="N36" s="94">
        <v>3883.2156</v>
      </c>
      <c r="O36" s="12">
        <v>1941.6078</v>
      </c>
      <c r="Q36" s="105"/>
      <c r="R36" s="106"/>
      <c r="S36" s="87"/>
      <c r="T36" s="37"/>
      <c r="V36" s="2"/>
      <c r="W36" s="2"/>
      <c r="X36" s="87"/>
      <c r="Y36" s="37"/>
      <c r="AA36" s="2"/>
      <c r="AB36" s="2"/>
      <c r="AC36" s="87"/>
      <c r="AD36" s="37"/>
    </row>
    <row r="37" spans="2:30" ht="15.75" customHeight="1" x14ac:dyDescent="0.2">
      <c r="B37" s="66" t="s">
        <v>49</v>
      </c>
      <c r="C37" s="103">
        <v>4.3999999999999997E-2</v>
      </c>
      <c r="D37" s="94">
        <f>+VLOOKUP(B37,'PRECIO PROVEEDORES'!$A$2:$B$716,2,0)</f>
        <v>1633</v>
      </c>
      <c r="E37" s="12">
        <f t="shared" si="3"/>
        <v>71.85199999999999</v>
      </c>
      <c r="G37" s="108" t="s">
        <v>256</v>
      </c>
      <c r="H37" s="10">
        <v>0.06</v>
      </c>
      <c r="I37" s="94">
        <f>+VLOOKUP(G37,'PRECIO PROVEEDORES'!$A$2:$B$716,2,0)</f>
        <v>34892</v>
      </c>
      <c r="J37" s="12">
        <f t="shared" si="4"/>
        <v>2093.52</v>
      </c>
      <c r="L37" s="13" t="s">
        <v>493</v>
      </c>
      <c r="M37" s="10">
        <v>0.2</v>
      </c>
      <c r="N37" s="94">
        <v>11625</v>
      </c>
      <c r="O37" s="12">
        <v>2325</v>
      </c>
      <c r="Q37" s="2"/>
      <c r="R37" s="2"/>
      <c r="S37" s="87"/>
      <c r="T37" s="37"/>
      <c r="V37" s="2"/>
      <c r="W37" s="2"/>
      <c r="X37" s="87"/>
      <c r="Y37" s="37"/>
      <c r="AA37" s="2"/>
      <c r="AB37" s="2"/>
      <c r="AC37" s="87"/>
      <c r="AD37" s="37"/>
    </row>
    <row r="38" spans="2:30" ht="15.75" customHeight="1" x14ac:dyDescent="0.2">
      <c r="B38" s="64"/>
      <c r="C38" s="66"/>
      <c r="D38" s="69"/>
      <c r="E38" s="70"/>
      <c r="G38" s="109" t="s">
        <v>244</v>
      </c>
      <c r="H38" s="10">
        <v>0.12</v>
      </c>
      <c r="I38" s="94">
        <f>+VLOOKUP(G38,'PRECIO PROVEEDORES'!$A$2:$B$716,2,0)</f>
        <v>24829</v>
      </c>
      <c r="J38" s="12">
        <f t="shared" si="4"/>
        <v>2979.48</v>
      </c>
      <c r="L38" s="13"/>
      <c r="M38" s="10"/>
      <c r="N38" s="94"/>
      <c r="O38" s="12"/>
      <c r="Q38" s="2"/>
      <c r="R38" s="2"/>
      <c r="S38" s="87"/>
      <c r="T38" s="37"/>
      <c r="V38" s="2"/>
      <c r="W38" s="2"/>
      <c r="X38" s="87"/>
      <c r="Y38" s="37"/>
      <c r="AA38" s="2"/>
      <c r="AB38" s="2"/>
      <c r="AC38" s="87"/>
      <c r="AD38" s="37"/>
    </row>
    <row r="39" spans="2:30" ht="15.75" customHeight="1" x14ac:dyDescent="0.2">
      <c r="B39" s="71"/>
      <c r="C39" s="66"/>
      <c r="D39" s="69"/>
      <c r="E39" s="70"/>
      <c r="G39" s="121" t="s">
        <v>444</v>
      </c>
      <c r="H39" s="66">
        <v>0.06</v>
      </c>
      <c r="I39" s="94">
        <f>+VLOOKUP(G39,'PRECIO PROVEEDORES'!$A$2:$B$716,2,0)</f>
        <v>9506</v>
      </c>
      <c r="J39" s="12">
        <f t="shared" si="4"/>
        <v>570.36</v>
      </c>
      <c r="L39" s="7"/>
      <c r="M39" s="10"/>
      <c r="N39" s="94"/>
      <c r="O39" s="12"/>
      <c r="Q39" s="2"/>
      <c r="R39" s="2"/>
      <c r="S39" s="87"/>
      <c r="T39" s="37"/>
      <c r="V39" s="2"/>
      <c r="W39" s="2"/>
      <c r="X39" s="87"/>
      <c r="Y39" s="37"/>
      <c r="AA39" s="2"/>
      <c r="AB39" s="2"/>
      <c r="AC39" s="87"/>
      <c r="AD39" s="37"/>
    </row>
    <row r="40" spans="2:30" ht="15.75" customHeight="1" x14ac:dyDescent="0.2">
      <c r="B40" s="71"/>
      <c r="C40" s="66"/>
      <c r="D40" s="69"/>
      <c r="E40" s="70"/>
      <c r="G40" s="71"/>
      <c r="H40" s="66"/>
      <c r="I40" s="69"/>
      <c r="J40" s="70"/>
      <c r="L40" s="13"/>
      <c r="M40" s="10"/>
      <c r="N40" s="94"/>
      <c r="O40" s="12"/>
      <c r="Q40" s="2"/>
      <c r="R40" s="2"/>
      <c r="S40" s="87"/>
      <c r="T40" s="37"/>
      <c r="V40" s="2"/>
      <c r="W40" s="2"/>
      <c r="X40" s="87"/>
      <c r="Y40" s="37"/>
      <c r="AA40" s="2"/>
      <c r="AB40" s="2"/>
      <c r="AC40" s="87"/>
      <c r="AD40" s="37"/>
    </row>
    <row r="41" spans="2:30" ht="15.75" customHeight="1" x14ac:dyDescent="0.2">
      <c r="B41" s="71"/>
      <c r="C41" s="66"/>
      <c r="D41" s="69"/>
      <c r="E41" s="70"/>
      <c r="G41" s="71"/>
      <c r="H41" s="66"/>
      <c r="I41" s="69"/>
      <c r="J41" s="70"/>
      <c r="L41" s="13"/>
      <c r="M41" s="10"/>
      <c r="N41" s="94"/>
      <c r="O41" s="12"/>
      <c r="Q41" s="2"/>
      <c r="R41" s="2"/>
      <c r="S41" s="87"/>
      <c r="T41" s="37"/>
      <c r="V41" s="2"/>
      <c r="W41" s="2"/>
      <c r="X41" s="87"/>
      <c r="Y41" s="37"/>
      <c r="AA41" s="2"/>
      <c r="AB41" s="2"/>
      <c r="AC41" s="87"/>
      <c r="AD41" s="37"/>
    </row>
    <row r="42" spans="2:30" ht="15.75" customHeight="1" x14ac:dyDescent="0.2">
      <c r="B42" s="71"/>
      <c r="C42" s="66"/>
      <c r="D42" s="69"/>
      <c r="E42" s="70"/>
      <c r="G42" s="71"/>
      <c r="H42" s="66"/>
      <c r="I42" s="69"/>
      <c r="J42" s="70"/>
      <c r="L42" s="7"/>
      <c r="M42" s="10"/>
      <c r="N42" s="94"/>
      <c r="O42" s="12"/>
      <c r="Q42" s="2"/>
      <c r="R42" s="2"/>
      <c r="S42" s="87"/>
      <c r="T42" s="37"/>
      <c r="V42" s="2"/>
      <c r="W42" s="2"/>
      <c r="X42" s="87"/>
      <c r="Y42" s="37"/>
      <c r="AA42" s="2"/>
      <c r="AB42" s="2"/>
      <c r="AC42" s="87"/>
      <c r="AD42" s="37"/>
    </row>
    <row r="43" spans="2:30" ht="15.75" customHeight="1" x14ac:dyDescent="0.2">
      <c r="B43" s="64"/>
      <c r="C43" s="66"/>
      <c r="D43" s="69"/>
      <c r="E43" s="70"/>
      <c r="G43" s="64"/>
      <c r="H43" s="66"/>
      <c r="I43" s="69"/>
      <c r="J43" s="70"/>
      <c r="L43" s="13"/>
      <c r="M43" s="10"/>
      <c r="N43" s="94"/>
      <c r="O43" s="12"/>
      <c r="Q43" s="2"/>
      <c r="R43" s="2"/>
      <c r="S43" s="87"/>
      <c r="T43" s="37"/>
      <c r="V43" s="2"/>
      <c r="W43" s="2"/>
      <c r="X43" s="87"/>
      <c r="Y43" s="37"/>
      <c r="AA43" s="2"/>
      <c r="AB43" s="2"/>
      <c r="AC43" s="87"/>
      <c r="AD43" s="37"/>
    </row>
    <row r="44" spans="2:30" ht="15.75" customHeight="1" x14ac:dyDescent="0.2">
      <c r="B44" s="64"/>
      <c r="C44" s="66"/>
      <c r="D44" s="69"/>
      <c r="E44" s="70"/>
      <c r="G44" s="64"/>
      <c r="H44" s="66"/>
      <c r="I44" s="69"/>
      <c r="J44" s="70"/>
      <c r="L44" s="108"/>
      <c r="M44" s="10"/>
      <c r="N44" s="94"/>
      <c r="O44" s="12"/>
      <c r="Q44" s="2"/>
      <c r="R44" s="2"/>
      <c r="S44" s="87"/>
      <c r="T44" s="37"/>
      <c r="V44" s="2"/>
      <c r="W44" s="2"/>
      <c r="X44" s="87"/>
      <c r="Y44" s="37"/>
      <c r="AA44" s="2"/>
      <c r="AB44" s="2"/>
      <c r="AC44" s="87"/>
      <c r="AD44" s="37"/>
    </row>
    <row r="45" spans="2:30" ht="15.75" customHeight="1" x14ac:dyDescent="0.2">
      <c r="B45" s="64"/>
      <c r="C45" s="66"/>
      <c r="D45" s="69"/>
      <c r="E45" s="70"/>
      <c r="G45" s="64"/>
      <c r="H45" s="66"/>
      <c r="I45" s="69"/>
      <c r="J45" s="70"/>
      <c r="L45" s="64"/>
      <c r="M45" s="66"/>
      <c r="N45" s="69"/>
      <c r="O45" s="70"/>
      <c r="Q45" s="2"/>
      <c r="R45" s="2"/>
      <c r="S45" s="87"/>
      <c r="T45" s="37"/>
      <c r="V45" s="2"/>
      <c r="W45" s="2"/>
      <c r="X45" s="87"/>
      <c r="Y45" s="37"/>
      <c r="AA45" s="2"/>
      <c r="AB45" s="2"/>
      <c r="AC45" s="87"/>
      <c r="AD45" s="37"/>
    </row>
    <row r="46" spans="2:30" ht="15.75" customHeight="1" x14ac:dyDescent="0.2">
      <c r="B46" s="72" t="s">
        <v>52</v>
      </c>
      <c r="C46" s="73"/>
      <c r="D46" s="74"/>
      <c r="E46" s="95">
        <f>SUM(E31:E45)</f>
        <v>12201.772000000001</v>
      </c>
      <c r="G46" s="72" t="s">
        <v>52</v>
      </c>
      <c r="H46" s="73"/>
      <c r="I46" s="74"/>
      <c r="J46" s="95">
        <f>SUM(J31:J45)</f>
        <v>11035.7827</v>
      </c>
      <c r="L46" s="72" t="s">
        <v>52</v>
      </c>
      <c r="M46" s="73"/>
      <c r="N46" s="74"/>
      <c r="O46" s="95">
        <f>SUM(O31:O45)</f>
        <v>19061.0478</v>
      </c>
      <c r="Q46" s="2"/>
      <c r="R46" s="2"/>
      <c r="S46" s="87"/>
      <c r="T46" s="37"/>
      <c r="V46" s="2"/>
      <c r="W46" s="2"/>
      <c r="X46" s="87"/>
      <c r="Y46" s="37"/>
      <c r="AA46" s="2"/>
      <c r="AB46" s="2"/>
      <c r="AC46" s="87"/>
      <c r="AD46" s="37"/>
    </row>
    <row r="47" spans="2:30" ht="15.75" customHeight="1" x14ac:dyDescent="0.2">
      <c r="B47" s="76" t="s">
        <v>53</v>
      </c>
      <c r="C47" s="77"/>
      <c r="D47" s="78"/>
      <c r="E47" s="96">
        <f>SUM(E46)</f>
        <v>12201.772000000001</v>
      </c>
      <c r="G47" s="76" t="s">
        <v>53</v>
      </c>
      <c r="H47" s="77"/>
      <c r="I47" s="78"/>
      <c r="J47" s="96">
        <f>SUM(J46)</f>
        <v>11035.7827</v>
      </c>
      <c r="L47" s="76" t="s">
        <v>53</v>
      </c>
      <c r="M47" s="77"/>
      <c r="N47" s="78"/>
      <c r="O47" s="96">
        <f>SUM(O46)</f>
        <v>19061.0478</v>
      </c>
      <c r="Q47" s="88"/>
      <c r="R47" s="88"/>
      <c r="S47" s="89"/>
      <c r="T47" s="89"/>
      <c r="V47" s="88"/>
      <c r="W47" s="88"/>
      <c r="X47" s="89"/>
      <c r="Y47" s="89"/>
      <c r="AA47" s="88"/>
      <c r="AB47" s="88"/>
      <c r="AC47" s="89"/>
      <c r="AD47" s="89"/>
    </row>
    <row r="48" spans="2:30" ht="15.75" customHeight="1" x14ac:dyDescent="0.2">
      <c r="B48" s="76" t="s">
        <v>54</v>
      </c>
      <c r="C48" s="77"/>
      <c r="D48" s="78"/>
      <c r="E48" s="96">
        <f>+E47/32</f>
        <v>381.30537500000003</v>
      </c>
      <c r="G48" s="76" t="s">
        <v>54</v>
      </c>
      <c r="H48" s="77"/>
      <c r="I48" s="78"/>
      <c r="J48" s="96">
        <f>+J47/16</f>
        <v>689.73641874999998</v>
      </c>
      <c r="L48" s="76" t="s">
        <v>54</v>
      </c>
      <c r="M48" s="77"/>
      <c r="N48" s="78"/>
      <c r="O48" s="96">
        <f>+O47</f>
        <v>19061.0478</v>
      </c>
      <c r="Q48" s="2"/>
      <c r="R48" s="2"/>
      <c r="S48" s="90"/>
      <c r="T48" s="90"/>
      <c r="V48" s="2"/>
      <c r="W48" s="2"/>
      <c r="X48" s="90"/>
      <c r="Y48" s="90"/>
      <c r="AA48" s="2"/>
      <c r="AB48" s="2"/>
      <c r="AC48" s="90"/>
      <c r="AD48" s="90"/>
    </row>
    <row r="49" spans="2:30" ht="15.75" customHeight="1" x14ac:dyDescent="0.2">
      <c r="B49" s="76" t="s">
        <v>55</v>
      </c>
      <c r="C49" s="77"/>
      <c r="D49" s="80">
        <v>0.3</v>
      </c>
      <c r="E49" s="81"/>
      <c r="G49" s="76" t="s">
        <v>55</v>
      </c>
      <c r="H49" s="77"/>
      <c r="I49" s="80">
        <v>0.3</v>
      </c>
      <c r="J49" s="81"/>
      <c r="L49" s="76" t="s">
        <v>55</v>
      </c>
      <c r="M49" s="77"/>
      <c r="N49" s="80">
        <v>0.3</v>
      </c>
      <c r="O49" s="81"/>
      <c r="Q49" s="2"/>
      <c r="R49" s="2"/>
      <c r="S49" s="90"/>
      <c r="T49" s="90"/>
      <c r="V49" s="2"/>
      <c r="W49" s="2"/>
      <c r="X49" s="90"/>
      <c r="Y49" s="90"/>
      <c r="AA49" s="2"/>
      <c r="AB49" s="2"/>
      <c r="AC49" s="90"/>
      <c r="AD49" s="90"/>
    </row>
    <row r="50" spans="2:30" ht="15.75" customHeight="1" x14ac:dyDescent="0.2">
      <c r="B50" s="76" t="s">
        <v>56</v>
      </c>
      <c r="C50" s="77"/>
      <c r="D50" s="82"/>
      <c r="E50" s="96">
        <f>+E48*3.33333333333333</f>
        <v>1271.0179166666655</v>
      </c>
      <c r="G50" s="76" t="s">
        <v>56</v>
      </c>
      <c r="H50" s="77"/>
      <c r="I50" s="82"/>
      <c r="J50" s="96">
        <f>+J48*3.33333333333333</f>
        <v>2299.121395833331</v>
      </c>
      <c r="L50" s="76" t="s">
        <v>56</v>
      </c>
      <c r="M50" s="77"/>
      <c r="N50" s="82"/>
      <c r="O50" s="96">
        <f>+O48*3.33333333333333</f>
        <v>63536.825999999935</v>
      </c>
      <c r="Q50" s="2">
        <f>45000/8</f>
        <v>5625</v>
      </c>
      <c r="R50" s="2"/>
      <c r="S50" s="91"/>
      <c r="T50" s="90"/>
      <c r="V50" s="2"/>
      <c r="W50" s="2"/>
      <c r="X50" s="91"/>
      <c r="Y50" s="90"/>
      <c r="AA50" s="2"/>
      <c r="AB50" s="2"/>
      <c r="AC50" s="91"/>
      <c r="AD50" s="90"/>
    </row>
    <row r="51" spans="2:30" ht="15.75" customHeight="1" x14ac:dyDescent="0.2">
      <c r="B51" s="76" t="s">
        <v>57</v>
      </c>
      <c r="C51" s="77"/>
      <c r="D51" s="77">
        <v>1950</v>
      </c>
      <c r="E51" s="96">
        <v>2055.5500000000002</v>
      </c>
      <c r="F51" s="1" t="s">
        <v>504</v>
      </c>
      <c r="G51" s="76" t="s">
        <v>57</v>
      </c>
      <c r="H51" s="77"/>
      <c r="I51" s="77">
        <v>2070</v>
      </c>
      <c r="J51" s="96">
        <v>3366.66</v>
      </c>
      <c r="L51" s="76" t="s">
        <v>57</v>
      </c>
      <c r="M51" s="77"/>
      <c r="N51" s="77">
        <f>57184/8</f>
        <v>7148</v>
      </c>
      <c r="O51" s="96">
        <v>66000</v>
      </c>
      <c r="Q51" s="2"/>
      <c r="R51" s="2"/>
      <c r="S51" s="91"/>
      <c r="T51" s="90"/>
      <c r="V51" s="2"/>
      <c r="W51" s="2"/>
      <c r="X51" s="91"/>
      <c r="Y51" s="90"/>
      <c r="AA51" s="2"/>
      <c r="AB51" s="2"/>
      <c r="AC51" s="91"/>
      <c r="AD51" s="90"/>
    </row>
    <row r="52" spans="2:30" ht="15.75" customHeight="1" x14ac:dyDescent="0.2">
      <c r="B52" s="71"/>
      <c r="C52" s="77"/>
      <c r="D52" s="78"/>
      <c r="E52" s="95">
        <f>+E51-E50</f>
        <v>784.53208333333464</v>
      </c>
      <c r="G52" s="71"/>
      <c r="H52" s="77"/>
      <c r="I52" s="78"/>
      <c r="J52" s="95">
        <f>+J51-J50</f>
        <v>1067.5386041666688</v>
      </c>
      <c r="L52" s="71"/>
      <c r="M52" s="77"/>
      <c r="N52" s="78"/>
      <c r="O52" s="95">
        <f>+O51-O50</f>
        <v>2463.1740000000646</v>
      </c>
      <c r="Q52" s="2"/>
      <c r="R52" s="2"/>
      <c r="S52" s="2"/>
      <c r="T52" s="90"/>
      <c r="V52" s="2"/>
      <c r="W52" s="2"/>
      <c r="X52" s="2"/>
      <c r="Y52" s="90"/>
      <c r="AA52" s="2"/>
      <c r="AB52" s="2"/>
      <c r="AC52" s="2"/>
      <c r="AD52" s="90"/>
    </row>
    <row r="53" spans="2:30" ht="15.75" customHeight="1" x14ac:dyDescent="0.2">
      <c r="B53" s="32" t="s">
        <v>58</v>
      </c>
      <c r="C53" s="83"/>
      <c r="D53" s="83"/>
      <c r="E53" s="98">
        <f>E48/E51</f>
        <v>0.18550041351463112</v>
      </c>
      <c r="G53" s="32" t="s">
        <v>58</v>
      </c>
      <c r="H53" s="83"/>
      <c r="I53" s="83"/>
      <c r="J53" s="98">
        <f>J48/J51</f>
        <v>0.20487260927744411</v>
      </c>
      <c r="L53" s="32" t="s">
        <v>58</v>
      </c>
      <c r="M53" s="83"/>
      <c r="N53" s="83"/>
      <c r="O53" s="98">
        <f>O48/O51</f>
        <v>0.28880375454545454</v>
      </c>
      <c r="Q53" s="2"/>
      <c r="R53" s="2"/>
      <c r="S53" s="2"/>
      <c r="T53" s="90"/>
      <c r="V53" s="2"/>
      <c r="W53" s="2"/>
      <c r="X53" s="2"/>
      <c r="Y53" s="90"/>
      <c r="AA53" s="2"/>
      <c r="AB53" s="2"/>
      <c r="AC53" s="2"/>
      <c r="AD53" s="90"/>
    </row>
    <row r="54" spans="2:30" ht="15.75" customHeight="1" x14ac:dyDescent="0.2">
      <c r="B54" s="2"/>
      <c r="C54" s="2"/>
      <c r="D54" s="90"/>
      <c r="E54" s="89"/>
      <c r="G54" s="2"/>
      <c r="H54" s="2"/>
      <c r="I54" s="90"/>
      <c r="J54" s="89"/>
      <c r="L54" s="2"/>
      <c r="M54" s="2"/>
      <c r="N54" s="90"/>
      <c r="O54" s="89"/>
      <c r="Q54" s="2"/>
      <c r="R54" s="2"/>
      <c r="S54" s="90"/>
      <c r="T54" s="89"/>
      <c r="V54" s="2"/>
      <c r="W54" s="2"/>
      <c r="X54" s="90"/>
      <c r="Y54" s="89"/>
      <c r="AA54" s="2"/>
      <c r="AB54" s="2"/>
      <c r="AC54" s="90"/>
      <c r="AD54" s="89"/>
    </row>
    <row r="55" spans="2:30" ht="15.75" customHeight="1" x14ac:dyDescent="0.2">
      <c r="B55" s="2"/>
      <c r="C55" s="2"/>
      <c r="D55" s="2"/>
      <c r="E55" s="91"/>
      <c r="G55" s="2"/>
      <c r="H55" s="2"/>
      <c r="I55" s="2"/>
      <c r="J55" s="91"/>
      <c r="L55" s="2"/>
      <c r="M55" s="2"/>
      <c r="N55" s="2"/>
      <c r="O55" s="91"/>
      <c r="Q55" s="2"/>
      <c r="R55" s="2"/>
      <c r="S55" s="2"/>
      <c r="T55" s="91"/>
      <c r="V55" s="2"/>
      <c r="W55" s="2"/>
      <c r="X55" s="2"/>
      <c r="Y55" s="91"/>
      <c r="AA55" s="2"/>
      <c r="AB55" s="2"/>
      <c r="AC55" s="2"/>
      <c r="AD55" s="91"/>
    </row>
    <row r="56" spans="2:30" ht="15.75" customHeight="1" x14ac:dyDescent="0.2">
      <c r="B56" s="218" t="s">
        <v>260</v>
      </c>
      <c r="C56" s="213"/>
      <c r="D56" s="213"/>
      <c r="E56" s="214"/>
      <c r="G56" s="218" t="s">
        <v>261</v>
      </c>
      <c r="H56" s="213"/>
      <c r="I56" s="213"/>
      <c r="J56" s="214"/>
      <c r="L56" s="218" t="s">
        <v>505</v>
      </c>
      <c r="M56" s="213"/>
      <c r="N56" s="213"/>
      <c r="O56" s="214"/>
    </row>
    <row r="57" spans="2:30" ht="15.75" customHeight="1" x14ac:dyDescent="0.2">
      <c r="B57" s="64"/>
      <c r="C57" s="65" t="s">
        <v>8</v>
      </c>
      <c r="D57" s="7" t="s">
        <v>9</v>
      </c>
      <c r="E57" s="8" t="s">
        <v>10</v>
      </c>
      <c r="G57" s="64"/>
      <c r="H57" s="65" t="s">
        <v>8</v>
      </c>
      <c r="I57" s="7" t="s">
        <v>9</v>
      </c>
      <c r="J57" s="8" t="s">
        <v>10</v>
      </c>
      <c r="L57" s="64"/>
      <c r="M57" s="65" t="s">
        <v>8</v>
      </c>
      <c r="N57" s="7" t="s">
        <v>9</v>
      </c>
      <c r="O57" s="8" t="s">
        <v>10</v>
      </c>
    </row>
    <row r="58" spans="2:30" ht="15.75" customHeight="1" x14ac:dyDescent="0.2">
      <c r="B58" s="13" t="s">
        <v>247</v>
      </c>
      <c r="C58" s="10">
        <v>0.22500000000000001</v>
      </c>
      <c r="D58" s="94">
        <f>+VLOOKUP(B58,'PRECIO PROVEEDORES'!$A$2:$B$716,2,0)</f>
        <v>12000</v>
      </c>
      <c r="E58" s="12">
        <f t="shared" ref="E58:E73" si="6">+C58*D58</f>
        <v>2700</v>
      </c>
      <c r="G58" s="13" t="s">
        <v>247</v>
      </c>
      <c r="H58" s="10">
        <v>0.27500000000000002</v>
      </c>
      <c r="I58" s="94">
        <f>+VLOOKUP(G58,'PRECIO PROVEEDORES'!$A$2:$B$716,2,0)</f>
        <v>12000</v>
      </c>
      <c r="J58" s="12">
        <f t="shared" ref="J58:J68" si="7">+H58*I58</f>
        <v>3300.0000000000005</v>
      </c>
      <c r="L58" s="13" t="s">
        <v>237</v>
      </c>
      <c r="M58" s="10">
        <v>1.8</v>
      </c>
      <c r="N58" s="94">
        <f>+VLOOKUP(L58,'PRECIO PROVEEDORES'!$A$2:$B$716,2,0)</f>
        <v>1043.22</v>
      </c>
      <c r="O58" s="12">
        <f t="shared" ref="O58:O70" si="8">+M58*N58</f>
        <v>1877.796</v>
      </c>
      <c r="Q58" s="219"/>
      <c r="R58" s="220"/>
      <c r="S58" s="220"/>
      <c r="T58" s="220"/>
      <c r="V58" s="219"/>
      <c r="W58" s="220"/>
      <c r="X58" s="220"/>
      <c r="Y58" s="220"/>
      <c r="AA58" s="219"/>
      <c r="AB58" s="220"/>
      <c r="AC58" s="220"/>
      <c r="AD58" s="220"/>
    </row>
    <row r="59" spans="2:30" ht="15.75" customHeight="1" x14ac:dyDescent="0.2">
      <c r="B59" s="13" t="s">
        <v>210</v>
      </c>
      <c r="C59" s="10">
        <v>0.2</v>
      </c>
      <c r="D59" s="94">
        <f>+VLOOKUP(B59,'PRECIO PROVEEDORES'!$A$2:$B$716,2,0)</f>
        <v>1352</v>
      </c>
      <c r="E59" s="12">
        <f t="shared" si="6"/>
        <v>270.40000000000003</v>
      </c>
      <c r="G59" s="13" t="s">
        <v>210</v>
      </c>
      <c r="H59" s="10">
        <v>0.4</v>
      </c>
      <c r="I59" s="94">
        <f>+VLOOKUP(G59,'PRECIO PROVEEDORES'!$A$2:$B$716,2,0)</f>
        <v>1352</v>
      </c>
      <c r="J59" s="12">
        <f t="shared" si="7"/>
        <v>540.80000000000007</v>
      </c>
      <c r="L59" s="13" t="s">
        <v>239</v>
      </c>
      <c r="M59" s="10">
        <v>0.2</v>
      </c>
      <c r="N59" s="94">
        <f>+VLOOKUP(L59,'PRECIO PROVEEDORES'!$A$2:$B$716,2,0)</f>
        <v>890</v>
      </c>
      <c r="O59" s="12">
        <f t="shared" si="8"/>
        <v>178</v>
      </c>
      <c r="Q59" s="2"/>
      <c r="R59" s="86"/>
      <c r="S59" s="2"/>
      <c r="T59" s="2"/>
      <c r="V59" s="2"/>
      <c r="W59" s="86"/>
      <c r="X59" s="2"/>
      <c r="Y59" s="2"/>
      <c r="AA59" s="2"/>
      <c r="AB59" s="86"/>
      <c r="AC59" s="2"/>
      <c r="AD59" s="2"/>
    </row>
    <row r="60" spans="2:30" ht="15.75" customHeight="1" x14ac:dyDescent="0.2">
      <c r="B60" s="7" t="s">
        <v>240</v>
      </c>
      <c r="C60" s="10">
        <v>0.2</v>
      </c>
      <c r="D60" s="94">
        <f>+VLOOKUP(B60,'PRECIO PROVEEDORES'!$A$2:$B$716,2,0)</f>
        <v>1624.77</v>
      </c>
      <c r="E60" s="12">
        <f t="shared" si="6"/>
        <v>324.95400000000001</v>
      </c>
      <c r="G60" s="13" t="s">
        <v>263</v>
      </c>
      <c r="H60" s="10">
        <v>0.125</v>
      </c>
      <c r="I60" s="94">
        <f>+VLOOKUP(G60,'PRECIO PROVEEDORES'!$A$2:$B$716,2,0)</f>
        <v>1624.77</v>
      </c>
      <c r="J60" s="12">
        <f t="shared" si="7"/>
        <v>203.09625</v>
      </c>
      <c r="L60" s="13" t="s">
        <v>210</v>
      </c>
      <c r="M60" s="10">
        <v>0.35</v>
      </c>
      <c r="N60" s="94">
        <f>+VLOOKUP(L60,'PRECIO PROVEEDORES'!$A$2:$B$716,2,0)</f>
        <v>1352</v>
      </c>
      <c r="O60" s="12">
        <f t="shared" si="8"/>
        <v>473.2</v>
      </c>
      <c r="Q60" s="2"/>
      <c r="R60" s="2"/>
      <c r="S60" s="87"/>
      <c r="T60" s="37"/>
      <c r="V60" s="2"/>
      <c r="W60" s="2"/>
      <c r="X60" s="87"/>
      <c r="Y60" s="37"/>
      <c r="AA60" s="2"/>
      <c r="AB60" s="2"/>
      <c r="AC60" s="87"/>
      <c r="AD60" s="37"/>
    </row>
    <row r="61" spans="2:30" ht="15.75" customHeight="1" x14ac:dyDescent="0.2">
      <c r="B61" s="7" t="s">
        <v>506</v>
      </c>
      <c r="C61" s="126">
        <v>4.0000000000000001E-3</v>
      </c>
      <c r="D61" s="94">
        <f>+VLOOKUP(B61,'PRECIO PROVEEDORES'!$A$2:$B$716,2,0)</f>
        <v>93400</v>
      </c>
      <c r="E61" s="12">
        <f t="shared" si="6"/>
        <v>373.6</v>
      </c>
      <c r="G61" s="13" t="s">
        <v>17</v>
      </c>
      <c r="H61" s="10">
        <v>2</v>
      </c>
      <c r="I61" s="94">
        <f>+VLOOKUP(G61,'PRECIO PROVEEDORES'!$A$2:$B$716,2,0)</f>
        <v>192</v>
      </c>
      <c r="J61" s="12">
        <f t="shared" si="7"/>
        <v>384</v>
      </c>
      <c r="L61" s="13" t="s">
        <v>243</v>
      </c>
      <c r="M61" s="10">
        <v>0.02</v>
      </c>
      <c r="N61" s="94">
        <f>+VLOOKUP(L61,'PRECIO PROVEEDORES'!$A$2:$B$716,2,0)</f>
        <v>17780</v>
      </c>
      <c r="O61" s="12">
        <f t="shared" si="8"/>
        <v>355.6</v>
      </c>
      <c r="Q61" s="2"/>
      <c r="R61" s="2"/>
      <c r="S61" s="87"/>
      <c r="T61" s="37"/>
      <c r="V61" s="2"/>
      <c r="W61" s="2"/>
      <c r="X61" s="87"/>
      <c r="Y61" s="37"/>
      <c r="AA61" s="2"/>
      <c r="AB61" s="2"/>
      <c r="AC61" s="87"/>
      <c r="AD61" s="37"/>
    </row>
    <row r="62" spans="2:30" ht="15.75" customHeight="1" x14ac:dyDescent="0.2">
      <c r="B62" s="13" t="s">
        <v>265</v>
      </c>
      <c r="C62" s="10">
        <v>5.0000000000000001E-3</v>
      </c>
      <c r="D62" s="94">
        <f>+VLOOKUP(B62,'PRECIO PROVEEDORES'!$A$2:$B$716,2,0)</f>
        <v>2118</v>
      </c>
      <c r="E62" s="12">
        <f t="shared" si="6"/>
        <v>10.59</v>
      </c>
      <c r="G62" s="13" t="s">
        <v>237</v>
      </c>
      <c r="H62" s="10">
        <v>0.33</v>
      </c>
      <c r="I62" s="94">
        <f>+VLOOKUP(G62,'PRECIO PROVEEDORES'!$A$2:$B$716,2,0)</f>
        <v>1043.22</v>
      </c>
      <c r="J62" s="12">
        <f t="shared" si="7"/>
        <v>344.26260000000002</v>
      </c>
      <c r="L62" s="13" t="s">
        <v>49</v>
      </c>
      <c r="M62" s="10">
        <v>0.04</v>
      </c>
      <c r="N62" s="94">
        <f>+VLOOKUP(L62,'PRECIO PROVEEDORES'!$A$2:$B$716,2,0)</f>
        <v>1633</v>
      </c>
      <c r="O62" s="12">
        <f t="shared" si="8"/>
        <v>65.320000000000007</v>
      </c>
      <c r="Q62" s="2"/>
      <c r="R62" s="2"/>
      <c r="S62" s="87"/>
      <c r="T62" s="37"/>
      <c r="V62" s="2"/>
      <c r="W62" s="2"/>
      <c r="X62" s="87"/>
      <c r="Y62" s="37"/>
      <c r="AA62" s="2"/>
      <c r="AB62" s="2"/>
      <c r="AC62" s="87"/>
      <c r="AD62" s="37"/>
    </row>
    <row r="63" spans="2:30" ht="15.75" customHeight="1" x14ac:dyDescent="0.2">
      <c r="B63" s="13" t="s">
        <v>237</v>
      </c>
      <c r="C63" s="10">
        <v>0.42</v>
      </c>
      <c r="D63" s="94">
        <f>+VLOOKUP(B63,'PRECIO PROVEEDORES'!$A$2:$B$716,2,0)</f>
        <v>1043.22</v>
      </c>
      <c r="E63" s="12">
        <f t="shared" si="6"/>
        <v>438.1524</v>
      </c>
      <c r="G63" s="13" t="s">
        <v>266</v>
      </c>
      <c r="H63" s="10">
        <v>8.0000000000000002E-3</v>
      </c>
      <c r="I63" s="94">
        <f>+VLOOKUP(G63,'PRECIO PROVEEDORES'!$A$2:$B$716,2,0)</f>
        <v>6040</v>
      </c>
      <c r="J63" s="12">
        <f t="shared" si="7"/>
        <v>48.32</v>
      </c>
      <c r="L63" s="13" t="s">
        <v>166</v>
      </c>
      <c r="M63" s="10">
        <v>0.5</v>
      </c>
      <c r="N63" s="94">
        <f>+VLOOKUP(L63,'PRECIO PROVEEDORES'!$A$2:$B$716,2,0)</f>
        <v>1940</v>
      </c>
      <c r="O63" s="12">
        <f t="shared" si="8"/>
        <v>970</v>
      </c>
      <c r="Q63" s="2"/>
      <c r="R63" s="2"/>
      <c r="S63" s="87"/>
      <c r="T63" s="37"/>
      <c r="V63" s="2"/>
      <c r="W63" s="2"/>
      <c r="X63" s="87"/>
      <c r="Y63" s="37"/>
      <c r="AA63" s="2"/>
      <c r="AB63" s="2"/>
      <c r="AC63" s="87"/>
      <c r="AD63" s="37"/>
    </row>
    <row r="64" spans="2:30" ht="15.75" customHeight="1" x14ac:dyDescent="0.2">
      <c r="B64" s="7" t="s">
        <v>267</v>
      </c>
      <c r="C64" s="10">
        <v>0.02</v>
      </c>
      <c r="D64" s="94">
        <f>+VLOOKUP(B64,'PRECIO PROVEEDORES'!$A$2:$B$716,2,0)</f>
        <v>13205</v>
      </c>
      <c r="E64" s="12">
        <f t="shared" si="6"/>
        <v>264.10000000000002</v>
      </c>
      <c r="G64" s="7" t="s">
        <v>268</v>
      </c>
      <c r="H64" s="10">
        <v>0.4</v>
      </c>
      <c r="I64" s="94">
        <f>+VLOOKUP(G64,'PRECIO PROVEEDORES'!$A$2:$B$716,2,0)</f>
        <v>2180</v>
      </c>
      <c r="J64" s="12">
        <f t="shared" si="7"/>
        <v>872</v>
      </c>
      <c r="L64" s="13" t="s">
        <v>17</v>
      </c>
      <c r="M64" s="10">
        <v>6</v>
      </c>
      <c r="N64" s="94">
        <f>+VLOOKUP(L64,'PRECIO PROVEEDORES'!$A$2:$B$716,2,0)</f>
        <v>192</v>
      </c>
      <c r="O64" s="12">
        <f t="shared" si="8"/>
        <v>1152</v>
      </c>
      <c r="Q64" s="2"/>
      <c r="R64" s="2"/>
      <c r="S64" s="87"/>
      <c r="T64" s="37"/>
      <c r="V64" s="2"/>
      <c r="W64" s="2"/>
      <c r="X64" s="87"/>
      <c r="Y64" s="37"/>
      <c r="AA64" s="2"/>
      <c r="AB64" s="2"/>
      <c r="AC64" s="87"/>
      <c r="AD64" s="37"/>
    </row>
    <row r="65" spans="2:30" ht="15.75" customHeight="1" x14ac:dyDescent="0.2">
      <c r="B65" s="13" t="s">
        <v>245</v>
      </c>
      <c r="C65" s="36">
        <v>4.0000000000000001E-3</v>
      </c>
      <c r="D65" s="94">
        <f>+VLOOKUP(B65,'PRECIO PROVEEDORES'!$A$2:$B$716,2,0)</f>
        <v>2517</v>
      </c>
      <c r="E65" s="12">
        <f t="shared" si="6"/>
        <v>10.068</v>
      </c>
      <c r="G65" s="13" t="s">
        <v>166</v>
      </c>
      <c r="H65" s="36">
        <v>2.5000000000000001E-2</v>
      </c>
      <c r="I65" s="94">
        <f>+VLOOKUP(G65,'PRECIO PROVEEDORES'!$A$2:$B$716,2,0)</f>
        <v>1940</v>
      </c>
      <c r="J65" s="12">
        <f t="shared" si="7"/>
        <v>48.5</v>
      </c>
      <c r="L65" s="13" t="s">
        <v>242</v>
      </c>
      <c r="M65" s="10">
        <v>0.06</v>
      </c>
      <c r="N65" s="94">
        <f>+VLOOKUP(L65,'PRECIO PROVEEDORES'!$A$2:$B$716,2,0)</f>
        <v>6062</v>
      </c>
      <c r="O65" s="12">
        <f t="shared" si="8"/>
        <v>363.71999999999997</v>
      </c>
      <c r="Q65" s="2"/>
      <c r="R65" s="2"/>
      <c r="S65" s="87"/>
      <c r="T65" s="37"/>
      <c r="V65" s="2"/>
      <c r="W65" s="2"/>
      <c r="X65" s="87"/>
      <c r="Y65" s="37"/>
      <c r="AA65" s="2"/>
      <c r="AB65" s="2"/>
      <c r="AC65" s="87"/>
      <c r="AD65" s="37"/>
    </row>
    <row r="66" spans="2:30" ht="15.75" customHeight="1" x14ac:dyDescent="0.2">
      <c r="B66" s="7" t="s">
        <v>507</v>
      </c>
      <c r="C66" s="36">
        <v>8.4000000000000005E-2</v>
      </c>
      <c r="D66" s="94">
        <f>+VLOOKUP(B66,'PRECIO PROVEEDORES'!$A$2:$B$716,2,0)</f>
        <v>15314</v>
      </c>
      <c r="E66" s="12">
        <f t="shared" si="6"/>
        <v>1286.376</v>
      </c>
      <c r="G66" s="7" t="s">
        <v>270</v>
      </c>
      <c r="H66" s="36">
        <v>7.4999999999999997E-2</v>
      </c>
      <c r="I66" s="94">
        <f>+VLOOKUP(G66,'PRECIO PROVEEDORES'!$A$2:$B$716,2,0)</f>
        <v>6292</v>
      </c>
      <c r="J66" s="12">
        <f t="shared" si="7"/>
        <v>471.9</v>
      </c>
      <c r="L66" s="13" t="s">
        <v>247</v>
      </c>
      <c r="M66" s="10">
        <v>0.72</v>
      </c>
      <c r="N66" s="94">
        <f>+VLOOKUP(L66,'PRECIO PROVEEDORES'!$A$2:$B$716,2,0)</f>
        <v>12000</v>
      </c>
      <c r="O66" s="12">
        <f t="shared" si="8"/>
        <v>8640</v>
      </c>
      <c r="Q66" s="2"/>
      <c r="R66" s="2"/>
      <c r="S66" s="87"/>
      <c r="T66" s="37"/>
      <c r="V66" s="2"/>
      <c r="W66" s="2"/>
      <c r="X66" s="87"/>
      <c r="Y66" s="37"/>
      <c r="AA66" s="2"/>
      <c r="AB66" s="2"/>
      <c r="AC66" s="87"/>
      <c r="AD66" s="37"/>
    </row>
    <row r="67" spans="2:30" ht="15.75" customHeight="1" x14ac:dyDescent="0.2">
      <c r="B67" s="13" t="s">
        <v>271</v>
      </c>
      <c r="C67" s="36">
        <v>4.2000000000000003E-2</v>
      </c>
      <c r="D67" s="94">
        <f>+VLOOKUP(B67,'PRECIO PROVEEDORES'!$A$2:$B$716,2,0)</f>
        <v>1684</v>
      </c>
      <c r="E67" s="12">
        <f t="shared" si="6"/>
        <v>70.728000000000009</v>
      </c>
      <c r="G67" s="7" t="s">
        <v>272</v>
      </c>
      <c r="H67" s="36">
        <v>7.4999999999999997E-2</v>
      </c>
      <c r="I67" s="94">
        <f>+VLOOKUP(G67,'PRECIO PROVEEDORES'!$A$2:$B$716,2,0)</f>
        <v>27769.5</v>
      </c>
      <c r="J67" s="12">
        <f t="shared" si="7"/>
        <v>2082.7125000000001</v>
      </c>
      <c r="L67" s="7" t="s">
        <v>449</v>
      </c>
      <c r="M67" s="10">
        <v>0.3</v>
      </c>
      <c r="N67" s="94">
        <f>+VLOOKUP(L67,'PRECIO PROVEEDORES'!$A$2:$B$716,2,0)</f>
        <v>9056</v>
      </c>
      <c r="O67" s="12">
        <f t="shared" si="8"/>
        <v>2716.7999999999997</v>
      </c>
      <c r="Q67" s="2"/>
      <c r="R67" s="2"/>
      <c r="S67" s="87"/>
      <c r="T67" s="37"/>
      <c r="V67" s="2"/>
      <c r="W67" s="2"/>
      <c r="X67" s="87"/>
      <c r="Y67" s="37"/>
      <c r="AA67" s="2"/>
      <c r="AB67" s="2"/>
      <c r="AC67" s="87"/>
      <c r="AD67" s="37"/>
    </row>
    <row r="68" spans="2:30" ht="15.75" customHeight="1" x14ac:dyDescent="0.2">
      <c r="B68" s="13" t="s">
        <v>273</v>
      </c>
      <c r="C68" s="36">
        <v>7.0000000000000001E-3</v>
      </c>
      <c r="D68" s="94">
        <f>+VLOOKUP(B68,'PRECIO PROVEEDORES'!$A$2:$B$716,2,0)</f>
        <v>2191</v>
      </c>
      <c r="E68" s="12">
        <f t="shared" si="6"/>
        <v>15.337</v>
      </c>
      <c r="G68" s="109" t="s">
        <v>274</v>
      </c>
      <c r="H68" s="36">
        <v>7.4999999999999997E-2</v>
      </c>
      <c r="I68" s="94">
        <f>+VLOOKUP(G68,'PRECIO PROVEEDORES'!$A$2:$B$716,2,0)</f>
        <v>5987</v>
      </c>
      <c r="J68" s="12">
        <f t="shared" si="7"/>
        <v>449.02499999999998</v>
      </c>
      <c r="L68" s="13" t="s">
        <v>275</v>
      </c>
      <c r="M68" s="10">
        <v>0.04</v>
      </c>
      <c r="N68" s="94">
        <f>+VLOOKUP(L68,'PRECIO PROVEEDORES'!$A$2:$B$716,2,0)</f>
        <v>13205</v>
      </c>
      <c r="O68" s="12">
        <f t="shared" si="8"/>
        <v>528.20000000000005</v>
      </c>
      <c r="Q68" s="2"/>
      <c r="R68" s="2"/>
      <c r="S68" s="87"/>
      <c r="T68" s="37"/>
      <c r="V68" s="2"/>
      <c r="W68" s="2"/>
      <c r="X68" s="87"/>
      <c r="Y68" s="37"/>
      <c r="AA68" s="2"/>
      <c r="AB68" s="2"/>
      <c r="AC68" s="87"/>
      <c r="AD68" s="37"/>
    </row>
    <row r="69" spans="2:30" ht="15.75" customHeight="1" x14ac:dyDescent="0.2">
      <c r="B69" s="13" t="s">
        <v>17</v>
      </c>
      <c r="C69" s="36">
        <v>2</v>
      </c>
      <c r="D69" s="94">
        <f>+VLOOKUP(B69,'PRECIO PROVEEDORES'!$A$2:$B$716,2,0)</f>
        <v>192</v>
      </c>
      <c r="E69" s="12">
        <f t="shared" si="6"/>
        <v>384</v>
      </c>
      <c r="G69" s="71"/>
      <c r="H69" s="66"/>
      <c r="I69" s="69"/>
      <c r="J69" s="70"/>
      <c r="L69" s="13" t="s">
        <v>271</v>
      </c>
      <c r="M69" s="10">
        <v>0.1</v>
      </c>
      <c r="N69" s="94">
        <f>+VLOOKUP(L69,'PRECIO PROVEEDORES'!$A$2:$B$716,2,0)</f>
        <v>1684</v>
      </c>
      <c r="O69" s="12">
        <f t="shared" si="8"/>
        <v>168.4</v>
      </c>
      <c r="Q69" s="2"/>
      <c r="R69" s="2"/>
      <c r="S69" s="87"/>
      <c r="T69" s="37"/>
      <c r="V69" s="2"/>
      <c r="W69" s="2"/>
      <c r="X69" s="87"/>
      <c r="Y69" s="37"/>
      <c r="AA69" s="2"/>
      <c r="AB69" s="2"/>
      <c r="AC69" s="87"/>
      <c r="AD69" s="37"/>
    </row>
    <row r="70" spans="2:30" ht="15.75" customHeight="1" x14ac:dyDescent="0.2">
      <c r="B70" s="108" t="s">
        <v>256</v>
      </c>
      <c r="C70" s="36">
        <v>7.4999999999999997E-2</v>
      </c>
      <c r="D70" s="94">
        <f>+VLOOKUP(B70,'PRECIO PROVEEDORES'!$A$2:$B$716,2,0)</f>
        <v>34892</v>
      </c>
      <c r="E70" s="12">
        <f t="shared" si="6"/>
        <v>2616.9</v>
      </c>
      <c r="G70" s="64"/>
      <c r="H70" s="66"/>
      <c r="I70" s="69"/>
      <c r="J70" s="70"/>
      <c r="L70" s="13" t="s">
        <v>273</v>
      </c>
      <c r="M70" s="10">
        <v>1.4999999999999999E-2</v>
      </c>
      <c r="N70" s="94">
        <f>+VLOOKUP(L70,'PRECIO PROVEEDORES'!$A$2:$B$716,2,0)</f>
        <v>2191</v>
      </c>
      <c r="O70" s="12">
        <f t="shared" si="8"/>
        <v>32.865000000000002</v>
      </c>
      <c r="Q70" s="2"/>
      <c r="R70" s="2"/>
      <c r="S70" s="87"/>
      <c r="T70" s="37"/>
      <c r="V70" s="2"/>
      <c r="W70" s="2"/>
      <c r="X70" s="87"/>
      <c r="Y70" s="37"/>
      <c r="AA70" s="2"/>
      <c r="AB70" s="2"/>
      <c r="AC70" s="87"/>
      <c r="AD70" s="37"/>
    </row>
    <row r="71" spans="2:30" ht="15.75" customHeight="1" x14ac:dyDescent="0.2">
      <c r="B71" s="13" t="s">
        <v>166</v>
      </c>
      <c r="C71" s="36">
        <v>0.02</v>
      </c>
      <c r="D71" s="94">
        <f>+VLOOKUP(B71,'PRECIO PROVEEDORES'!$A$2:$B$716,2,0)</f>
        <v>1940</v>
      </c>
      <c r="E71" s="12">
        <f t="shared" si="6"/>
        <v>38.800000000000004</v>
      </c>
      <c r="G71" s="64"/>
      <c r="H71" s="66"/>
      <c r="I71" s="69"/>
      <c r="J71" s="70"/>
      <c r="L71" s="64"/>
      <c r="M71" s="66"/>
      <c r="N71" s="69"/>
      <c r="O71" s="70"/>
      <c r="Q71" s="2"/>
      <c r="R71" s="2"/>
      <c r="S71" s="87"/>
      <c r="T71" s="37"/>
      <c r="V71" s="2"/>
      <c r="W71" s="2"/>
      <c r="X71" s="87"/>
      <c r="Y71" s="37"/>
      <c r="AA71" s="2"/>
      <c r="AB71" s="2"/>
      <c r="AC71" s="87"/>
      <c r="AD71" s="37"/>
    </row>
    <row r="72" spans="2:30" ht="15.75" customHeight="1" x14ac:dyDescent="0.2">
      <c r="B72" s="13" t="s">
        <v>266</v>
      </c>
      <c r="C72" s="36">
        <v>8.0000000000000002E-3</v>
      </c>
      <c r="D72" s="94">
        <f>+VLOOKUP(B72,'PRECIO PROVEEDORES'!$A$2:$B$716,2,0)</f>
        <v>6040</v>
      </c>
      <c r="E72" s="12">
        <f t="shared" si="6"/>
        <v>48.32</v>
      </c>
      <c r="G72" s="64"/>
      <c r="H72" s="66"/>
      <c r="I72" s="69"/>
      <c r="J72" s="70"/>
      <c r="L72" s="64"/>
      <c r="M72" s="66"/>
      <c r="N72" s="69"/>
      <c r="O72" s="70"/>
      <c r="Q72" s="2"/>
      <c r="R72" s="2"/>
      <c r="S72" s="87"/>
      <c r="T72" s="37"/>
      <c r="V72" s="2"/>
      <c r="W72" s="2"/>
      <c r="X72" s="87"/>
      <c r="Y72" s="37"/>
      <c r="AA72" s="2"/>
      <c r="AB72" s="2"/>
      <c r="AC72" s="87"/>
      <c r="AD72" s="37"/>
    </row>
    <row r="73" spans="2:30" ht="15.75" customHeight="1" x14ac:dyDescent="0.2">
      <c r="B73" s="121" t="s">
        <v>444</v>
      </c>
      <c r="C73" s="66">
        <v>7.4999999999999997E-2</v>
      </c>
      <c r="D73" s="94">
        <f>+VLOOKUP(B73,'PRECIO PROVEEDORES'!$A$2:$B$716,2,0)</f>
        <v>9506</v>
      </c>
      <c r="E73" s="12">
        <f t="shared" si="6"/>
        <v>712.94999999999993</v>
      </c>
      <c r="G73" s="64"/>
      <c r="H73" s="66"/>
      <c r="I73" s="69"/>
      <c r="J73" s="70"/>
      <c r="L73" s="64"/>
      <c r="M73" s="66"/>
      <c r="N73" s="69"/>
      <c r="O73" s="70"/>
      <c r="Q73" s="2"/>
      <c r="R73" s="2"/>
      <c r="S73" s="87"/>
      <c r="T73" s="37"/>
      <c r="V73" s="2"/>
      <c r="W73" s="2"/>
      <c r="X73" s="87"/>
      <c r="Y73" s="37"/>
      <c r="AA73" s="2"/>
      <c r="AB73" s="2"/>
      <c r="AC73" s="87"/>
      <c r="AD73" s="37"/>
    </row>
    <row r="74" spans="2:30" ht="15.75" customHeight="1" x14ac:dyDescent="0.2">
      <c r="B74" s="13"/>
      <c r="C74" s="66"/>
      <c r="D74" s="69"/>
      <c r="E74" s="70"/>
      <c r="G74" s="64"/>
      <c r="H74" s="66"/>
      <c r="I74" s="69"/>
      <c r="J74" s="70"/>
      <c r="L74" s="64"/>
      <c r="M74" s="66"/>
      <c r="N74" s="69"/>
      <c r="O74" s="70"/>
      <c r="Q74" s="2"/>
      <c r="R74" s="2"/>
      <c r="S74" s="87"/>
      <c r="T74" s="37"/>
      <c r="V74" s="2"/>
      <c r="W74" s="2"/>
      <c r="X74" s="87"/>
      <c r="Y74" s="37"/>
      <c r="AA74" s="2"/>
      <c r="AB74" s="2"/>
      <c r="AC74" s="87"/>
      <c r="AD74" s="37"/>
    </row>
    <row r="75" spans="2:30" ht="15.75" customHeight="1" x14ac:dyDescent="0.2">
      <c r="B75" s="72" t="s">
        <v>52</v>
      </c>
      <c r="C75" s="73"/>
      <c r="D75" s="74"/>
      <c r="E75" s="95">
        <f>SUM(E58:E72)</f>
        <v>8852.3254000000015</v>
      </c>
      <c r="G75" s="72" t="s">
        <v>52</v>
      </c>
      <c r="H75" s="73"/>
      <c r="I75" s="74"/>
      <c r="J75" s="95">
        <f>SUM(J58:J72)</f>
        <v>8744.6163500000002</v>
      </c>
      <c r="L75" s="72" t="s">
        <v>52</v>
      </c>
      <c r="M75" s="73"/>
      <c r="N75" s="74"/>
      <c r="O75" s="95">
        <f>SUM(O58:O72)</f>
        <v>17521.901000000005</v>
      </c>
      <c r="Q75" s="2"/>
      <c r="R75" s="2"/>
      <c r="S75" s="87"/>
      <c r="T75" s="37"/>
      <c r="V75" s="2"/>
      <c r="W75" s="2"/>
      <c r="X75" s="87"/>
      <c r="Y75" s="37"/>
      <c r="AA75" s="2"/>
      <c r="AB75" s="2"/>
      <c r="AC75" s="87"/>
      <c r="AD75" s="37"/>
    </row>
    <row r="76" spans="2:30" ht="15.75" customHeight="1" x14ac:dyDescent="0.2">
      <c r="B76" s="76" t="s">
        <v>53</v>
      </c>
      <c r="C76" s="77"/>
      <c r="D76" s="78"/>
      <c r="E76" s="96">
        <f>SUM(E75)</f>
        <v>8852.3254000000015</v>
      </c>
      <c r="G76" s="76" t="s">
        <v>53</v>
      </c>
      <c r="H76" s="77"/>
      <c r="I76" s="78"/>
      <c r="J76" s="96">
        <f>SUM(J75)</f>
        <v>8744.6163500000002</v>
      </c>
      <c r="L76" s="76" t="s">
        <v>53</v>
      </c>
      <c r="M76" s="77"/>
      <c r="N76" s="78"/>
      <c r="O76" s="96">
        <f>SUM(O75)</f>
        <v>17521.901000000005</v>
      </c>
      <c r="Q76" s="2"/>
      <c r="R76" s="2"/>
      <c r="S76" s="87"/>
      <c r="T76" s="37"/>
      <c r="V76" s="2"/>
      <c r="W76" s="2"/>
      <c r="X76" s="87"/>
      <c r="Y76" s="37"/>
      <c r="AA76" s="2"/>
      <c r="AB76" s="2"/>
      <c r="AC76" s="87"/>
      <c r="AD76" s="37"/>
    </row>
    <row r="77" spans="2:30" ht="15.75" customHeight="1" x14ac:dyDescent="0.2">
      <c r="B77" s="76" t="s">
        <v>54</v>
      </c>
      <c r="C77" s="77"/>
      <c r="D77" s="78"/>
      <c r="E77" s="96">
        <f>+E76/14</f>
        <v>632.30895714285725</v>
      </c>
      <c r="G77" s="76" t="s">
        <v>54</v>
      </c>
      <c r="H77" s="77"/>
      <c r="I77" s="78"/>
      <c r="J77" s="96">
        <f>+J76/18</f>
        <v>485.81201944444445</v>
      </c>
      <c r="L77" s="76" t="s">
        <v>54</v>
      </c>
      <c r="M77" s="77"/>
      <c r="N77" s="78"/>
      <c r="O77" s="96">
        <f>+O76/30</f>
        <v>584.06336666666687</v>
      </c>
      <c r="Q77" s="88"/>
      <c r="R77" s="88"/>
      <c r="S77" s="89"/>
      <c r="T77" s="89"/>
      <c r="V77" s="88"/>
      <c r="W77" s="88"/>
      <c r="X77" s="89"/>
      <c r="Y77" s="89"/>
      <c r="AA77" s="88"/>
      <c r="AB77" s="88"/>
      <c r="AC77" s="89"/>
      <c r="AD77" s="89"/>
    </row>
    <row r="78" spans="2:30" ht="15.75" customHeight="1" x14ac:dyDescent="0.2">
      <c r="B78" s="76" t="s">
        <v>55</v>
      </c>
      <c r="C78" s="77"/>
      <c r="D78" s="80">
        <v>0.3</v>
      </c>
      <c r="E78" s="81"/>
      <c r="G78" s="76" t="s">
        <v>55</v>
      </c>
      <c r="H78" s="77"/>
      <c r="I78" s="80">
        <v>0.3</v>
      </c>
      <c r="J78" s="81"/>
      <c r="L78" s="76" t="s">
        <v>55</v>
      </c>
      <c r="M78" s="77"/>
      <c r="N78" s="80">
        <v>0.3</v>
      </c>
      <c r="O78" s="81"/>
      <c r="Q78" s="2"/>
      <c r="R78" s="2"/>
      <c r="S78" s="90"/>
      <c r="T78" s="90"/>
      <c r="V78" s="2"/>
      <c r="W78" s="2"/>
      <c r="X78" s="90"/>
      <c r="Y78" s="90"/>
      <c r="AA78" s="2"/>
      <c r="AB78" s="2"/>
      <c r="AC78" s="90"/>
      <c r="AD78" s="90"/>
    </row>
    <row r="79" spans="2:30" ht="15.75" customHeight="1" x14ac:dyDescent="0.2">
      <c r="B79" s="76" t="s">
        <v>56</v>
      </c>
      <c r="C79" s="77"/>
      <c r="D79" s="82"/>
      <c r="E79" s="96">
        <f>+E77*3.33333333333333</f>
        <v>2107.6965238095222</v>
      </c>
      <c r="G79" s="76" t="s">
        <v>56</v>
      </c>
      <c r="H79" s="77"/>
      <c r="I79" s="82"/>
      <c r="J79" s="96">
        <f>+J77*3.33333333333333</f>
        <v>1619.3733981481464</v>
      </c>
      <c r="L79" s="76" t="s">
        <v>56</v>
      </c>
      <c r="M79" s="77"/>
      <c r="N79" s="82"/>
      <c r="O79" s="96">
        <f>+O77*3.33333333333333</f>
        <v>1946.8778888888876</v>
      </c>
      <c r="Q79" s="2"/>
      <c r="R79" s="2"/>
      <c r="S79" s="90"/>
      <c r="T79" s="90"/>
      <c r="V79" s="2"/>
      <c r="W79" s="2"/>
      <c r="X79" s="90"/>
      <c r="Y79" s="90"/>
      <c r="AA79" s="2"/>
      <c r="AB79" s="2"/>
      <c r="AC79" s="90"/>
      <c r="AD79" s="90"/>
    </row>
    <row r="80" spans="2:30" ht="15.75" customHeight="1" x14ac:dyDescent="0.2">
      <c r="B80" s="76" t="s">
        <v>57</v>
      </c>
      <c r="C80" s="77"/>
      <c r="D80" s="77">
        <v>3550</v>
      </c>
      <c r="E80" s="96">
        <v>3666.66</v>
      </c>
      <c r="G80" s="76" t="s">
        <v>57</v>
      </c>
      <c r="H80" s="77"/>
      <c r="I80" s="77">
        <v>3150</v>
      </c>
      <c r="J80" s="96">
        <v>3000</v>
      </c>
      <c r="L80" s="76" t="s">
        <v>57</v>
      </c>
      <c r="M80" s="77"/>
      <c r="N80" s="77"/>
      <c r="O80" s="96">
        <v>2800</v>
      </c>
      <c r="Q80" s="2"/>
      <c r="R80" s="2"/>
      <c r="S80" s="91"/>
      <c r="T80" s="90"/>
      <c r="V80" s="2"/>
      <c r="W80" s="2"/>
      <c r="X80" s="91"/>
      <c r="Y80" s="90"/>
      <c r="AA80" s="2"/>
      <c r="AB80" s="2"/>
      <c r="AC80" s="91"/>
      <c r="AD80" s="90"/>
    </row>
    <row r="81" spans="2:30" ht="15.75" customHeight="1" x14ac:dyDescent="0.2">
      <c r="B81" s="71"/>
      <c r="C81" s="77"/>
      <c r="D81" s="78"/>
      <c r="E81" s="95">
        <f>+E80-E79</f>
        <v>1558.9634761904776</v>
      </c>
      <c r="G81" s="71"/>
      <c r="H81" s="77"/>
      <c r="I81" s="78"/>
      <c r="J81" s="95">
        <f>+J80-J79</f>
        <v>1380.6266018518536</v>
      </c>
      <c r="L81" s="71"/>
      <c r="M81" s="77"/>
      <c r="N81" s="78"/>
      <c r="O81" s="95">
        <f>+O80-O79</f>
        <v>853.12211111111242</v>
      </c>
      <c r="Q81" s="2"/>
      <c r="R81" s="2"/>
      <c r="S81" s="91"/>
      <c r="T81" s="90"/>
      <c r="V81" s="2"/>
      <c r="W81" s="2"/>
      <c r="X81" s="91"/>
      <c r="Y81" s="90"/>
      <c r="AA81" s="2"/>
      <c r="AB81" s="2"/>
      <c r="AC81" s="91"/>
      <c r="AD81" s="90"/>
    </row>
    <row r="82" spans="2:30" ht="15.75" customHeight="1" x14ac:dyDescent="0.2">
      <c r="B82" s="32" t="s">
        <v>58</v>
      </c>
      <c r="C82" s="83"/>
      <c r="D82" s="83"/>
      <c r="E82" s="98">
        <f>E77/E80</f>
        <v>0.17244821094479915</v>
      </c>
      <c r="G82" s="32" t="s">
        <v>58</v>
      </c>
      <c r="H82" s="83"/>
      <c r="I82" s="83"/>
      <c r="J82" s="98">
        <f>J77/J80</f>
        <v>0.16193733981481481</v>
      </c>
      <c r="L82" s="32" t="s">
        <v>58</v>
      </c>
      <c r="M82" s="83"/>
      <c r="N82" s="83"/>
      <c r="O82" s="98">
        <f>O77/O80</f>
        <v>0.20859405952380961</v>
      </c>
      <c r="Q82" s="2"/>
      <c r="R82" s="2"/>
      <c r="S82" s="2"/>
      <c r="T82" s="90"/>
      <c r="V82" s="2"/>
      <c r="W82" s="2"/>
      <c r="X82" s="2"/>
      <c r="Y82" s="90"/>
      <c r="AA82" s="2"/>
      <c r="AB82" s="2"/>
      <c r="AC82" s="2"/>
      <c r="AD82" s="90"/>
    </row>
    <row r="83" spans="2:30" ht="15.75" customHeight="1" x14ac:dyDescent="0.2">
      <c r="B83" s="2"/>
      <c r="C83" s="2"/>
      <c r="D83" s="2"/>
      <c r="E83" s="90"/>
      <c r="G83" s="2"/>
      <c r="H83" s="2"/>
      <c r="I83" s="2"/>
      <c r="J83" s="90"/>
      <c r="L83" s="2"/>
      <c r="M83" s="2"/>
      <c r="N83" s="2"/>
      <c r="O83" s="90"/>
      <c r="Q83" s="2"/>
      <c r="R83" s="2"/>
      <c r="S83" s="2"/>
      <c r="T83" s="90"/>
      <c r="V83" s="2"/>
      <c r="W83" s="2"/>
      <c r="X83" s="2"/>
      <c r="Y83" s="90"/>
      <c r="AA83" s="2"/>
      <c r="AB83" s="2"/>
      <c r="AC83" s="2"/>
      <c r="AD83" s="90"/>
    </row>
    <row r="84" spans="2:30" ht="15.75" customHeight="1" x14ac:dyDescent="0.2">
      <c r="B84" s="2"/>
      <c r="C84" s="2"/>
      <c r="D84" s="90"/>
      <c r="E84" s="89"/>
      <c r="G84" s="2"/>
      <c r="H84" s="2"/>
      <c r="I84" s="90"/>
      <c r="J84" s="89"/>
      <c r="L84" s="2"/>
      <c r="M84" s="2"/>
      <c r="N84" s="90"/>
      <c r="O84" s="89"/>
      <c r="Q84" s="2"/>
      <c r="R84" s="2"/>
      <c r="S84" s="90"/>
      <c r="T84" s="89"/>
      <c r="V84" s="2"/>
      <c r="W84" s="2"/>
      <c r="X84" s="90"/>
      <c r="Y84" s="89"/>
      <c r="AA84" s="2"/>
      <c r="AB84" s="2"/>
      <c r="AC84" s="90"/>
      <c r="AD84" s="89"/>
    </row>
    <row r="85" spans="2:30" ht="15.75" customHeight="1" x14ac:dyDescent="0.2">
      <c r="B85" s="218" t="s">
        <v>276</v>
      </c>
      <c r="C85" s="213"/>
      <c r="D85" s="213"/>
      <c r="E85" s="214"/>
      <c r="G85" s="218" t="s">
        <v>277</v>
      </c>
      <c r="H85" s="213"/>
      <c r="I85" s="213"/>
      <c r="J85" s="214"/>
      <c r="L85" s="218" t="s">
        <v>508</v>
      </c>
      <c r="M85" s="213"/>
      <c r="N85" s="213"/>
      <c r="O85" s="214"/>
      <c r="Q85" s="2"/>
      <c r="R85" s="2"/>
      <c r="S85" s="2"/>
      <c r="T85" s="91"/>
      <c r="V85" s="2"/>
      <c r="W85" s="2"/>
      <c r="X85" s="2"/>
      <c r="Y85" s="91"/>
      <c r="AA85" s="2"/>
      <c r="AB85" s="2"/>
      <c r="AC85" s="2"/>
      <c r="AD85" s="91"/>
    </row>
    <row r="86" spans="2:30" ht="15.75" customHeight="1" x14ac:dyDescent="0.2">
      <c r="B86" s="64"/>
      <c r="C86" s="65" t="s">
        <v>8</v>
      </c>
      <c r="D86" s="7" t="s">
        <v>9</v>
      </c>
      <c r="E86" s="8" t="s">
        <v>10</v>
      </c>
      <c r="G86" s="64"/>
      <c r="H86" s="65" t="s">
        <v>8</v>
      </c>
      <c r="I86" s="7" t="s">
        <v>9</v>
      </c>
      <c r="J86" s="8" t="s">
        <v>10</v>
      </c>
      <c r="L86" s="64"/>
      <c r="M86" s="65" t="s">
        <v>8</v>
      </c>
      <c r="N86" s="7" t="s">
        <v>9</v>
      </c>
      <c r="O86" s="8" t="s">
        <v>10</v>
      </c>
    </row>
    <row r="87" spans="2:30" ht="15.75" customHeight="1" x14ac:dyDescent="0.2">
      <c r="B87" s="13" t="s">
        <v>279</v>
      </c>
      <c r="C87" s="10">
        <v>2</v>
      </c>
      <c r="D87" s="94">
        <f>+VLOOKUP(B87,'PRECIO PROVEEDORES'!$A$2:$B$716,2,0)</f>
        <v>248.90714736842102</v>
      </c>
      <c r="E87" s="12">
        <f t="shared" ref="E87:E90" si="9">+C87*D87</f>
        <v>497.81429473684204</v>
      </c>
      <c r="G87" s="13" t="s">
        <v>280</v>
      </c>
      <c r="H87" s="106">
        <v>0.16</v>
      </c>
      <c r="I87" s="94">
        <f>+VLOOKUP(G87,'PRECIO PROVEEDORES'!$A$2:$B$716,2,0)</f>
        <v>3356</v>
      </c>
      <c r="J87" s="12">
        <f t="shared" ref="J87:J98" si="10">+H87*I87</f>
        <v>536.96</v>
      </c>
      <c r="L87" s="13" t="s">
        <v>166</v>
      </c>
      <c r="M87" s="10">
        <v>0.32</v>
      </c>
      <c r="N87" s="94">
        <f>+VLOOKUP(L87,'PRECIO PROVEEDORES'!$A$2:$B$716,2,0)</f>
        <v>1940</v>
      </c>
      <c r="O87" s="12">
        <f t="shared" ref="O87:O98" si="11">+M87*N87</f>
        <v>620.80000000000007</v>
      </c>
    </row>
    <row r="88" spans="2:30" ht="15.75" customHeight="1" x14ac:dyDescent="0.2">
      <c r="B88" s="7" t="s">
        <v>281</v>
      </c>
      <c r="C88" s="10">
        <v>3.5000000000000003E-2</v>
      </c>
      <c r="D88" s="94">
        <f>+VLOOKUP(B88,'PRECIO PROVEEDORES'!$A$2:$B$716,2,0)</f>
        <v>3356</v>
      </c>
      <c r="E88" s="12">
        <f t="shared" si="9"/>
        <v>117.46000000000001</v>
      </c>
      <c r="G88" s="13" t="s">
        <v>247</v>
      </c>
      <c r="H88" s="10">
        <v>0.45</v>
      </c>
      <c r="I88" s="94">
        <f>+VLOOKUP(G88,'PRECIO PROVEEDORES'!$A$2:$B$716,2,0)</f>
        <v>12000</v>
      </c>
      <c r="J88" s="12">
        <f t="shared" si="10"/>
        <v>5400</v>
      </c>
      <c r="L88" s="13" t="s">
        <v>247</v>
      </c>
      <c r="M88" s="10">
        <v>0.14499999999999999</v>
      </c>
      <c r="N88" s="94">
        <f>+VLOOKUP(L88,'PRECIO PROVEEDORES'!$A$2:$B$716,2,0)</f>
        <v>12000</v>
      </c>
      <c r="O88" s="12">
        <f t="shared" si="11"/>
        <v>1739.9999999999998</v>
      </c>
      <c r="Q88" s="219"/>
      <c r="R88" s="220"/>
      <c r="S88" s="220"/>
      <c r="T88" s="220"/>
      <c r="V88" s="219"/>
      <c r="W88" s="220"/>
      <c r="X88" s="220"/>
      <c r="Y88" s="220"/>
      <c r="AA88" s="219"/>
      <c r="AB88" s="220"/>
      <c r="AC88" s="220"/>
      <c r="AD88" s="220"/>
    </row>
    <row r="89" spans="2:30" ht="15.75" customHeight="1" x14ac:dyDescent="0.2">
      <c r="B89" s="93" t="s">
        <v>172</v>
      </c>
      <c r="C89" s="10">
        <v>0.02</v>
      </c>
      <c r="D89" s="94">
        <f>+VLOOKUP(B89,'PRECIO PROVEEDORES'!$A$2:$B$716,2,0)</f>
        <v>9561</v>
      </c>
      <c r="E89" s="12">
        <f t="shared" si="9"/>
        <v>191.22</v>
      </c>
      <c r="G89" s="13" t="s">
        <v>210</v>
      </c>
      <c r="H89" s="10">
        <v>0.4</v>
      </c>
      <c r="I89" s="94">
        <f>+VLOOKUP(G89,'PRECIO PROVEEDORES'!$A$2:$B$716,2,0)</f>
        <v>1352</v>
      </c>
      <c r="J89" s="12">
        <f t="shared" si="10"/>
        <v>540.80000000000007</v>
      </c>
      <c r="L89" s="13" t="s">
        <v>17</v>
      </c>
      <c r="M89" s="10">
        <v>4</v>
      </c>
      <c r="N89" s="94">
        <f>+VLOOKUP(L89,'PRECIO PROVEEDORES'!$A$2:$B$716,2,0)</f>
        <v>192</v>
      </c>
      <c r="O89" s="12">
        <f t="shared" si="11"/>
        <v>768</v>
      </c>
      <c r="Q89" s="2"/>
      <c r="R89" s="86"/>
      <c r="S89" s="2"/>
      <c r="T89" s="2"/>
      <c r="V89" s="2"/>
      <c r="W89" s="86"/>
      <c r="X89" s="2"/>
      <c r="Y89" s="2"/>
      <c r="AA89" s="2"/>
      <c r="AB89" s="86"/>
      <c r="AC89" s="2"/>
      <c r="AD89" s="2"/>
    </row>
    <row r="90" spans="2:30" ht="15.75" customHeight="1" x14ac:dyDescent="0.2">
      <c r="B90" s="7" t="s">
        <v>282</v>
      </c>
      <c r="C90" s="10">
        <v>5.0000000000000001E-3</v>
      </c>
      <c r="D90" s="94">
        <f>+VLOOKUP(B90,'PRECIO PROVEEDORES'!$A$2:$B$716,2,0)</f>
        <v>25872</v>
      </c>
      <c r="E90" s="12">
        <f t="shared" si="9"/>
        <v>129.36000000000001</v>
      </c>
      <c r="G90" s="13" t="s">
        <v>263</v>
      </c>
      <c r="H90" s="10">
        <v>0.4</v>
      </c>
      <c r="I90" s="94">
        <f>+VLOOKUP(G90,'PRECIO PROVEEDORES'!$A$2:$B$716,2,0)</f>
        <v>1624.77</v>
      </c>
      <c r="J90" s="12">
        <f t="shared" si="10"/>
        <v>649.90800000000002</v>
      </c>
      <c r="L90" s="13" t="s">
        <v>210</v>
      </c>
      <c r="M90" s="10">
        <v>0.45</v>
      </c>
      <c r="N90" s="94">
        <f>+VLOOKUP(L90,'PRECIO PROVEEDORES'!$A$2:$B$716,2,0)</f>
        <v>1352</v>
      </c>
      <c r="O90" s="12">
        <f t="shared" si="11"/>
        <v>608.4</v>
      </c>
      <c r="Q90" s="2"/>
      <c r="R90" s="2"/>
      <c r="S90" s="87"/>
      <c r="T90" s="37"/>
      <c r="V90" s="2"/>
      <c r="W90" s="2"/>
      <c r="X90" s="87"/>
      <c r="Y90" s="37"/>
      <c r="AA90" s="2"/>
      <c r="AB90" s="2"/>
      <c r="AC90" s="87"/>
      <c r="AD90" s="37"/>
    </row>
    <row r="91" spans="2:30" ht="15.75" customHeight="1" x14ac:dyDescent="0.2">
      <c r="B91" s="66"/>
      <c r="C91" s="103"/>
      <c r="D91" s="94"/>
      <c r="E91" s="12"/>
      <c r="G91" s="13" t="s">
        <v>17</v>
      </c>
      <c r="H91" s="10">
        <v>4</v>
      </c>
      <c r="I91" s="94">
        <f>+VLOOKUP(G91,'PRECIO PROVEEDORES'!$A$2:$B$716,2,0)</f>
        <v>192</v>
      </c>
      <c r="J91" s="12">
        <f t="shared" si="10"/>
        <v>768</v>
      </c>
      <c r="L91" s="13" t="s">
        <v>237</v>
      </c>
      <c r="M91" s="10">
        <v>0.31</v>
      </c>
      <c r="N91" s="94">
        <f>+VLOOKUP(L91,'PRECIO PROVEEDORES'!$A$2:$B$716,2,0)</f>
        <v>1043.22</v>
      </c>
      <c r="O91" s="12">
        <f t="shared" si="11"/>
        <v>323.39820000000003</v>
      </c>
      <c r="Q91" s="2"/>
      <c r="R91" s="2"/>
      <c r="S91" s="87"/>
      <c r="T91" s="37"/>
      <c r="V91" s="2"/>
      <c r="W91" s="2"/>
      <c r="X91" s="87"/>
      <c r="Y91" s="37"/>
      <c r="AA91" s="2"/>
      <c r="AB91" s="2"/>
      <c r="AC91" s="87"/>
      <c r="AD91" s="37"/>
    </row>
    <row r="92" spans="2:30" ht="15.75" customHeight="1" x14ac:dyDescent="0.2">
      <c r="B92" s="66"/>
      <c r="C92" s="68"/>
      <c r="D92" s="69"/>
      <c r="E92" s="12"/>
      <c r="G92" s="13" t="s">
        <v>237</v>
      </c>
      <c r="H92" s="10">
        <v>0.92</v>
      </c>
      <c r="I92" s="94">
        <f>+VLOOKUP(G92,'PRECIO PROVEEDORES'!$A$2:$B$716,2,0)</f>
        <v>1043.22</v>
      </c>
      <c r="J92" s="12">
        <f t="shared" si="10"/>
        <v>959.76240000000007</v>
      </c>
      <c r="L92" s="13" t="s">
        <v>275</v>
      </c>
      <c r="M92" s="10">
        <v>0.06</v>
      </c>
      <c r="N92" s="94">
        <f>+VLOOKUP(L92,'PRECIO PROVEEDORES'!$A$2:$B$716,2,0)</f>
        <v>13205</v>
      </c>
      <c r="O92" s="12">
        <f t="shared" si="11"/>
        <v>792.3</v>
      </c>
      <c r="Q92" s="2"/>
      <c r="R92" s="2"/>
      <c r="S92" s="87"/>
      <c r="T92" s="37"/>
      <c r="V92" s="2"/>
      <c r="W92" s="2"/>
      <c r="X92" s="87"/>
      <c r="Y92" s="37"/>
      <c r="AA92" s="2"/>
      <c r="AB92" s="2"/>
      <c r="AC92" s="87"/>
      <c r="AD92" s="37"/>
    </row>
    <row r="93" spans="2:30" ht="15.75" customHeight="1" x14ac:dyDescent="0.2">
      <c r="B93" s="66"/>
      <c r="C93" s="103"/>
      <c r="D93" s="69"/>
      <c r="E93" s="70"/>
      <c r="G93" s="13" t="s">
        <v>245</v>
      </c>
      <c r="H93" s="10">
        <v>0.01</v>
      </c>
      <c r="I93" s="94">
        <f>+VLOOKUP(G93,'PRECIO PROVEEDORES'!$A$2:$B$716,2,0)</f>
        <v>2517</v>
      </c>
      <c r="J93" s="12">
        <f t="shared" si="10"/>
        <v>25.17</v>
      </c>
      <c r="L93" s="13" t="s">
        <v>245</v>
      </c>
      <c r="M93" s="10">
        <v>5.0000000000000001E-3</v>
      </c>
      <c r="N93" s="94">
        <f>+VLOOKUP(L93,'PRECIO PROVEEDORES'!$A$2:$B$716,2,0)</f>
        <v>2517</v>
      </c>
      <c r="O93" s="12">
        <f t="shared" si="11"/>
        <v>12.585000000000001</v>
      </c>
      <c r="Q93" s="2"/>
      <c r="R93" s="2"/>
      <c r="S93" s="87"/>
      <c r="T93" s="37"/>
      <c r="V93" s="2"/>
      <c r="W93" s="2"/>
      <c r="X93" s="87"/>
      <c r="Y93" s="37"/>
      <c r="AA93" s="2"/>
      <c r="AB93" s="2"/>
      <c r="AC93" s="87"/>
      <c r="AD93" s="37"/>
    </row>
    <row r="94" spans="2:30" ht="15.75" customHeight="1" x14ac:dyDescent="0.2">
      <c r="B94" s="64"/>
      <c r="C94" s="66"/>
      <c r="D94" s="69"/>
      <c r="E94" s="70"/>
      <c r="G94" s="13" t="s">
        <v>266</v>
      </c>
      <c r="H94" s="36">
        <v>1.4E-2</v>
      </c>
      <c r="I94" s="94">
        <f>+VLOOKUP(G94,'PRECIO PROVEEDORES'!$A$2:$B$716,2,0)</f>
        <v>6040</v>
      </c>
      <c r="J94" s="12">
        <f t="shared" si="10"/>
        <v>84.56</v>
      </c>
      <c r="L94" s="13" t="s">
        <v>283</v>
      </c>
      <c r="M94" s="36">
        <v>5.0000000000000001E-3</v>
      </c>
      <c r="N94" s="94">
        <f>+VLOOKUP(L94,'PRECIO PROVEEDORES'!$A$2:$B$716,2,0)</f>
        <v>36376.47</v>
      </c>
      <c r="O94" s="12">
        <f t="shared" si="11"/>
        <v>181.88235</v>
      </c>
      <c r="Q94" s="2"/>
      <c r="R94" s="2"/>
      <c r="S94" s="87"/>
      <c r="T94" s="37"/>
      <c r="V94" s="2"/>
      <c r="W94" s="2"/>
      <c r="X94" s="87"/>
      <c r="Y94" s="37"/>
      <c r="AA94" s="2"/>
      <c r="AB94" s="2"/>
      <c r="AC94" s="87"/>
      <c r="AD94" s="37"/>
    </row>
    <row r="95" spans="2:30" ht="15.75" customHeight="1" x14ac:dyDescent="0.2">
      <c r="B95" s="71"/>
      <c r="C95" s="66"/>
      <c r="D95" s="69"/>
      <c r="E95" s="70"/>
      <c r="G95" s="13" t="s">
        <v>49</v>
      </c>
      <c r="H95" s="36">
        <v>1.4E-2</v>
      </c>
      <c r="I95" s="94">
        <f>+VLOOKUP(G95,'PRECIO PROVEEDORES'!$A$2:$B$716,2,0)</f>
        <v>1633</v>
      </c>
      <c r="J95" s="12">
        <f t="shared" si="10"/>
        <v>22.862000000000002</v>
      </c>
      <c r="L95" s="13" t="s">
        <v>280</v>
      </c>
      <c r="M95" s="36">
        <v>0.6</v>
      </c>
      <c r="N95" s="94">
        <f>+VLOOKUP(L95,'PRECIO PROVEEDORES'!$A$2:$B$716,2,0)</f>
        <v>3356</v>
      </c>
      <c r="O95" s="12">
        <f t="shared" si="11"/>
        <v>2013.6</v>
      </c>
      <c r="Q95" s="2"/>
      <c r="R95" s="2"/>
      <c r="S95" s="87"/>
      <c r="T95" s="37"/>
      <c r="V95" s="2"/>
      <c r="W95" s="2"/>
      <c r="X95" s="87"/>
      <c r="Y95" s="37"/>
      <c r="AA95" s="2"/>
      <c r="AB95" s="2"/>
      <c r="AC95" s="87"/>
      <c r="AD95" s="37"/>
    </row>
    <row r="96" spans="2:30" ht="15.75" customHeight="1" x14ac:dyDescent="0.2">
      <c r="B96" s="71"/>
      <c r="C96" s="66"/>
      <c r="D96" s="69"/>
      <c r="E96" s="70"/>
      <c r="G96" s="107" t="s">
        <v>238</v>
      </c>
      <c r="H96" s="36">
        <v>0.25</v>
      </c>
      <c r="I96" s="94">
        <f>+VLOOKUP(G96,'PRECIO PROVEEDORES'!$A$2:$B$716,2,0)</f>
        <v>36068</v>
      </c>
      <c r="J96" s="12">
        <f t="shared" si="10"/>
        <v>9017</v>
      </c>
      <c r="L96" s="7" t="s">
        <v>258</v>
      </c>
      <c r="M96" s="36">
        <v>0.2</v>
      </c>
      <c r="N96" s="94">
        <f>+VLOOKUP(L96,'PRECIO PROVEEDORES'!$A$2:$B$716,2,0)</f>
        <v>10203</v>
      </c>
      <c r="O96" s="12">
        <f t="shared" si="11"/>
        <v>2040.6000000000001</v>
      </c>
      <c r="Q96" s="2"/>
      <c r="R96" s="2"/>
      <c r="S96" s="87"/>
      <c r="T96" s="37"/>
      <c r="V96" s="2"/>
      <c r="W96" s="2"/>
      <c r="X96" s="87"/>
      <c r="Y96" s="37"/>
      <c r="AA96" s="2"/>
      <c r="AB96" s="2"/>
      <c r="AC96" s="87"/>
      <c r="AD96" s="37"/>
    </row>
    <row r="97" spans="2:30" ht="15.75" customHeight="1" x14ac:dyDescent="0.2">
      <c r="B97" s="71"/>
      <c r="C97" s="66"/>
      <c r="D97" s="69"/>
      <c r="E97" s="70"/>
      <c r="G97" s="108" t="s">
        <v>248</v>
      </c>
      <c r="H97" s="36">
        <v>0.25</v>
      </c>
      <c r="I97" s="94">
        <f>+VLOOKUP(G97,'PRECIO PROVEEDORES'!$A$2:$B$716,2,0)</f>
        <v>39988</v>
      </c>
      <c r="J97" s="12">
        <f t="shared" si="10"/>
        <v>9997</v>
      </c>
      <c r="L97" s="108" t="s">
        <v>248</v>
      </c>
      <c r="M97" s="36">
        <v>0.2</v>
      </c>
      <c r="N97" s="94">
        <f>+VLOOKUP(L97,'PRECIO PROVEEDORES'!$A$2:$B$716,2,0)</f>
        <v>39988</v>
      </c>
      <c r="O97" s="12">
        <f t="shared" si="11"/>
        <v>7997.6</v>
      </c>
      <c r="Q97" s="2"/>
      <c r="R97" s="2"/>
      <c r="S97" s="87"/>
      <c r="T97" s="37"/>
      <c r="V97" s="2"/>
      <c r="W97" s="2"/>
      <c r="X97" s="87"/>
      <c r="Y97" s="37"/>
      <c r="AA97" s="2"/>
      <c r="AB97" s="2"/>
      <c r="AC97" s="87"/>
      <c r="AD97" s="37"/>
    </row>
    <row r="98" spans="2:30" ht="15.75" customHeight="1" x14ac:dyDescent="0.2">
      <c r="B98" s="71"/>
      <c r="C98" s="66"/>
      <c r="D98" s="69"/>
      <c r="E98" s="70"/>
      <c r="G98" s="13" t="s">
        <v>265</v>
      </c>
      <c r="H98" s="36">
        <v>0.01</v>
      </c>
      <c r="I98" s="94">
        <f>+VLOOKUP(G98,'PRECIO PROVEEDORES'!$A$2:$B$716,2,0)</f>
        <v>2118</v>
      </c>
      <c r="J98" s="12">
        <f t="shared" si="10"/>
        <v>21.18</v>
      </c>
      <c r="L98" s="93" t="s">
        <v>172</v>
      </c>
      <c r="M98" s="36">
        <v>0.05</v>
      </c>
      <c r="N98" s="94">
        <f>+VLOOKUP(L98,'PRECIO PROVEEDORES'!$A$2:$B$716,2,0)</f>
        <v>9561</v>
      </c>
      <c r="O98" s="12">
        <f t="shared" si="11"/>
        <v>478.05</v>
      </c>
      <c r="Q98" s="2"/>
      <c r="R98" s="2"/>
      <c r="S98" s="87"/>
      <c r="T98" s="37"/>
      <c r="V98" s="2"/>
      <c r="W98" s="2"/>
      <c r="X98" s="87"/>
      <c r="Y98" s="37"/>
      <c r="AA98" s="2"/>
      <c r="AB98" s="2"/>
      <c r="AC98" s="87"/>
      <c r="AD98" s="37"/>
    </row>
    <row r="99" spans="2:30" ht="15.75" customHeight="1" x14ac:dyDescent="0.2">
      <c r="B99" s="64"/>
      <c r="C99" s="66"/>
      <c r="D99" s="69"/>
      <c r="E99" s="70"/>
      <c r="G99" s="64"/>
      <c r="H99" s="66"/>
      <c r="I99" s="69"/>
      <c r="J99" s="70"/>
      <c r="L99" s="64"/>
      <c r="M99" s="66"/>
      <c r="N99" s="69"/>
      <c r="O99" s="70"/>
      <c r="Q99" s="2"/>
      <c r="R99" s="2"/>
      <c r="S99" s="87"/>
      <c r="T99" s="37"/>
      <c r="V99" s="2"/>
      <c r="W99" s="2"/>
      <c r="X99" s="87"/>
      <c r="Y99" s="37"/>
      <c r="AA99" s="2"/>
      <c r="AB99" s="2"/>
      <c r="AC99" s="87"/>
      <c r="AD99" s="37"/>
    </row>
    <row r="100" spans="2:30" ht="15.75" customHeight="1" x14ac:dyDescent="0.2">
      <c r="B100" s="64"/>
      <c r="C100" s="66"/>
      <c r="D100" s="69"/>
      <c r="E100" s="70"/>
      <c r="G100" s="64"/>
      <c r="H100" s="66"/>
      <c r="I100" s="69"/>
      <c r="J100" s="70"/>
      <c r="L100" s="64"/>
      <c r="M100" s="66"/>
      <c r="N100" s="69"/>
      <c r="O100" s="70"/>
      <c r="Q100" s="2"/>
      <c r="R100" s="2"/>
      <c r="S100" s="87"/>
      <c r="T100" s="37"/>
      <c r="V100" s="2"/>
      <c r="W100" s="2"/>
      <c r="X100" s="87"/>
      <c r="Y100" s="37"/>
      <c r="AA100" s="2"/>
      <c r="AB100" s="2"/>
      <c r="AC100" s="87"/>
      <c r="AD100" s="37"/>
    </row>
    <row r="101" spans="2:30" ht="15.75" customHeight="1" x14ac:dyDescent="0.2">
      <c r="B101" s="64"/>
      <c r="C101" s="66"/>
      <c r="D101" s="69"/>
      <c r="E101" s="70"/>
      <c r="G101" s="64"/>
      <c r="H101" s="66"/>
      <c r="I101" s="69"/>
      <c r="J101" s="70"/>
      <c r="L101" s="64"/>
      <c r="M101" s="66"/>
      <c r="N101" s="69"/>
      <c r="O101" s="70"/>
      <c r="Q101" s="2"/>
      <c r="R101" s="2"/>
      <c r="S101" s="87"/>
      <c r="T101" s="37"/>
      <c r="V101" s="2"/>
      <c r="W101" s="2"/>
      <c r="X101" s="87"/>
      <c r="Y101" s="37"/>
      <c r="AA101" s="2"/>
      <c r="AB101" s="2"/>
      <c r="AC101" s="87"/>
      <c r="AD101" s="37"/>
    </row>
    <row r="102" spans="2:30" ht="15.75" customHeight="1" x14ac:dyDescent="0.2">
      <c r="B102" s="72" t="s">
        <v>52</v>
      </c>
      <c r="C102" s="73"/>
      <c r="D102" s="74"/>
      <c r="E102" s="95">
        <f>SUM(E87:E101)</f>
        <v>935.85429473684212</v>
      </c>
      <c r="G102" s="72" t="s">
        <v>52</v>
      </c>
      <c r="H102" s="73"/>
      <c r="I102" s="74"/>
      <c r="J102" s="95">
        <f>SUM(J87:J101)</f>
        <v>28023.202400000002</v>
      </c>
      <c r="L102" s="72" t="s">
        <v>52</v>
      </c>
      <c r="M102" s="73"/>
      <c r="N102" s="74"/>
      <c r="O102" s="95">
        <f>SUM(O87:O101)</f>
        <v>17577.215549999997</v>
      </c>
      <c r="Q102" s="2"/>
      <c r="R102" s="2"/>
      <c r="S102" s="87"/>
      <c r="T102" s="37"/>
      <c r="V102" s="2"/>
      <c r="W102" s="2"/>
      <c r="X102" s="87"/>
      <c r="Y102" s="37"/>
      <c r="AA102" s="2"/>
      <c r="AB102" s="2"/>
      <c r="AC102" s="87"/>
      <c r="AD102" s="37"/>
    </row>
    <row r="103" spans="2:30" ht="15.75" customHeight="1" x14ac:dyDescent="0.2">
      <c r="B103" s="76" t="s">
        <v>53</v>
      </c>
      <c r="C103" s="77"/>
      <c r="D103" s="78"/>
      <c r="E103" s="96">
        <f>SUM(E102)</f>
        <v>935.85429473684212</v>
      </c>
      <c r="G103" s="76" t="s">
        <v>53</v>
      </c>
      <c r="H103" s="77"/>
      <c r="I103" s="78"/>
      <c r="J103" s="96">
        <f>SUM(J102)</f>
        <v>28023.202400000002</v>
      </c>
      <c r="L103" s="76" t="s">
        <v>53</v>
      </c>
      <c r="M103" s="77"/>
      <c r="N103" s="78"/>
      <c r="O103" s="96">
        <f>SUM(O102)</f>
        <v>17577.215549999997</v>
      </c>
      <c r="Q103" s="2"/>
      <c r="R103" s="2"/>
      <c r="S103" s="87"/>
      <c r="T103" s="37"/>
      <c r="V103" s="2"/>
      <c r="W103" s="2"/>
      <c r="X103" s="87"/>
      <c r="Y103" s="37"/>
      <c r="AA103" s="2"/>
      <c r="AB103" s="2"/>
      <c r="AC103" s="87"/>
      <c r="AD103" s="37"/>
    </row>
    <row r="104" spans="2:30" ht="15.75" customHeight="1" x14ac:dyDescent="0.2">
      <c r="B104" s="76" t="s">
        <v>54</v>
      </c>
      <c r="C104" s="77"/>
      <c r="D104" s="78"/>
      <c r="E104" s="96">
        <f>+E103</f>
        <v>935.85429473684212</v>
      </c>
      <c r="G104" s="76" t="s">
        <v>54</v>
      </c>
      <c r="H104" s="77"/>
      <c r="I104" s="78"/>
      <c r="J104" s="96">
        <f>+J103/29</f>
        <v>966.31732413793111</v>
      </c>
      <c r="L104" s="76" t="s">
        <v>54</v>
      </c>
      <c r="M104" s="77"/>
      <c r="N104" s="78"/>
      <c r="O104" s="96">
        <f>+O103</f>
        <v>17577.215549999997</v>
      </c>
      <c r="Q104" s="2"/>
      <c r="R104" s="2"/>
      <c r="S104" s="87"/>
      <c r="T104" s="37"/>
      <c r="V104" s="2"/>
      <c r="W104" s="2"/>
      <c r="X104" s="87"/>
      <c r="Y104" s="37"/>
      <c r="AA104" s="2"/>
      <c r="AB104" s="2"/>
      <c r="AC104" s="87"/>
      <c r="AD104" s="37"/>
    </row>
    <row r="105" spans="2:30" ht="15.75" customHeight="1" x14ac:dyDescent="0.2">
      <c r="B105" s="76" t="s">
        <v>55</v>
      </c>
      <c r="C105" s="77"/>
      <c r="D105" s="80">
        <v>0.3</v>
      </c>
      <c r="E105" s="81"/>
      <c r="G105" s="76" t="s">
        <v>55</v>
      </c>
      <c r="H105" s="77"/>
      <c r="I105" s="80">
        <v>0.3</v>
      </c>
      <c r="J105" s="81"/>
      <c r="L105" s="76" t="s">
        <v>55</v>
      </c>
      <c r="M105" s="77"/>
      <c r="N105" s="80">
        <v>0.3</v>
      </c>
      <c r="O105" s="81"/>
      <c r="Q105" s="88"/>
      <c r="R105" s="88"/>
      <c r="S105" s="89"/>
      <c r="T105" s="89"/>
      <c r="V105" s="88"/>
      <c r="W105" s="88"/>
      <c r="X105" s="89"/>
      <c r="Y105" s="89"/>
      <c r="AA105" s="88"/>
      <c r="AB105" s="88"/>
      <c r="AC105" s="89"/>
      <c r="AD105" s="89"/>
    </row>
    <row r="106" spans="2:30" ht="15.75" customHeight="1" x14ac:dyDescent="0.2">
      <c r="B106" s="76" t="s">
        <v>56</v>
      </c>
      <c r="C106" s="77"/>
      <c r="D106" s="82"/>
      <c r="E106" s="96">
        <f>+E104*3.33333333333333</f>
        <v>3119.5143157894704</v>
      </c>
      <c r="G106" s="76" t="s">
        <v>56</v>
      </c>
      <c r="H106" s="77"/>
      <c r="I106" s="82"/>
      <c r="J106" s="96">
        <f>+J104*3.33333333333333</f>
        <v>3221.0577471264337</v>
      </c>
      <c r="L106" s="76" t="s">
        <v>56</v>
      </c>
      <c r="M106" s="77"/>
      <c r="N106" s="82"/>
      <c r="O106" s="96">
        <f>+O104*3.33333333333333</f>
        <v>58590.71849999993</v>
      </c>
      <c r="Q106" s="2"/>
      <c r="R106" s="2"/>
      <c r="S106" s="90"/>
      <c r="T106" s="90"/>
      <c r="V106" s="2"/>
      <c r="W106" s="2"/>
      <c r="X106" s="90"/>
      <c r="Y106" s="90"/>
      <c r="AA106" s="2"/>
      <c r="AB106" s="2"/>
      <c r="AC106" s="90"/>
      <c r="AD106" s="90"/>
    </row>
    <row r="107" spans="2:30" ht="15.75" customHeight="1" x14ac:dyDescent="0.2">
      <c r="B107" s="76" t="s">
        <v>57</v>
      </c>
      <c r="C107" s="77"/>
      <c r="D107" s="78">
        <v>3750</v>
      </c>
      <c r="E107" s="96">
        <v>3850</v>
      </c>
      <c r="G107" s="76" t="s">
        <v>57</v>
      </c>
      <c r="H107" s="77"/>
      <c r="I107" s="78">
        <v>3833</v>
      </c>
      <c r="J107" s="96">
        <v>4000</v>
      </c>
      <c r="L107" s="76" t="s">
        <v>250</v>
      </c>
      <c r="M107" s="77"/>
      <c r="N107" s="78"/>
      <c r="O107" s="96">
        <v>53226</v>
      </c>
      <c r="Q107" s="2"/>
      <c r="R107" s="2"/>
      <c r="S107" s="90"/>
      <c r="T107" s="90"/>
      <c r="V107" s="2"/>
      <c r="W107" s="2"/>
      <c r="X107" s="90"/>
      <c r="Y107" s="90"/>
      <c r="AA107" s="2"/>
      <c r="AB107" s="2"/>
      <c r="AC107" s="90"/>
      <c r="AD107" s="90"/>
    </row>
    <row r="108" spans="2:30" ht="15.75" customHeight="1" x14ac:dyDescent="0.2">
      <c r="B108" s="71"/>
      <c r="C108" s="77"/>
      <c r="D108" s="78"/>
      <c r="E108" s="95">
        <f>+E107-E106</f>
        <v>730.4856842105296</v>
      </c>
      <c r="G108" s="71"/>
      <c r="H108" s="77"/>
      <c r="I108" s="78"/>
      <c r="J108" s="95">
        <f>+J107-J106</f>
        <v>778.9422528735663</v>
      </c>
      <c r="L108" s="71"/>
      <c r="M108" s="77"/>
      <c r="N108" s="78"/>
      <c r="O108" s="95">
        <f>+O107-O106</f>
        <v>-5364.7184999999299</v>
      </c>
      <c r="Q108" s="2"/>
      <c r="R108" s="2"/>
      <c r="S108" s="91"/>
      <c r="T108" s="90"/>
      <c r="V108" s="2"/>
      <c r="W108" s="2"/>
      <c r="X108" s="91"/>
      <c r="Y108" s="90"/>
      <c r="AA108" s="2"/>
      <c r="AB108" s="2"/>
      <c r="AC108" s="91"/>
      <c r="AD108" s="90"/>
    </row>
    <row r="109" spans="2:30" ht="15.75" customHeight="1" x14ac:dyDescent="0.2">
      <c r="B109" s="32" t="s">
        <v>58</v>
      </c>
      <c r="C109" s="83"/>
      <c r="D109" s="110"/>
      <c r="E109" s="98">
        <f>E104/E107</f>
        <v>0.24307903759398497</v>
      </c>
      <c r="G109" s="32" t="s">
        <v>58</v>
      </c>
      <c r="H109" s="83"/>
      <c r="I109" s="110"/>
      <c r="J109" s="98">
        <f>J104/J107</f>
        <v>0.24157933103448279</v>
      </c>
      <c r="L109" s="32" t="s">
        <v>58</v>
      </c>
      <c r="M109" s="83"/>
      <c r="N109" s="110"/>
      <c r="O109" s="98">
        <f>O104/O107</f>
        <v>0.33023739431856608</v>
      </c>
      <c r="Q109" s="2"/>
      <c r="R109" s="2"/>
      <c r="S109" s="91"/>
      <c r="T109" s="90"/>
      <c r="V109" s="2"/>
      <c r="W109" s="2"/>
      <c r="X109" s="91"/>
      <c r="Y109" s="90"/>
      <c r="AA109" s="2"/>
      <c r="AB109" s="2"/>
      <c r="AC109" s="91"/>
      <c r="AD109" s="90"/>
    </row>
    <row r="110" spans="2:30" ht="15.75" customHeight="1" x14ac:dyDescent="0.2">
      <c r="B110" s="2"/>
      <c r="C110" s="2"/>
      <c r="D110" s="2"/>
      <c r="E110" s="90"/>
      <c r="G110" s="2"/>
      <c r="H110" s="2"/>
      <c r="I110" s="2"/>
      <c r="J110" s="90"/>
      <c r="L110" s="2"/>
      <c r="M110" s="2"/>
      <c r="N110" s="2"/>
      <c r="O110" s="90"/>
      <c r="Q110" s="2"/>
      <c r="R110" s="2"/>
      <c r="S110" s="2"/>
      <c r="T110" s="90"/>
      <c r="V110" s="2"/>
      <c r="W110" s="2"/>
      <c r="X110" s="2"/>
      <c r="Y110" s="90"/>
      <c r="AA110" s="2"/>
      <c r="AB110" s="2"/>
      <c r="AC110" s="2"/>
      <c r="AD110" s="90"/>
    </row>
    <row r="111" spans="2:30" ht="15.75" customHeight="1" x14ac:dyDescent="0.2">
      <c r="B111" s="2"/>
      <c r="C111" s="2"/>
      <c r="D111" s="2"/>
      <c r="E111" s="90"/>
      <c r="G111" s="2"/>
      <c r="H111" s="2"/>
      <c r="I111" s="2"/>
      <c r="J111" s="90"/>
      <c r="L111" s="2"/>
      <c r="M111" s="2"/>
      <c r="N111" s="2"/>
      <c r="O111" s="90"/>
      <c r="Q111" s="2"/>
      <c r="R111" s="2"/>
      <c r="S111" s="2"/>
      <c r="T111" s="90"/>
      <c r="V111" s="2"/>
      <c r="W111" s="2"/>
      <c r="X111" s="2"/>
      <c r="Y111" s="90"/>
      <c r="AA111" s="2"/>
      <c r="AB111" s="2"/>
      <c r="AC111" s="2"/>
      <c r="AD111" s="90"/>
    </row>
    <row r="112" spans="2:30" ht="15.75" customHeight="1" x14ac:dyDescent="0.2">
      <c r="B112" s="218" t="s">
        <v>284</v>
      </c>
      <c r="C112" s="213"/>
      <c r="D112" s="213"/>
      <c r="E112" s="214"/>
      <c r="G112" s="218" t="s">
        <v>285</v>
      </c>
      <c r="H112" s="213"/>
      <c r="I112" s="213"/>
      <c r="J112" s="214"/>
      <c r="L112" s="218" t="s">
        <v>286</v>
      </c>
      <c r="M112" s="213"/>
      <c r="N112" s="213"/>
      <c r="O112" s="214"/>
      <c r="Q112" s="2"/>
      <c r="R112" s="2"/>
      <c r="S112" s="90"/>
      <c r="T112" s="89"/>
      <c r="V112" s="2"/>
      <c r="W112" s="2"/>
      <c r="X112" s="90"/>
      <c r="Y112" s="89"/>
      <c r="AA112" s="2"/>
      <c r="AB112" s="2"/>
      <c r="AC112" s="90"/>
      <c r="AD112" s="89"/>
    </row>
    <row r="113" spans="2:30" ht="15.75" customHeight="1" x14ac:dyDescent="0.2">
      <c r="B113" s="64"/>
      <c r="C113" s="65" t="s">
        <v>8</v>
      </c>
      <c r="D113" s="7" t="s">
        <v>9</v>
      </c>
      <c r="E113" s="8" t="s">
        <v>10</v>
      </c>
      <c r="G113" s="64"/>
      <c r="H113" s="65" t="s">
        <v>8</v>
      </c>
      <c r="I113" s="7" t="s">
        <v>9</v>
      </c>
      <c r="J113" s="8" t="s">
        <v>10</v>
      </c>
      <c r="L113" s="64"/>
      <c r="M113" s="65" t="s">
        <v>8</v>
      </c>
      <c r="N113" s="7" t="s">
        <v>9</v>
      </c>
      <c r="O113" s="8" t="s">
        <v>10</v>
      </c>
      <c r="Q113" s="2"/>
      <c r="R113" s="2"/>
      <c r="S113" s="2"/>
      <c r="T113" s="91"/>
      <c r="V113" s="2"/>
      <c r="W113" s="2"/>
      <c r="X113" s="2"/>
      <c r="Y113" s="91"/>
      <c r="AA113" s="2"/>
      <c r="AB113" s="2"/>
      <c r="AC113" s="2"/>
      <c r="AD113" s="91"/>
    </row>
    <row r="114" spans="2:30" ht="15.75" customHeight="1" x14ac:dyDescent="0.2">
      <c r="B114" s="13" t="s">
        <v>287</v>
      </c>
      <c r="C114" s="10">
        <v>0.4</v>
      </c>
      <c r="D114" s="94">
        <f>+VLOOKUP(B114,'PRECIO PROVEEDORES'!$A$2:$B$716,2,0)</f>
        <v>1650</v>
      </c>
      <c r="E114" s="12">
        <f t="shared" ref="E114:E129" si="12">+C114*D114</f>
        <v>660</v>
      </c>
      <c r="G114" s="13" t="s">
        <v>288</v>
      </c>
      <c r="H114" s="10">
        <v>0.3</v>
      </c>
      <c r="I114" s="94">
        <f>+VLOOKUP(G114,'PRECIO PROVEEDORES'!$A$2:$B$716,2,0)</f>
        <v>4063.4263999999998</v>
      </c>
      <c r="J114" s="12">
        <f t="shared" ref="J114:J121" si="13">+H114*I114</f>
        <v>1219.02792</v>
      </c>
      <c r="L114" s="13" t="s">
        <v>23</v>
      </c>
      <c r="M114" s="10">
        <v>0.27</v>
      </c>
      <c r="N114" s="94">
        <f>+VLOOKUP(L114,'PRECIO PROVEEDORES'!$A$2:$B$716,2,0)</f>
        <v>3360</v>
      </c>
      <c r="O114" s="12">
        <f t="shared" ref="O114:O127" si="14">+M114*N114</f>
        <v>907.2</v>
      </c>
    </row>
    <row r="115" spans="2:30" ht="15.75" customHeight="1" x14ac:dyDescent="0.2">
      <c r="B115" s="13" t="s">
        <v>289</v>
      </c>
      <c r="C115" s="10">
        <v>0.06</v>
      </c>
      <c r="D115" s="94">
        <f>+VLOOKUP(B115,'PRECIO PROVEEDORES'!$A$2:$B$716,2,0)</f>
        <v>11721</v>
      </c>
      <c r="E115" s="12">
        <f t="shared" si="12"/>
        <v>703.26</v>
      </c>
      <c r="G115" s="13" t="s">
        <v>247</v>
      </c>
      <c r="H115" s="10">
        <v>0.06</v>
      </c>
      <c r="I115" s="94">
        <f>+VLOOKUP(G115,'PRECIO PROVEEDORES'!$A$2:$B$716,2,0)</f>
        <v>12000</v>
      </c>
      <c r="J115" s="12">
        <f t="shared" si="13"/>
        <v>720</v>
      </c>
      <c r="L115" s="13" t="s">
        <v>290</v>
      </c>
      <c r="M115" s="10">
        <v>0.155</v>
      </c>
      <c r="N115" s="94">
        <f>+VLOOKUP(L115,'PRECIO PROVEEDORES'!$A$2:$B$716,2,0)</f>
        <v>2850</v>
      </c>
      <c r="O115" s="12">
        <f t="shared" si="14"/>
        <v>441.75</v>
      </c>
    </row>
    <row r="116" spans="2:30" ht="15.75" customHeight="1" x14ac:dyDescent="0.2">
      <c r="B116" s="13" t="s">
        <v>210</v>
      </c>
      <c r="C116" s="10">
        <v>0.3</v>
      </c>
      <c r="D116" s="94">
        <f>+VLOOKUP(B116,'PRECIO PROVEEDORES'!$A$2:$B$716,2,0)</f>
        <v>1352</v>
      </c>
      <c r="E116" s="12">
        <f t="shared" si="12"/>
        <v>405.59999999999997</v>
      </c>
      <c r="G116" s="13" t="s">
        <v>269</v>
      </c>
      <c r="H116" s="10">
        <v>0.8</v>
      </c>
      <c r="I116" s="94">
        <f>+VLOOKUP(G116,'PRECIO PROVEEDORES'!$A$2:$B$716,2,0)</f>
        <v>6600</v>
      </c>
      <c r="J116" s="12">
        <f t="shared" si="13"/>
        <v>5280</v>
      </c>
      <c r="L116" s="13" t="s">
        <v>210</v>
      </c>
      <c r="M116" s="10">
        <v>0.25</v>
      </c>
      <c r="N116" s="94">
        <f>+VLOOKUP(L116,'PRECIO PROVEEDORES'!$A$2:$B$716,2,0)</f>
        <v>1352</v>
      </c>
      <c r="O116" s="12">
        <f t="shared" si="14"/>
        <v>338</v>
      </c>
    </row>
    <row r="117" spans="2:30" ht="15.75" customHeight="1" x14ac:dyDescent="0.2">
      <c r="B117" s="13" t="s">
        <v>265</v>
      </c>
      <c r="C117" s="10">
        <v>5.0000000000000001E-3</v>
      </c>
      <c r="D117" s="94">
        <f>+VLOOKUP(B117,'PRECIO PROVEEDORES'!$A$2:$B$716,2,0)</f>
        <v>2118</v>
      </c>
      <c r="E117" s="12">
        <f t="shared" si="12"/>
        <v>10.59</v>
      </c>
      <c r="G117" s="13" t="s">
        <v>241</v>
      </c>
      <c r="H117" s="10">
        <v>0.15</v>
      </c>
      <c r="I117" s="94">
        <f>+VLOOKUP(G117,'PRECIO PROVEEDORES'!$A$2:$B$716,2,0)</f>
        <v>10203</v>
      </c>
      <c r="J117" s="12">
        <f t="shared" si="13"/>
        <v>1530.45</v>
      </c>
      <c r="L117" s="13" t="s">
        <v>115</v>
      </c>
      <c r="M117" s="10">
        <v>8.5000000000000006E-2</v>
      </c>
      <c r="N117" s="94">
        <f>+VLOOKUP(L117,'PRECIO PROVEEDORES'!$A$2:$B$716,2,0)</f>
        <v>4299.01</v>
      </c>
      <c r="O117" s="12">
        <f t="shared" si="14"/>
        <v>365.41585000000003</v>
      </c>
    </row>
    <row r="118" spans="2:30" ht="15.75" customHeight="1" x14ac:dyDescent="0.2">
      <c r="B118" s="13" t="s">
        <v>237</v>
      </c>
      <c r="C118" s="10">
        <v>0.22500000000000001</v>
      </c>
      <c r="D118" s="94">
        <f>+VLOOKUP(B118,'PRECIO PROVEEDORES'!$A$2:$B$716,2,0)</f>
        <v>1043.22</v>
      </c>
      <c r="E118" s="12">
        <f t="shared" si="12"/>
        <v>234.72450000000001</v>
      </c>
      <c r="G118" s="13" t="s">
        <v>210</v>
      </c>
      <c r="H118" s="10">
        <v>0.15</v>
      </c>
      <c r="I118" s="94">
        <f>+VLOOKUP(G118,'PRECIO PROVEEDORES'!$A$2:$B$716,2,0)</f>
        <v>1352</v>
      </c>
      <c r="J118" s="12">
        <f t="shared" si="13"/>
        <v>202.79999999999998</v>
      </c>
      <c r="L118" s="13" t="s">
        <v>289</v>
      </c>
      <c r="M118" s="10">
        <v>0.08</v>
      </c>
      <c r="N118" s="94">
        <f>+VLOOKUP(L118,'PRECIO PROVEEDORES'!$A$2:$B$716,2,0)</f>
        <v>11721</v>
      </c>
      <c r="O118" s="12">
        <f t="shared" si="14"/>
        <v>937.68000000000006</v>
      </c>
    </row>
    <row r="119" spans="2:30" ht="15.75" customHeight="1" x14ac:dyDescent="0.2">
      <c r="B119" s="13" t="s">
        <v>245</v>
      </c>
      <c r="C119" s="10">
        <v>5.0000000000000001E-3</v>
      </c>
      <c r="D119" s="94">
        <f>+VLOOKUP(B119,'PRECIO PROVEEDORES'!$A$2:$B$716,2,0)</f>
        <v>2517</v>
      </c>
      <c r="E119" s="12">
        <f t="shared" si="12"/>
        <v>12.585000000000001</v>
      </c>
      <c r="G119" s="13" t="s">
        <v>17</v>
      </c>
      <c r="H119" s="10">
        <v>4</v>
      </c>
      <c r="I119" s="94">
        <f>+VLOOKUP(G119,'PRECIO PROVEEDORES'!$A$2:$B$716,2,0)</f>
        <v>192</v>
      </c>
      <c r="J119" s="12">
        <f t="shared" si="13"/>
        <v>768</v>
      </c>
      <c r="L119" s="7" t="s">
        <v>291</v>
      </c>
      <c r="M119" s="10">
        <v>0.03</v>
      </c>
      <c r="N119" s="94">
        <f>+VLOOKUP(L119,'PRECIO PROVEEDORES'!$A$2:$B$716,2,0)</f>
        <v>1037</v>
      </c>
      <c r="O119" s="12">
        <f t="shared" si="14"/>
        <v>31.11</v>
      </c>
    </row>
    <row r="120" spans="2:30" ht="15.75" customHeight="1" x14ac:dyDescent="0.2">
      <c r="B120" s="13" t="s">
        <v>266</v>
      </c>
      <c r="C120" s="10">
        <v>4.0000000000000001E-3</v>
      </c>
      <c r="D120" s="94">
        <f>+VLOOKUP(B120,'PRECIO PROVEEDORES'!$A$2:$B$716,2,0)</f>
        <v>6040</v>
      </c>
      <c r="E120" s="12">
        <f t="shared" si="12"/>
        <v>24.16</v>
      </c>
      <c r="G120" s="13" t="s">
        <v>273</v>
      </c>
      <c r="H120" s="10">
        <v>0.02</v>
      </c>
      <c r="I120" s="94">
        <f>+VLOOKUP(G120,'PRECIO PROVEEDORES'!$A$2:$B$716,2,0)</f>
        <v>2191</v>
      </c>
      <c r="J120" s="12">
        <f t="shared" si="13"/>
        <v>43.82</v>
      </c>
      <c r="L120" s="13" t="s">
        <v>265</v>
      </c>
      <c r="M120" s="10">
        <v>2.5000000000000001E-2</v>
      </c>
      <c r="N120" s="94">
        <f>+VLOOKUP(L120,'PRECIO PROVEEDORES'!$A$2:$B$716,2,0)</f>
        <v>2118</v>
      </c>
      <c r="O120" s="12">
        <f t="shared" si="14"/>
        <v>52.95</v>
      </c>
    </row>
    <row r="121" spans="2:30" ht="15.75" customHeight="1" x14ac:dyDescent="0.2">
      <c r="B121" s="13" t="s">
        <v>255</v>
      </c>
      <c r="C121" s="10">
        <v>4.0000000000000001E-3</v>
      </c>
      <c r="D121" s="94">
        <f>+VLOOKUP(B121,'PRECIO PROVEEDORES'!$A$2:$B$716,2,0)</f>
        <v>10061.64</v>
      </c>
      <c r="E121" s="12">
        <f t="shared" si="12"/>
        <v>40.246559999999995</v>
      </c>
      <c r="G121" s="7" t="s">
        <v>292</v>
      </c>
      <c r="H121" s="36">
        <v>0.5</v>
      </c>
      <c r="I121" s="94">
        <f>+VLOOKUP(G121,'PRECIO PROVEEDORES'!$A$2:$B$716,2,0)</f>
        <v>8184</v>
      </c>
      <c r="J121" s="12">
        <f t="shared" si="13"/>
        <v>4092</v>
      </c>
      <c r="L121" s="13" t="s">
        <v>49</v>
      </c>
      <c r="M121" s="10">
        <v>0.01</v>
      </c>
      <c r="N121" s="94">
        <f>+VLOOKUP(L121,'PRECIO PROVEEDORES'!$A$2:$B$716,2,0)</f>
        <v>1633</v>
      </c>
      <c r="O121" s="12">
        <f t="shared" si="14"/>
        <v>16.330000000000002</v>
      </c>
    </row>
    <row r="122" spans="2:30" ht="15.75" customHeight="1" x14ac:dyDescent="0.2">
      <c r="B122" s="13" t="s">
        <v>115</v>
      </c>
      <c r="C122" s="10">
        <v>0.15</v>
      </c>
      <c r="D122" s="94">
        <f>+VLOOKUP(B122,'PRECIO PROVEEDORES'!$A$2:$B$716,2,0)</f>
        <v>4299.01</v>
      </c>
      <c r="E122" s="12">
        <f t="shared" si="12"/>
        <v>644.85149999999999</v>
      </c>
      <c r="G122" s="7"/>
      <c r="H122" s="36"/>
      <c r="I122" s="94"/>
      <c r="J122" s="12"/>
      <c r="L122" s="13" t="s">
        <v>237</v>
      </c>
      <c r="M122" s="10">
        <v>0.32</v>
      </c>
      <c r="N122" s="94">
        <f>+VLOOKUP(L122,'PRECIO PROVEEDORES'!$A$2:$B$716,2,0)</f>
        <v>1043.22</v>
      </c>
      <c r="O122" s="12">
        <f t="shared" si="14"/>
        <v>333.8304</v>
      </c>
    </row>
    <row r="123" spans="2:30" ht="15.75" customHeight="1" x14ac:dyDescent="0.2">
      <c r="B123" s="13" t="s">
        <v>293</v>
      </c>
      <c r="C123" s="10">
        <v>0.06</v>
      </c>
      <c r="D123" s="94">
        <f>+VLOOKUP(B123,'PRECIO PROVEEDORES'!$A$2:$B$716,2,0)</f>
        <v>27769.5</v>
      </c>
      <c r="E123" s="12">
        <f t="shared" si="12"/>
        <v>1666.1699999999998</v>
      </c>
      <c r="G123" s="71"/>
      <c r="H123" s="66"/>
      <c r="I123" s="69"/>
      <c r="J123" s="70"/>
      <c r="L123" s="109" t="s">
        <v>274</v>
      </c>
      <c r="M123" s="10">
        <v>0.1</v>
      </c>
      <c r="N123" s="94">
        <f>+VLOOKUP(L123,'PRECIO PROVEEDORES'!$A$2:$B$716,2,0)</f>
        <v>5987</v>
      </c>
      <c r="O123" s="12">
        <f t="shared" si="14"/>
        <v>598.70000000000005</v>
      </c>
    </row>
    <row r="124" spans="2:30" ht="15.75" customHeight="1" x14ac:dyDescent="0.2">
      <c r="B124" s="7" t="s">
        <v>270</v>
      </c>
      <c r="C124" s="10">
        <v>0.04</v>
      </c>
      <c r="D124" s="94">
        <f>+VLOOKUP(B124,'PRECIO PROVEEDORES'!$A$2:$B$716,2,0)</f>
        <v>6292</v>
      </c>
      <c r="E124" s="12">
        <f t="shared" si="12"/>
        <v>251.68</v>
      </c>
      <c r="G124" s="71"/>
      <c r="H124" s="66"/>
      <c r="I124" s="69"/>
      <c r="J124" s="70"/>
      <c r="L124" s="7" t="s">
        <v>246</v>
      </c>
      <c r="M124" s="10">
        <v>1.2E-2</v>
      </c>
      <c r="N124" s="94">
        <f>+VLOOKUP(L124,'PRECIO PROVEEDORES'!$A$2:$B$716,2,0)</f>
        <v>6040</v>
      </c>
      <c r="O124" s="12">
        <f t="shared" si="14"/>
        <v>72.48</v>
      </c>
    </row>
    <row r="125" spans="2:30" ht="15.75" customHeight="1" x14ac:dyDescent="0.2">
      <c r="B125" s="7" t="s">
        <v>294</v>
      </c>
      <c r="C125" s="102">
        <v>0</v>
      </c>
      <c r="D125" s="94">
        <f>+VLOOKUP(B125,'PRECIO PROVEEDORES'!$A$2:$B$716,2,0)</f>
        <v>0</v>
      </c>
      <c r="E125" s="12">
        <f t="shared" si="12"/>
        <v>0</v>
      </c>
      <c r="G125" s="71"/>
      <c r="H125" s="66"/>
      <c r="I125" s="69"/>
      <c r="J125" s="70"/>
      <c r="L125" s="13" t="s">
        <v>245</v>
      </c>
      <c r="M125" s="10">
        <v>0.01</v>
      </c>
      <c r="N125" s="94">
        <f>+VLOOKUP(L125,'PRECIO PROVEEDORES'!$A$2:$B$716,2,0)</f>
        <v>2517</v>
      </c>
      <c r="O125" s="12">
        <f t="shared" si="14"/>
        <v>25.17</v>
      </c>
    </row>
    <row r="126" spans="2:30" ht="15.75" customHeight="1" x14ac:dyDescent="0.2">
      <c r="B126" s="13" t="s">
        <v>247</v>
      </c>
      <c r="C126" s="10">
        <v>0.1</v>
      </c>
      <c r="D126" s="94">
        <f>+VLOOKUP(B126,'PRECIO PROVEEDORES'!$A$2:$B$716,2,0)</f>
        <v>12000</v>
      </c>
      <c r="E126" s="12">
        <f t="shared" si="12"/>
        <v>1200</v>
      </c>
      <c r="G126" s="64"/>
      <c r="H126" s="66"/>
      <c r="I126" s="69"/>
      <c r="J126" s="70"/>
      <c r="L126" s="13" t="s">
        <v>293</v>
      </c>
      <c r="M126" s="10">
        <v>0.105</v>
      </c>
      <c r="N126" s="94">
        <f>+VLOOKUP(L126,'PRECIO PROVEEDORES'!$A$2:$B$716,2,0)</f>
        <v>27769.5</v>
      </c>
      <c r="O126" s="12">
        <f t="shared" si="14"/>
        <v>2915.7974999999997</v>
      </c>
    </row>
    <row r="127" spans="2:30" ht="15.75" customHeight="1" x14ac:dyDescent="0.2">
      <c r="B127" s="13" t="s">
        <v>269</v>
      </c>
      <c r="C127" s="10">
        <v>0.1</v>
      </c>
      <c r="D127" s="94">
        <f>+VLOOKUP(B127,'PRECIO PROVEEDORES'!$A$2:$B$716,2,0)</f>
        <v>6600</v>
      </c>
      <c r="E127" s="12">
        <f t="shared" si="12"/>
        <v>660</v>
      </c>
      <c r="G127" s="64"/>
      <c r="H127" s="66"/>
      <c r="I127" s="69"/>
      <c r="J127" s="70"/>
      <c r="L127" s="13" t="s">
        <v>295</v>
      </c>
      <c r="M127" s="10">
        <v>0.1</v>
      </c>
      <c r="N127" s="94">
        <f>+VLOOKUP(L127,'PRECIO PROVEEDORES'!$A$2:$B$716,2,0)</f>
        <v>28023.56</v>
      </c>
      <c r="O127" s="12">
        <f t="shared" si="14"/>
        <v>2802.3560000000002</v>
      </c>
    </row>
    <row r="128" spans="2:30" ht="15.75" customHeight="1" x14ac:dyDescent="0.2">
      <c r="B128" s="13" t="s">
        <v>271</v>
      </c>
      <c r="C128" s="10">
        <v>0.4</v>
      </c>
      <c r="D128" s="94">
        <f>+VLOOKUP(B128,'PRECIO PROVEEDORES'!$A$2:$B$716,2,0)</f>
        <v>1684</v>
      </c>
      <c r="E128" s="12">
        <f t="shared" si="12"/>
        <v>673.6</v>
      </c>
      <c r="G128" s="64"/>
      <c r="H128" s="66"/>
      <c r="I128" s="69"/>
      <c r="J128" s="70"/>
      <c r="L128" s="64"/>
      <c r="M128" s="66"/>
      <c r="N128" s="69"/>
      <c r="O128" s="70"/>
    </row>
    <row r="129" spans="2:15" ht="15.75" customHeight="1" x14ac:dyDescent="0.2">
      <c r="B129" s="7" t="s">
        <v>17</v>
      </c>
      <c r="C129" s="66">
        <v>3</v>
      </c>
      <c r="D129" s="94">
        <f>+VLOOKUP(B129,'PRECIO PROVEEDORES'!$A$2:$B$716,2,0)</f>
        <v>192</v>
      </c>
      <c r="E129" s="12">
        <f t="shared" si="12"/>
        <v>576</v>
      </c>
      <c r="G129" s="64"/>
      <c r="H129" s="66"/>
      <c r="I129" s="69"/>
      <c r="J129" s="70"/>
      <c r="L129" s="64"/>
      <c r="M129" s="66"/>
      <c r="N129" s="69"/>
      <c r="O129" s="70"/>
    </row>
    <row r="130" spans="2:15" ht="15.75" customHeight="1" x14ac:dyDescent="0.2">
      <c r="B130" s="13"/>
      <c r="C130" s="66"/>
      <c r="D130" s="69"/>
      <c r="E130" s="70"/>
      <c r="G130" s="64"/>
      <c r="H130" s="66"/>
      <c r="I130" s="69"/>
      <c r="J130" s="70"/>
      <c r="L130" s="64"/>
      <c r="M130" s="66"/>
      <c r="N130" s="69"/>
      <c r="O130" s="70"/>
    </row>
    <row r="131" spans="2:15" ht="15.75" customHeight="1" x14ac:dyDescent="0.2">
      <c r="B131" s="72" t="s">
        <v>52</v>
      </c>
      <c r="C131" s="73"/>
      <c r="D131" s="74"/>
      <c r="E131" s="95">
        <f>SUM(E114:E128)</f>
        <v>7187.467560000001</v>
      </c>
      <c r="G131" s="72" t="s">
        <v>52</v>
      </c>
      <c r="H131" s="73"/>
      <c r="I131" s="74"/>
      <c r="J131" s="95">
        <f>SUM(J114:J128)</f>
        <v>13856.09792</v>
      </c>
      <c r="L131" s="72" t="s">
        <v>52</v>
      </c>
      <c r="M131" s="73"/>
      <c r="N131" s="74"/>
      <c r="O131" s="95">
        <f>SUM(O114:O128)</f>
        <v>9838.7697499999995</v>
      </c>
    </row>
    <row r="132" spans="2:15" ht="15.75" customHeight="1" x14ac:dyDescent="0.2">
      <c r="B132" s="76" t="s">
        <v>53</v>
      </c>
      <c r="C132" s="77"/>
      <c r="D132" s="78"/>
      <c r="E132" s="96">
        <f>SUM(E131)</f>
        <v>7187.467560000001</v>
      </c>
      <c r="G132" s="76" t="s">
        <v>53</v>
      </c>
      <c r="H132" s="77"/>
      <c r="I132" s="78"/>
      <c r="J132" s="96">
        <f>SUM(J131)</f>
        <v>13856.09792</v>
      </c>
      <c r="L132" s="76" t="s">
        <v>53</v>
      </c>
      <c r="M132" s="77"/>
      <c r="N132" s="78"/>
      <c r="O132" s="96">
        <f>SUM(O131)</f>
        <v>9838.7697499999995</v>
      </c>
    </row>
    <row r="133" spans="2:15" ht="15.75" customHeight="1" x14ac:dyDescent="0.2">
      <c r="B133" s="76" t="s">
        <v>54</v>
      </c>
      <c r="C133" s="77"/>
      <c r="D133" s="78"/>
      <c r="E133" s="96">
        <f>+E132</f>
        <v>7187.467560000001</v>
      </c>
      <c r="G133" s="76" t="s">
        <v>54</v>
      </c>
      <c r="H133" s="77"/>
      <c r="I133" s="78"/>
      <c r="J133" s="96">
        <f>+J132</f>
        <v>13856.09792</v>
      </c>
      <c r="L133" s="76" t="s">
        <v>54</v>
      </c>
      <c r="M133" s="77"/>
      <c r="N133" s="78"/>
      <c r="O133" s="96">
        <f>+O132</f>
        <v>9838.7697499999995</v>
      </c>
    </row>
    <row r="134" spans="2:15" ht="15.75" customHeight="1" x14ac:dyDescent="0.2">
      <c r="B134" s="76" t="s">
        <v>55</v>
      </c>
      <c r="C134" s="77"/>
      <c r="D134" s="80">
        <v>0.3</v>
      </c>
      <c r="E134" s="81"/>
      <c r="G134" s="76" t="s">
        <v>55</v>
      </c>
      <c r="H134" s="77"/>
      <c r="I134" s="80">
        <v>0.3</v>
      </c>
      <c r="J134" s="81"/>
      <c r="L134" s="76" t="s">
        <v>55</v>
      </c>
      <c r="M134" s="77"/>
      <c r="N134" s="80">
        <v>0.3</v>
      </c>
      <c r="O134" s="81"/>
    </row>
    <row r="135" spans="2:15" ht="15.75" customHeight="1" x14ac:dyDescent="0.2">
      <c r="B135" s="76" t="s">
        <v>56</v>
      </c>
      <c r="C135" s="77"/>
      <c r="D135" s="82"/>
      <c r="E135" s="96">
        <f>+E133*3.33333333333333</f>
        <v>23958.225199999979</v>
      </c>
      <c r="G135" s="76" t="s">
        <v>56</v>
      </c>
      <c r="H135" s="77"/>
      <c r="I135" s="82"/>
      <c r="J135" s="96">
        <f>+J133*3.33333333333333</f>
        <v>46186.993066666619</v>
      </c>
      <c r="L135" s="76" t="s">
        <v>56</v>
      </c>
      <c r="M135" s="77"/>
      <c r="N135" s="82"/>
      <c r="O135" s="96">
        <f>+O133*3.33333333333333</f>
        <v>32795.899166666633</v>
      </c>
    </row>
    <row r="136" spans="2:15" ht="15.75" customHeight="1" x14ac:dyDescent="0.2">
      <c r="B136" s="76" t="s">
        <v>57</v>
      </c>
      <c r="C136" s="77"/>
      <c r="D136" s="78">
        <f>21690/8</f>
        <v>2711.25</v>
      </c>
      <c r="E136" s="96">
        <v>37000</v>
      </c>
      <c r="G136" s="76" t="s">
        <v>57</v>
      </c>
      <c r="H136" s="77"/>
      <c r="I136" s="78">
        <f>41794/8</f>
        <v>5224.25</v>
      </c>
      <c r="J136" s="96">
        <v>47000</v>
      </c>
      <c r="L136" s="76" t="s">
        <v>57</v>
      </c>
      <c r="M136" s="77"/>
      <c r="N136" s="78">
        <f>29517/9</f>
        <v>3279.6666666666665</v>
      </c>
      <c r="O136" s="96">
        <v>33000</v>
      </c>
    </row>
    <row r="137" spans="2:15" ht="15.75" customHeight="1" x14ac:dyDescent="0.2">
      <c r="B137" s="71"/>
      <c r="C137" s="77"/>
      <c r="D137" s="78"/>
      <c r="E137" s="95">
        <f>+E136-E135</f>
        <v>13041.774800000021</v>
      </c>
      <c r="G137" s="71"/>
      <c r="H137" s="77"/>
      <c r="I137" s="78"/>
      <c r="J137" s="95">
        <f>+J136-J135</f>
        <v>813.00693333338131</v>
      </c>
      <c r="L137" s="71"/>
      <c r="M137" s="77"/>
      <c r="N137" s="78"/>
      <c r="O137" s="95">
        <f>+O136-O135</f>
        <v>204.10083333336661</v>
      </c>
    </row>
    <row r="138" spans="2:15" ht="15.75" customHeight="1" x14ac:dyDescent="0.2">
      <c r="B138" s="32" t="s">
        <v>58</v>
      </c>
      <c r="C138" s="83"/>
      <c r="D138" s="110"/>
      <c r="E138" s="98">
        <f>E133/E136</f>
        <v>0.19425588000000002</v>
      </c>
      <c r="G138" s="32" t="s">
        <v>58</v>
      </c>
      <c r="H138" s="83"/>
      <c r="I138" s="110"/>
      <c r="J138" s="98">
        <f>J133/J136</f>
        <v>0.29481059404255322</v>
      </c>
      <c r="L138" s="32" t="s">
        <v>58</v>
      </c>
      <c r="M138" s="83"/>
      <c r="N138" s="110"/>
      <c r="O138" s="98">
        <f>O133/O136</f>
        <v>0.29814453787878786</v>
      </c>
    </row>
    <row r="139" spans="2:15" ht="15.75" customHeight="1" x14ac:dyDescent="0.15"/>
    <row r="140" spans="2:15" ht="15.75" customHeight="1" x14ac:dyDescent="0.15"/>
    <row r="141" spans="2:15" ht="15.75" customHeight="1" x14ac:dyDescent="0.2">
      <c r="B141" s="218" t="s">
        <v>296</v>
      </c>
      <c r="C141" s="213"/>
      <c r="D141" s="213"/>
      <c r="E141" s="214"/>
      <c r="G141" s="218" t="s">
        <v>509</v>
      </c>
      <c r="H141" s="213"/>
      <c r="I141" s="213"/>
      <c r="J141" s="214"/>
      <c r="L141" s="218" t="s">
        <v>510</v>
      </c>
      <c r="M141" s="213"/>
      <c r="N141" s="213"/>
      <c r="O141" s="214"/>
    </row>
    <row r="142" spans="2:15" ht="15.75" customHeight="1" x14ac:dyDescent="0.2">
      <c r="B142" s="64"/>
      <c r="C142" s="65" t="s">
        <v>8</v>
      </c>
      <c r="D142" s="7" t="s">
        <v>9</v>
      </c>
      <c r="E142" s="8" t="s">
        <v>10</v>
      </c>
      <c r="G142" s="64"/>
      <c r="H142" s="65" t="s">
        <v>8</v>
      </c>
      <c r="I142" s="7" t="s">
        <v>9</v>
      </c>
      <c r="J142" s="8" t="s">
        <v>10</v>
      </c>
      <c r="L142" s="64"/>
      <c r="M142" s="65" t="s">
        <v>8</v>
      </c>
      <c r="N142" s="7" t="s">
        <v>9</v>
      </c>
      <c r="O142" s="8" t="s">
        <v>10</v>
      </c>
    </row>
    <row r="143" spans="2:15" ht="15.75" customHeight="1" x14ac:dyDescent="0.2">
      <c r="B143" s="13" t="s">
        <v>247</v>
      </c>
      <c r="C143" s="10">
        <v>0.2</v>
      </c>
      <c r="D143" s="94">
        <f>+VLOOKUP(B143,'PRECIO PROVEEDORES'!$A$2:$B$716,2,0)</f>
        <v>12000</v>
      </c>
      <c r="E143" s="12">
        <f t="shared" ref="E143:E153" si="15">+C143*D143</f>
        <v>2400</v>
      </c>
      <c r="G143" s="20" t="s">
        <v>306</v>
      </c>
      <c r="H143" s="68">
        <v>1.5</v>
      </c>
      <c r="I143" s="94">
        <f>+VLOOKUP(G143,'PRECIO PROVEEDORES'!$A$2:$B$716,2,0)</f>
        <v>3342.9512328767123</v>
      </c>
      <c r="J143" s="12">
        <f t="shared" ref="J143:J148" si="16">+H143*I143</f>
        <v>5014.4268493150685</v>
      </c>
      <c r="L143" s="66" t="s">
        <v>247</v>
      </c>
      <c r="M143" s="68">
        <v>0.23</v>
      </c>
      <c r="N143" s="94">
        <f>+VLOOKUP(L143,'PRECIO PROVEEDORES'!$A$2:$B$716,2,0)</f>
        <v>12000</v>
      </c>
      <c r="O143" s="12">
        <f t="shared" ref="O143:O156" si="17">+M143*N143</f>
        <v>2760</v>
      </c>
    </row>
    <row r="144" spans="2:15" ht="15.75" customHeight="1" x14ac:dyDescent="0.2">
      <c r="B144" s="13" t="s">
        <v>210</v>
      </c>
      <c r="C144" s="10">
        <v>0.38</v>
      </c>
      <c r="D144" s="94">
        <f>+VLOOKUP(B144,'PRECIO PROVEEDORES'!$A$2:$B$716,2,0)</f>
        <v>1352</v>
      </c>
      <c r="E144" s="12">
        <f t="shared" si="15"/>
        <v>513.76</v>
      </c>
      <c r="G144" s="66" t="s">
        <v>247</v>
      </c>
      <c r="H144" s="68">
        <v>0.3</v>
      </c>
      <c r="I144" s="94">
        <f>+VLOOKUP(G144,'PRECIO PROVEEDORES'!$A$2:$B$716,2,0)</f>
        <v>12000</v>
      </c>
      <c r="J144" s="12">
        <f t="shared" si="16"/>
        <v>3600</v>
      </c>
      <c r="L144" s="66" t="s">
        <v>263</v>
      </c>
      <c r="M144" s="68">
        <v>0.22</v>
      </c>
      <c r="N144" s="94">
        <f>+VLOOKUP(L144,'PRECIO PROVEEDORES'!$A$2:$B$716,2,0)</f>
        <v>1624.77</v>
      </c>
      <c r="O144" s="12">
        <f t="shared" si="17"/>
        <v>357.44940000000003</v>
      </c>
    </row>
    <row r="145" spans="2:15" ht="15.75" customHeight="1" x14ac:dyDescent="0.2">
      <c r="B145" s="13" t="s">
        <v>115</v>
      </c>
      <c r="C145" s="10">
        <v>4.4999999999999998E-2</v>
      </c>
      <c r="D145" s="94">
        <f>+VLOOKUP(B145,'PRECIO PROVEEDORES'!$A$2:$B$716,2,0)</f>
        <v>4299.01</v>
      </c>
      <c r="E145" s="12">
        <f t="shared" si="15"/>
        <v>193.45545000000001</v>
      </c>
      <c r="G145" s="66" t="s">
        <v>263</v>
      </c>
      <c r="H145" s="68">
        <v>0.25</v>
      </c>
      <c r="I145" s="94">
        <f>+VLOOKUP(G145,'PRECIO PROVEEDORES'!$A$2:$B$716,2,0)</f>
        <v>1624.77</v>
      </c>
      <c r="J145" s="12">
        <f t="shared" si="16"/>
        <v>406.1925</v>
      </c>
      <c r="L145" s="66" t="s">
        <v>210</v>
      </c>
      <c r="M145" s="68">
        <v>0.05</v>
      </c>
      <c r="N145" s="94">
        <f>+VLOOKUP(L145,'PRECIO PROVEEDORES'!$A$2:$B$716,2,0)</f>
        <v>1352</v>
      </c>
      <c r="O145" s="12">
        <f t="shared" si="17"/>
        <v>67.600000000000009</v>
      </c>
    </row>
    <row r="146" spans="2:15" ht="15.75" customHeight="1" x14ac:dyDescent="0.2">
      <c r="B146" s="13" t="s">
        <v>17</v>
      </c>
      <c r="C146" s="10">
        <v>5</v>
      </c>
      <c r="D146" s="94">
        <f>+VLOOKUP(B146,'PRECIO PROVEEDORES'!$A$2:$B$716,2,0)</f>
        <v>192</v>
      </c>
      <c r="E146" s="12">
        <f t="shared" si="15"/>
        <v>960</v>
      </c>
      <c r="G146" s="66" t="s">
        <v>255</v>
      </c>
      <c r="H146" s="68">
        <v>0.01</v>
      </c>
      <c r="I146" s="94">
        <f>+VLOOKUP(G146,'PRECIO PROVEEDORES'!$A$2:$B$716,2,0)</f>
        <v>10061.64</v>
      </c>
      <c r="J146" s="12">
        <f t="shared" si="16"/>
        <v>100.6164</v>
      </c>
      <c r="L146" s="66" t="s">
        <v>17</v>
      </c>
      <c r="M146" s="68">
        <v>4</v>
      </c>
      <c r="N146" s="94">
        <f>+VLOOKUP(L146,'PRECIO PROVEEDORES'!$A$2:$B$716,2,0)</f>
        <v>192</v>
      </c>
      <c r="O146" s="12">
        <f t="shared" si="17"/>
        <v>768</v>
      </c>
    </row>
    <row r="147" spans="2:15" ht="15.75" customHeight="1" x14ac:dyDescent="0.2">
      <c r="B147" s="13" t="s">
        <v>166</v>
      </c>
      <c r="C147" s="10">
        <v>0.17499999999999999</v>
      </c>
      <c r="D147" s="94">
        <f>+VLOOKUP(B147,'PRECIO PROVEEDORES'!$A$2:$B$716,2,0)</f>
        <v>1940</v>
      </c>
      <c r="E147" s="12">
        <f t="shared" si="15"/>
        <v>339.5</v>
      </c>
      <c r="G147" s="66" t="s">
        <v>511</v>
      </c>
      <c r="H147" s="126">
        <v>0.04</v>
      </c>
      <c r="I147" s="94">
        <f>+VLOOKUP(G147,'PRECIO PROVEEDORES'!$A$2:$B$716,2,0)</f>
        <v>5067.2</v>
      </c>
      <c r="J147" s="12">
        <f t="shared" si="16"/>
        <v>202.68799999999999</v>
      </c>
      <c r="L147" s="13" t="s">
        <v>265</v>
      </c>
      <c r="M147" s="103">
        <v>5.0000000000000001E-3</v>
      </c>
      <c r="N147" s="94">
        <f>+VLOOKUP(L147,'PRECIO PROVEEDORES'!$A$2:$B$716,2,0)</f>
        <v>2118</v>
      </c>
      <c r="O147" s="12">
        <f t="shared" si="17"/>
        <v>10.59</v>
      </c>
    </row>
    <row r="148" spans="2:15" ht="15.75" customHeight="1" x14ac:dyDescent="0.2">
      <c r="B148" s="13" t="s">
        <v>220</v>
      </c>
      <c r="C148" s="10">
        <v>0.2</v>
      </c>
      <c r="D148" s="94">
        <f>+VLOOKUP(B148,'PRECIO PROVEEDORES'!$A$2:$B$716,2,0)</f>
        <v>3000</v>
      </c>
      <c r="E148" s="12">
        <f t="shared" si="15"/>
        <v>600</v>
      </c>
      <c r="G148" s="66" t="s">
        <v>512</v>
      </c>
      <c r="H148" s="68">
        <v>1</v>
      </c>
      <c r="I148" s="94">
        <f>+VLOOKUP(G148,'PRECIO PROVEEDORES'!$A$2:$B$716,2,0)</f>
        <v>280</v>
      </c>
      <c r="J148" s="12">
        <f t="shared" si="16"/>
        <v>280</v>
      </c>
      <c r="L148" s="66" t="s">
        <v>273</v>
      </c>
      <c r="M148" s="68">
        <v>0.01</v>
      </c>
      <c r="N148" s="94">
        <f>+VLOOKUP(L148,'PRECIO PROVEEDORES'!$A$2:$B$716,2,0)</f>
        <v>2191</v>
      </c>
      <c r="O148" s="12">
        <f t="shared" si="17"/>
        <v>21.91</v>
      </c>
    </row>
    <row r="149" spans="2:15" ht="15.75" customHeight="1" x14ac:dyDescent="0.2">
      <c r="B149" s="13" t="s">
        <v>237</v>
      </c>
      <c r="C149" s="10">
        <v>0.36</v>
      </c>
      <c r="D149" s="94">
        <f>+VLOOKUP(B149,'PRECIO PROVEEDORES'!$A$2:$B$716,2,0)</f>
        <v>1043.22</v>
      </c>
      <c r="E149" s="12">
        <f t="shared" si="15"/>
        <v>375.55919999999998</v>
      </c>
      <c r="G149" s="66"/>
      <c r="H149" s="126"/>
      <c r="I149" s="94"/>
      <c r="J149" s="12"/>
      <c r="L149" s="66" t="s">
        <v>237</v>
      </c>
      <c r="M149" s="103">
        <v>0.25</v>
      </c>
      <c r="N149" s="94">
        <f>+VLOOKUP(L149,'PRECIO PROVEEDORES'!$A$2:$B$716,2,0)</f>
        <v>1043.22</v>
      </c>
      <c r="O149" s="12">
        <f t="shared" si="17"/>
        <v>260.80500000000001</v>
      </c>
    </row>
    <row r="150" spans="2:15" ht="15.75" customHeight="1" x14ac:dyDescent="0.2">
      <c r="B150" s="13" t="s">
        <v>266</v>
      </c>
      <c r="C150" s="10">
        <v>2.5000000000000001E-2</v>
      </c>
      <c r="D150" s="94">
        <f>+VLOOKUP(B150,'PRECIO PROVEEDORES'!$A$2:$B$716,2,0)</f>
        <v>6040</v>
      </c>
      <c r="E150" s="12">
        <f t="shared" si="15"/>
        <v>151</v>
      </c>
      <c r="G150" s="20"/>
      <c r="H150" s="66"/>
      <c r="I150" s="94"/>
      <c r="J150" s="12"/>
      <c r="L150" s="64" t="s">
        <v>275</v>
      </c>
      <c r="M150" s="66">
        <v>0.09</v>
      </c>
      <c r="N150" s="94">
        <f>+VLOOKUP(L150,'PRECIO PROVEEDORES'!$A$2:$B$716,2,0)</f>
        <v>13205</v>
      </c>
      <c r="O150" s="12">
        <f t="shared" si="17"/>
        <v>1188.45</v>
      </c>
    </row>
    <row r="151" spans="2:15" ht="15.75" customHeight="1" x14ac:dyDescent="0.2">
      <c r="B151" s="13" t="s">
        <v>265</v>
      </c>
      <c r="C151" s="10">
        <v>0.01</v>
      </c>
      <c r="D151" s="94">
        <f>+VLOOKUP(B151,'PRECIO PROVEEDORES'!$A$2:$B$716,2,0)</f>
        <v>2118</v>
      </c>
      <c r="E151" s="12">
        <f t="shared" si="15"/>
        <v>21.18</v>
      </c>
      <c r="G151" s="71"/>
      <c r="H151" s="66"/>
      <c r="I151" s="69"/>
      <c r="J151" s="70"/>
      <c r="L151" s="71" t="s">
        <v>266</v>
      </c>
      <c r="M151" s="66">
        <v>3.0000000000000001E-3</v>
      </c>
      <c r="N151" s="94">
        <f>+VLOOKUP(L151,'PRECIO PROVEEDORES'!$A$2:$B$716,2,0)</f>
        <v>6040</v>
      </c>
      <c r="O151" s="12">
        <f t="shared" si="17"/>
        <v>18.12</v>
      </c>
    </row>
    <row r="152" spans="2:15" ht="15.75" customHeight="1" x14ac:dyDescent="0.2">
      <c r="B152" s="7" t="s">
        <v>300</v>
      </c>
      <c r="C152" s="10">
        <v>1.4999999999999999E-2</v>
      </c>
      <c r="D152" s="94">
        <f>+VLOOKUP(B152,'PRECIO PROVEEDORES'!$A$2:$B$716,2,0)</f>
        <v>15044</v>
      </c>
      <c r="E152" s="12">
        <f t="shared" si="15"/>
        <v>225.66</v>
      </c>
      <c r="G152" s="71"/>
      <c r="H152" s="66"/>
      <c r="I152" s="69"/>
      <c r="J152" s="70"/>
      <c r="L152" s="71" t="s">
        <v>500</v>
      </c>
      <c r="M152" s="66">
        <v>0.14000000000000001</v>
      </c>
      <c r="N152" s="94">
        <f>+VLOOKUP(L152,'PRECIO PROVEEDORES'!$A$2:$B$716,2,0)</f>
        <v>10030</v>
      </c>
      <c r="O152" s="12">
        <f t="shared" si="17"/>
        <v>1404.2</v>
      </c>
    </row>
    <row r="153" spans="2:15" ht="15.75" customHeight="1" x14ac:dyDescent="0.2">
      <c r="B153" s="7" t="s">
        <v>301</v>
      </c>
      <c r="C153" s="10">
        <v>0.2</v>
      </c>
      <c r="D153" s="94">
        <f>+VLOOKUP(B153,'PRECIO PROVEEDORES'!$A$2:$B$716,2,0)</f>
        <v>1684</v>
      </c>
      <c r="E153" s="12">
        <f t="shared" si="15"/>
        <v>336.8</v>
      </c>
      <c r="G153" s="71"/>
      <c r="H153" s="66"/>
      <c r="I153" s="69"/>
      <c r="J153" s="70"/>
      <c r="L153" s="107" t="s">
        <v>238</v>
      </c>
      <c r="M153" s="66">
        <v>0.1</v>
      </c>
      <c r="N153" s="94">
        <f>+VLOOKUP(L153,'PRECIO PROVEEDORES'!$A$2:$B$716,2,0)</f>
        <v>36068</v>
      </c>
      <c r="O153" s="12">
        <f t="shared" si="17"/>
        <v>3606.8</v>
      </c>
    </row>
    <row r="154" spans="2:15" ht="15.75" customHeight="1" x14ac:dyDescent="0.2">
      <c r="B154" s="71"/>
      <c r="C154" s="66"/>
      <c r="D154" s="69"/>
      <c r="E154" s="70"/>
      <c r="G154" s="71"/>
      <c r="H154" s="66"/>
      <c r="I154" s="69"/>
      <c r="J154" s="70"/>
      <c r="L154" s="71" t="s">
        <v>245</v>
      </c>
      <c r="M154" s="66">
        <v>4.0000000000000001E-3</v>
      </c>
      <c r="N154" s="94">
        <f>+VLOOKUP(L154,'PRECIO PROVEEDORES'!$A$2:$B$716,2,0)</f>
        <v>2517</v>
      </c>
      <c r="O154" s="12">
        <f t="shared" si="17"/>
        <v>10.068</v>
      </c>
    </row>
    <row r="155" spans="2:15" ht="15.75" customHeight="1" x14ac:dyDescent="0.2">
      <c r="B155" s="64"/>
      <c r="C155" s="66"/>
      <c r="D155" s="69"/>
      <c r="E155" s="70"/>
      <c r="G155" s="64"/>
      <c r="H155" s="66"/>
      <c r="I155" s="69"/>
      <c r="J155" s="70"/>
      <c r="L155" s="64" t="s">
        <v>259</v>
      </c>
      <c r="M155" s="66">
        <v>0.1</v>
      </c>
      <c r="N155" s="94">
        <f>+VLOOKUP(L155,'PRECIO PROVEEDORES'!$A$2:$B$716,2,0)</f>
        <v>25872</v>
      </c>
      <c r="O155" s="12">
        <f t="shared" si="17"/>
        <v>2587.2000000000003</v>
      </c>
    </row>
    <row r="156" spans="2:15" ht="15.75" customHeight="1" x14ac:dyDescent="0.2">
      <c r="B156" s="64"/>
      <c r="C156" s="66"/>
      <c r="D156" s="69"/>
      <c r="E156" s="70"/>
      <c r="G156" s="64"/>
      <c r="H156" s="66"/>
      <c r="I156" s="69"/>
      <c r="J156" s="70"/>
      <c r="L156" s="64" t="s">
        <v>36</v>
      </c>
      <c r="M156" s="66">
        <v>1.4999999999999999E-2</v>
      </c>
      <c r="N156" s="94">
        <f>+VLOOKUP(L156,'PRECIO PROVEEDORES'!$A$2:$B$716,2,0)</f>
        <v>35691.97</v>
      </c>
      <c r="O156" s="12">
        <f t="shared" si="17"/>
        <v>535.37954999999999</v>
      </c>
    </row>
    <row r="157" spans="2:15" ht="15.75" customHeight="1" x14ac:dyDescent="0.15">
      <c r="B157" s="64"/>
      <c r="C157" s="66"/>
      <c r="D157" s="69"/>
      <c r="E157" s="70"/>
      <c r="G157" s="64"/>
      <c r="H157" s="66"/>
      <c r="I157" s="69"/>
      <c r="J157" s="70"/>
      <c r="L157" s="64"/>
      <c r="M157" s="66"/>
      <c r="N157" s="69"/>
      <c r="O157" s="70"/>
    </row>
    <row r="158" spans="2:15" ht="15.75" customHeight="1" x14ac:dyDescent="0.2">
      <c r="B158" s="72" t="s">
        <v>52</v>
      </c>
      <c r="C158" s="73"/>
      <c r="D158" s="74"/>
      <c r="E158" s="95">
        <f>SUM(E143:E157)</f>
        <v>6116.9146499999997</v>
      </c>
      <c r="G158" s="72" t="s">
        <v>52</v>
      </c>
      <c r="H158" s="73"/>
      <c r="I158" s="74"/>
      <c r="J158" s="95">
        <f>SUM(J143:J157)</f>
        <v>9603.9237493150686</v>
      </c>
      <c r="L158" s="72" t="s">
        <v>52</v>
      </c>
      <c r="M158" s="73"/>
      <c r="N158" s="74"/>
      <c r="O158" s="95">
        <f>SUM(O143:O157)</f>
        <v>13596.57195</v>
      </c>
    </row>
    <row r="159" spans="2:15" ht="15.75" customHeight="1" x14ac:dyDescent="0.2">
      <c r="B159" s="76" t="s">
        <v>53</v>
      </c>
      <c r="C159" s="77"/>
      <c r="D159" s="78"/>
      <c r="E159" s="96">
        <f>SUM(E158)</f>
        <v>6116.9146499999997</v>
      </c>
      <c r="G159" s="76" t="s">
        <v>53</v>
      </c>
      <c r="H159" s="77"/>
      <c r="I159" s="78"/>
      <c r="J159" s="96">
        <f>SUM(J158)</f>
        <v>9603.9237493150686</v>
      </c>
      <c r="L159" s="76" t="s">
        <v>53</v>
      </c>
      <c r="M159" s="77"/>
      <c r="N159" s="78"/>
      <c r="O159" s="96">
        <f>SUM(O158)</f>
        <v>13596.57195</v>
      </c>
    </row>
    <row r="160" spans="2:15" ht="15.75" customHeight="1" x14ac:dyDescent="0.2">
      <c r="B160" s="76" t="s">
        <v>54</v>
      </c>
      <c r="C160" s="77"/>
      <c r="D160" s="78"/>
      <c r="E160" s="96">
        <f>+E159</f>
        <v>6116.9146499999997</v>
      </c>
      <c r="G160" s="76" t="s">
        <v>54</v>
      </c>
      <c r="H160" s="77"/>
      <c r="I160" s="78"/>
      <c r="J160" s="96">
        <f>+J159/12</f>
        <v>800.32697910958905</v>
      </c>
      <c r="L160" s="76" t="s">
        <v>54</v>
      </c>
      <c r="M160" s="77"/>
      <c r="N160" s="78"/>
      <c r="O160" s="96">
        <f>+O159/11</f>
        <v>1236.0519954545455</v>
      </c>
    </row>
    <row r="161" spans="2:15" ht="15.75" customHeight="1" x14ac:dyDescent="0.2">
      <c r="B161" s="76" t="s">
        <v>55</v>
      </c>
      <c r="C161" s="77"/>
      <c r="D161" s="80">
        <v>0.3</v>
      </c>
      <c r="E161" s="81"/>
      <c r="G161" s="76" t="s">
        <v>55</v>
      </c>
      <c r="H161" s="77"/>
      <c r="I161" s="80">
        <v>0.3</v>
      </c>
      <c r="J161" s="81"/>
      <c r="L161" s="76" t="s">
        <v>55</v>
      </c>
      <c r="M161" s="77"/>
      <c r="N161" s="80">
        <v>0.3</v>
      </c>
      <c r="O161" s="81"/>
    </row>
    <row r="162" spans="2:15" ht="15.75" customHeight="1" x14ac:dyDescent="0.2">
      <c r="B162" s="76" t="s">
        <v>56</v>
      </c>
      <c r="C162" s="77"/>
      <c r="D162" s="82"/>
      <c r="E162" s="96">
        <f>+E160*3.33333333333333</f>
        <v>20389.715499999977</v>
      </c>
      <c r="G162" s="76" t="s">
        <v>56</v>
      </c>
      <c r="H162" s="77"/>
      <c r="I162" s="82"/>
      <c r="J162" s="96">
        <f>+J160*3.33333333333333</f>
        <v>2667.7565970319606</v>
      </c>
      <c r="L162" s="76" t="s">
        <v>56</v>
      </c>
      <c r="M162" s="77"/>
      <c r="N162" s="82"/>
      <c r="O162" s="96">
        <f>+O160*3.33333333333333</f>
        <v>4120.1733181818145</v>
      </c>
    </row>
    <row r="163" spans="2:15" ht="15.75" customHeight="1" x14ac:dyDescent="0.2">
      <c r="B163" s="76" t="s">
        <v>57</v>
      </c>
      <c r="C163" s="77"/>
      <c r="D163" s="78">
        <f>17901/9</f>
        <v>1989</v>
      </c>
      <c r="E163" s="96">
        <v>28500</v>
      </c>
      <c r="G163" s="76" t="s">
        <v>250</v>
      </c>
      <c r="H163" s="77"/>
      <c r="I163" s="78">
        <v>2401</v>
      </c>
      <c r="J163" s="96">
        <v>3000</v>
      </c>
      <c r="L163" s="76" t="s">
        <v>57</v>
      </c>
      <c r="M163" s="77"/>
      <c r="N163" s="78"/>
      <c r="O163" s="96">
        <v>3708</v>
      </c>
    </row>
    <row r="164" spans="2:15" ht="15.75" customHeight="1" x14ac:dyDescent="0.2">
      <c r="B164" s="71"/>
      <c r="C164" s="77"/>
      <c r="D164" s="78"/>
      <c r="E164" s="95">
        <f>+E163-E162</f>
        <v>8110.2845000000234</v>
      </c>
      <c r="G164" s="71"/>
      <c r="H164" s="77"/>
      <c r="I164" s="78"/>
      <c r="J164" s="96">
        <v>3000</v>
      </c>
      <c r="L164" s="71"/>
      <c r="M164" s="77"/>
      <c r="N164" s="78">
        <v>3825</v>
      </c>
      <c r="O164" s="95">
        <f>+O163-O162</f>
        <v>-412.17331818181447</v>
      </c>
    </row>
    <row r="165" spans="2:15" ht="15.75" customHeight="1" x14ac:dyDescent="0.2">
      <c r="B165" s="32" t="s">
        <v>58</v>
      </c>
      <c r="C165" s="83"/>
      <c r="D165" s="110"/>
      <c r="E165" s="98">
        <f>E160/E163</f>
        <v>0.2146285842105263</v>
      </c>
      <c r="G165" s="32" t="s">
        <v>58</v>
      </c>
      <c r="H165" s="83"/>
      <c r="I165" s="110"/>
      <c r="J165" s="98">
        <f>J160/J163</f>
        <v>0.26677565970319633</v>
      </c>
      <c r="L165" s="32" t="s">
        <v>58</v>
      </c>
      <c r="M165" s="83"/>
      <c r="N165" s="110"/>
      <c r="O165" s="98">
        <f>O160/O163</f>
        <v>0.33334735583995295</v>
      </c>
    </row>
    <row r="166" spans="2:15" ht="15.75" customHeight="1" x14ac:dyDescent="0.15"/>
    <row r="167" spans="2:15" ht="15.75" customHeight="1" x14ac:dyDescent="0.15"/>
    <row r="168" spans="2:15" ht="15.75" customHeight="1" x14ac:dyDescent="0.2">
      <c r="B168" s="218" t="s">
        <v>513</v>
      </c>
      <c r="C168" s="213"/>
      <c r="D168" s="213"/>
      <c r="E168" s="214"/>
      <c r="G168" s="218" t="s">
        <v>514</v>
      </c>
      <c r="H168" s="213"/>
      <c r="I168" s="213"/>
      <c r="J168" s="214"/>
      <c r="L168" s="218" t="s">
        <v>515</v>
      </c>
      <c r="M168" s="213"/>
      <c r="N168" s="213"/>
      <c r="O168" s="214"/>
    </row>
    <row r="169" spans="2:15" ht="15.75" customHeight="1" x14ac:dyDescent="0.2">
      <c r="B169" s="64"/>
      <c r="C169" s="65" t="s">
        <v>8</v>
      </c>
      <c r="D169" s="7" t="s">
        <v>9</v>
      </c>
      <c r="E169" s="8" t="s">
        <v>10</v>
      </c>
      <c r="G169" s="64"/>
      <c r="H169" s="65" t="s">
        <v>8</v>
      </c>
      <c r="I169" s="7" t="s">
        <v>9</v>
      </c>
      <c r="J169" s="8" t="s">
        <v>10</v>
      </c>
      <c r="L169" s="64"/>
      <c r="M169" s="65" t="s">
        <v>8</v>
      </c>
      <c r="N169" s="7" t="s">
        <v>9</v>
      </c>
      <c r="O169" s="8" t="s">
        <v>10</v>
      </c>
    </row>
    <row r="170" spans="2:15" ht="15.75" customHeight="1" x14ac:dyDescent="0.2">
      <c r="B170" s="66" t="s">
        <v>17</v>
      </c>
      <c r="C170" s="68">
        <v>12</v>
      </c>
      <c r="D170" s="94">
        <f>+VLOOKUP(B170,'PRECIO PROVEEDORES'!$A$2:$B$716,2,0)</f>
        <v>192</v>
      </c>
      <c r="E170" s="12">
        <f t="shared" ref="E170:E178" si="18">+C170*D170</f>
        <v>2304</v>
      </c>
      <c r="G170" s="66" t="s">
        <v>239</v>
      </c>
      <c r="H170" s="68">
        <v>2</v>
      </c>
      <c r="I170" s="94">
        <f>+VLOOKUP(G170,'PRECIO PROVEEDORES'!$A$2:$B$716,2,0)</f>
        <v>890</v>
      </c>
      <c r="J170" s="12">
        <f t="shared" ref="J170:J176" si="19">+H170*I170</f>
        <v>1780</v>
      </c>
      <c r="L170" s="20" t="s">
        <v>306</v>
      </c>
      <c r="M170" s="68">
        <v>0.7</v>
      </c>
      <c r="N170" s="94">
        <f>+VLOOKUP(L170,'PRECIO PROVEEDORES'!$A$2:$B$716,2,0)</f>
        <v>3342.9512328767123</v>
      </c>
      <c r="O170" s="12">
        <f t="shared" ref="O170:O172" si="20">+M170*N170</f>
        <v>2340.0658630136986</v>
      </c>
    </row>
    <row r="171" spans="2:15" ht="15.75" customHeight="1" x14ac:dyDescent="0.2">
      <c r="B171" s="66" t="s">
        <v>210</v>
      </c>
      <c r="C171" s="68">
        <v>0.8</v>
      </c>
      <c r="D171" s="94">
        <f>+VLOOKUP(B171,'PRECIO PROVEEDORES'!$A$2:$B$716,2,0)</f>
        <v>1352</v>
      </c>
      <c r="E171" s="12">
        <f t="shared" si="18"/>
        <v>1081.6000000000001</v>
      </c>
      <c r="G171" s="66" t="s">
        <v>210</v>
      </c>
      <c r="H171" s="68">
        <v>0.4</v>
      </c>
      <c r="I171" s="94">
        <f>+VLOOKUP(G171,'PRECIO PROVEEDORES'!$A$2:$B$716,2,0)</f>
        <v>1352</v>
      </c>
      <c r="J171" s="12">
        <f t="shared" si="19"/>
        <v>540.80000000000007</v>
      </c>
      <c r="L171" s="66" t="s">
        <v>237</v>
      </c>
      <c r="M171" s="68">
        <v>0.15</v>
      </c>
      <c r="N171" s="94">
        <f>+VLOOKUP(L171,'PRECIO PROVEEDORES'!$A$2:$B$716,2,0)</f>
        <v>1043.22</v>
      </c>
      <c r="O171" s="12">
        <f t="shared" si="20"/>
        <v>156.483</v>
      </c>
    </row>
    <row r="172" spans="2:15" ht="15.75" customHeight="1" x14ac:dyDescent="0.2">
      <c r="B172" s="66" t="s">
        <v>237</v>
      </c>
      <c r="C172" s="68">
        <v>0.22</v>
      </c>
      <c r="D172" s="94">
        <f>+VLOOKUP(B172,'PRECIO PROVEEDORES'!$A$2:$B$716,2,0)</f>
        <v>1043.22</v>
      </c>
      <c r="E172" s="12">
        <f t="shared" si="18"/>
        <v>229.50839999999999</v>
      </c>
      <c r="G172" s="66" t="s">
        <v>17</v>
      </c>
      <c r="H172" s="68">
        <v>6</v>
      </c>
      <c r="I172" s="94">
        <f>+VLOOKUP(G172,'PRECIO PROVEEDORES'!$A$2:$B$716,2,0)</f>
        <v>192</v>
      </c>
      <c r="J172" s="12">
        <f t="shared" si="19"/>
        <v>1152</v>
      </c>
      <c r="L172" s="66" t="s">
        <v>221</v>
      </c>
      <c r="M172" s="68">
        <v>0.2</v>
      </c>
      <c r="N172" s="94">
        <f>+VLOOKUP(L172,'PRECIO PROVEEDORES'!$A$2:$B$716,2,0)</f>
        <v>1440</v>
      </c>
      <c r="O172" s="12">
        <f t="shared" si="20"/>
        <v>288</v>
      </c>
    </row>
    <row r="173" spans="2:15" ht="15.75" customHeight="1" x14ac:dyDescent="0.2">
      <c r="B173" s="66" t="s">
        <v>259</v>
      </c>
      <c r="C173" s="68">
        <v>0.14000000000000001</v>
      </c>
      <c r="D173" s="94">
        <f>+VLOOKUP(B173,'PRECIO PROVEEDORES'!$A$2:$B$716,2,0)</f>
        <v>25872</v>
      </c>
      <c r="E173" s="12">
        <f t="shared" si="18"/>
        <v>3622.0800000000004</v>
      </c>
      <c r="G173" s="66" t="s">
        <v>243</v>
      </c>
      <c r="H173" s="68">
        <v>0.02</v>
      </c>
      <c r="I173" s="94">
        <f>+VLOOKUP(G173,'PRECIO PROVEEDORES'!$A$2:$B$716,2,0)</f>
        <v>17780</v>
      </c>
      <c r="J173" s="12">
        <f t="shared" si="19"/>
        <v>355.6</v>
      </c>
      <c r="L173" s="66"/>
      <c r="M173" s="68"/>
      <c r="N173" s="67"/>
      <c r="O173" s="12"/>
    </row>
    <row r="174" spans="2:15" ht="15.75" customHeight="1" x14ac:dyDescent="0.2">
      <c r="B174" s="66" t="s">
        <v>493</v>
      </c>
      <c r="C174" s="103">
        <v>0.43</v>
      </c>
      <c r="D174" s="94">
        <f>+VLOOKUP(B174,'PRECIO PROVEEDORES'!$A$2:$B$716,2,0)</f>
        <v>12000</v>
      </c>
      <c r="E174" s="12">
        <f t="shared" si="18"/>
        <v>5160</v>
      </c>
      <c r="G174" s="66" t="s">
        <v>166</v>
      </c>
      <c r="H174" s="103">
        <v>0.72</v>
      </c>
      <c r="I174" s="94">
        <f>+VLOOKUP(G174,'PRECIO PROVEEDORES'!$A$2:$B$716,2,0)</f>
        <v>1940</v>
      </c>
      <c r="J174" s="12">
        <f t="shared" si="19"/>
        <v>1396.8</v>
      </c>
      <c r="L174" s="66"/>
      <c r="M174" s="103"/>
      <c r="N174" s="94"/>
      <c r="O174" s="12"/>
    </row>
    <row r="175" spans="2:15" ht="15.75" customHeight="1" x14ac:dyDescent="0.2">
      <c r="B175" s="66" t="s">
        <v>241</v>
      </c>
      <c r="C175" s="68">
        <v>0.3</v>
      </c>
      <c r="D175" s="94">
        <f>+VLOOKUP(B175,'PRECIO PROVEEDORES'!$A$2:$B$716,2,0)</f>
        <v>10203</v>
      </c>
      <c r="E175" s="12">
        <f t="shared" si="18"/>
        <v>3060.9</v>
      </c>
      <c r="G175" s="66" t="s">
        <v>493</v>
      </c>
      <c r="H175" s="68">
        <v>0.24</v>
      </c>
      <c r="I175" s="94">
        <f>+VLOOKUP(G175,'PRECIO PROVEEDORES'!$A$2:$B$716,2,0)</f>
        <v>12000</v>
      </c>
      <c r="J175" s="12">
        <f t="shared" si="19"/>
        <v>2880</v>
      </c>
      <c r="L175" s="66"/>
      <c r="M175" s="68"/>
      <c r="N175" s="69"/>
      <c r="O175" s="12"/>
    </row>
    <row r="176" spans="2:15" ht="15.75" customHeight="1" x14ac:dyDescent="0.2">
      <c r="B176" s="66" t="s">
        <v>283</v>
      </c>
      <c r="C176" s="103">
        <v>0.03</v>
      </c>
      <c r="D176" s="94">
        <f>+VLOOKUP(B176,'PRECIO PROVEEDORES'!$A$2:$B$716,2,0)</f>
        <v>36376.47</v>
      </c>
      <c r="E176" s="12">
        <f t="shared" si="18"/>
        <v>1091.2941000000001</v>
      </c>
      <c r="G176" s="13" t="s">
        <v>314</v>
      </c>
      <c r="H176" s="103">
        <v>3</v>
      </c>
      <c r="I176" s="94">
        <f>+VLOOKUP(G176,'PRECIO PROVEEDORES'!$A$2:$B$716,2,0)</f>
        <v>6236.3440000000001</v>
      </c>
      <c r="J176" s="12">
        <f t="shared" si="19"/>
        <v>18709.031999999999</v>
      </c>
      <c r="L176" s="66"/>
      <c r="M176" s="103"/>
      <c r="N176" s="69"/>
      <c r="O176" s="70"/>
    </row>
    <row r="177" spans="2:15" ht="15.75" customHeight="1" x14ac:dyDescent="0.2">
      <c r="B177" s="64" t="s">
        <v>516</v>
      </c>
      <c r="C177" s="66">
        <v>0.06</v>
      </c>
      <c r="D177" s="94">
        <f>+VLOOKUP(B177,'PRECIO PROVEEDORES'!$A$2:$B$716,2,0)</f>
        <v>15000</v>
      </c>
      <c r="E177" s="12">
        <f t="shared" si="18"/>
        <v>900</v>
      </c>
      <c r="G177" s="64"/>
      <c r="H177" s="66"/>
      <c r="I177" s="94"/>
      <c r="J177" s="12"/>
      <c r="L177" s="64"/>
      <c r="M177" s="66"/>
      <c r="N177" s="69"/>
      <c r="O177" s="70"/>
    </row>
    <row r="178" spans="2:15" ht="15.75" customHeight="1" x14ac:dyDescent="0.2">
      <c r="B178" s="108" t="s">
        <v>248</v>
      </c>
      <c r="C178" s="66">
        <v>0.3</v>
      </c>
      <c r="D178" s="94">
        <f>+VLOOKUP(B178,'PRECIO PROVEEDORES'!$A$2:$B$716,2,0)</f>
        <v>39988</v>
      </c>
      <c r="E178" s="12">
        <f t="shared" si="18"/>
        <v>11996.4</v>
      </c>
      <c r="G178" s="7"/>
      <c r="H178" s="66"/>
      <c r="I178" s="94"/>
      <c r="J178" s="12"/>
      <c r="L178" s="71"/>
      <c r="M178" s="66"/>
      <c r="N178" s="69"/>
      <c r="O178" s="70"/>
    </row>
    <row r="179" spans="2:15" ht="15.75" customHeight="1" x14ac:dyDescent="0.2">
      <c r="B179" s="71"/>
      <c r="C179" s="66"/>
      <c r="D179" s="69"/>
      <c r="E179" s="70"/>
      <c r="G179" s="108"/>
      <c r="H179" s="66"/>
      <c r="I179" s="94"/>
      <c r="J179" s="12"/>
      <c r="L179" s="71"/>
      <c r="M179" s="66"/>
      <c r="N179" s="69"/>
      <c r="O179" s="70"/>
    </row>
    <row r="180" spans="2:15" ht="15.75" customHeight="1" x14ac:dyDescent="0.2">
      <c r="B180" s="71"/>
      <c r="C180" s="66"/>
      <c r="D180" s="69"/>
      <c r="E180" s="70"/>
      <c r="G180" s="71"/>
      <c r="H180" s="66"/>
      <c r="I180" s="94"/>
      <c r="J180" s="12"/>
      <c r="L180" s="71"/>
      <c r="M180" s="66"/>
      <c r="N180" s="69"/>
      <c r="O180" s="70"/>
    </row>
    <row r="181" spans="2:15" ht="15.75" customHeight="1" x14ac:dyDescent="0.15">
      <c r="B181" s="71"/>
      <c r="C181" s="66"/>
      <c r="D181" s="69"/>
      <c r="E181" s="70"/>
      <c r="G181" s="71"/>
      <c r="H181" s="66"/>
      <c r="I181" s="69"/>
      <c r="J181" s="70"/>
      <c r="L181" s="71"/>
      <c r="M181" s="66"/>
      <c r="N181" s="69"/>
      <c r="O181" s="70"/>
    </row>
    <row r="182" spans="2:15" ht="15.75" customHeight="1" x14ac:dyDescent="0.15">
      <c r="B182" s="64"/>
      <c r="C182" s="66"/>
      <c r="D182" s="69"/>
      <c r="E182" s="70"/>
      <c r="G182" s="64"/>
      <c r="H182" s="66"/>
      <c r="I182" s="69"/>
      <c r="J182" s="70"/>
      <c r="L182" s="64"/>
      <c r="M182" s="66"/>
      <c r="N182" s="69"/>
      <c r="O182" s="70"/>
    </row>
    <row r="183" spans="2:15" ht="15.75" customHeight="1" x14ac:dyDescent="0.15">
      <c r="B183" s="64"/>
      <c r="C183" s="66"/>
      <c r="D183" s="69"/>
      <c r="E183" s="70"/>
      <c r="G183" s="64"/>
      <c r="H183" s="66"/>
      <c r="I183" s="69"/>
      <c r="J183" s="70"/>
      <c r="L183" s="64"/>
      <c r="M183" s="66"/>
      <c r="N183" s="69"/>
      <c r="O183" s="70"/>
    </row>
    <row r="184" spans="2:15" ht="15.75" customHeight="1" x14ac:dyDescent="0.15">
      <c r="B184" s="64"/>
      <c r="C184" s="66"/>
      <c r="D184" s="69"/>
      <c r="E184" s="70"/>
      <c r="G184" s="64"/>
      <c r="H184" s="66"/>
      <c r="I184" s="69"/>
      <c r="J184" s="70"/>
      <c r="L184" s="64"/>
      <c r="M184" s="66"/>
      <c r="N184" s="69"/>
      <c r="O184" s="70"/>
    </row>
    <row r="185" spans="2:15" ht="15.75" customHeight="1" x14ac:dyDescent="0.2">
      <c r="B185" s="72" t="s">
        <v>52</v>
      </c>
      <c r="C185" s="73"/>
      <c r="D185" s="74"/>
      <c r="E185" s="95">
        <f>SUM(E170:E184)</f>
        <v>29445.782500000001</v>
      </c>
      <c r="G185" s="72" t="s">
        <v>52</v>
      </c>
      <c r="H185" s="73"/>
      <c r="I185" s="74"/>
      <c r="J185" s="95">
        <f>SUM(J170:J184)</f>
        <v>26814.232</v>
      </c>
      <c r="L185" s="72" t="s">
        <v>52</v>
      </c>
      <c r="M185" s="73"/>
      <c r="N185" s="74"/>
      <c r="O185" s="95">
        <f>SUM(O170:O184)</f>
        <v>2784.5488630136988</v>
      </c>
    </row>
    <row r="186" spans="2:15" ht="15.75" customHeight="1" x14ac:dyDescent="0.2">
      <c r="B186" s="76" t="s">
        <v>53</v>
      </c>
      <c r="C186" s="77"/>
      <c r="D186" s="78"/>
      <c r="E186" s="96">
        <f>SUM(E185)</f>
        <v>29445.782500000001</v>
      </c>
      <c r="G186" s="76" t="s">
        <v>53</v>
      </c>
      <c r="H186" s="77"/>
      <c r="I186" s="78"/>
      <c r="J186" s="96">
        <f>SUM(J185)</f>
        <v>26814.232</v>
      </c>
      <c r="L186" s="76" t="s">
        <v>53</v>
      </c>
      <c r="M186" s="77"/>
      <c r="N186" s="78"/>
      <c r="O186" s="96">
        <f>SUM(O185)</f>
        <v>2784.5488630136988</v>
      </c>
    </row>
    <row r="187" spans="2:15" ht="15.75" customHeight="1" x14ac:dyDescent="0.2">
      <c r="B187" s="76" t="s">
        <v>54</v>
      </c>
      <c r="C187" s="77"/>
      <c r="D187" s="78"/>
      <c r="E187" s="96">
        <f>+E186/12</f>
        <v>2453.8152083333334</v>
      </c>
      <c r="G187" s="76" t="s">
        <v>54</v>
      </c>
      <c r="H187" s="77"/>
      <c r="I187" s="78"/>
      <c r="J187" s="96">
        <f>+J186/40</f>
        <v>670.35580000000004</v>
      </c>
      <c r="L187" s="76" t="s">
        <v>54</v>
      </c>
      <c r="M187" s="77"/>
      <c r="N187" s="78"/>
      <c r="O187" s="96">
        <f>+O186</f>
        <v>2784.5488630136988</v>
      </c>
    </row>
    <row r="188" spans="2:15" ht="15.75" customHeight="1" x14ac:dyDescent="0.2">
      <c r="B188" s="76" t="s">
        <v>55</v>
      </c>
      <c r="C188" s="77"/>
      <c r="D188" s="80">
        <v>0.3</v>
      </c>
      <c r="E188" s="81"/>
      <c r="G188" s="76" t="s">
        <v>55</v>
      </c>
      <c r="H188" s="77"/>
      <c r="I188" s="80">
        <v>0.3</v>
      </c>
      <c r="J188" s="81"/>
      <c r="L188" s="76" t="s">
        <v>55</v>
      </c>
      <c r="M188" s="77"/>
      <c r="N188" s="80">
        <v>0.3</v>
      </c>
      <c r="O188" s="81"/>
    </row>
    <row r="189" spans="2:15" ht="15.75" customHeight="1" x14ac:dyDescent="0.2">
      <c r="B189" s="76" t="s">
        <v>56</v>
      </c>
      <c r="C189" s="77"/>
      <c r="D189" s="82"/>
      <c r="E189" s="96">
        <f>+E187*3.33333333333333</f>
        <v>8179.3840277777699</v>
      </c>
      <c r="G189" s="76" t="s">
        <v>56</v>
      </c>
      <c r="H189" s="77"/>
      <c r="I189" s="82"/>
      <c r="J189" s="96">
        <f>+J187*3.33333333333333</f>
        <v>2234.5193333333314</v>
      </c>
      <c r="L189" s="76" t="s">
        <v>56</v>
      </c>
      <c r="M189" s="77"/>
      <c r="N189" s="82"/>
      <c r="O189" s="96">
        <f>+O187*3.33333333333333</f>
        <v>9281.8295433789863</v>
      </c>
    </row>
    <row r="190" spans="2:15" ht="15.75" customHeight="1" x14ac:dyDescent="0.2">
      <c r="B190" s="76" t="s">
        <v>57</v>
      </c>
      <c r="C190" s="77"/>
      <c r="D190" s="78"/>
      <c r="E190" s="96">
        <v>6898</v>
      </c>
      <c r="G190" s="76" t="s">
        <v>250</v>
      </c>
      <c r="H190" s="77"/>
      <c r="I190" s="78">
        <v>2011</v>
      </c>
      <c r="J190" s="96">
        <v>1839</v>
      </c>
      <c r="L190" s="76" t="s">
        <v>250</v>
      </c>
      <c r="M190" s="77"/>
      <c r="N190" s="78"/>
      <c r="O190" s="96">
        <v>9000</v>
      </c>
    </row>
    <row r="191" spans="2:15" ht="15.75" customHeight="1" x14ac:dyDescent="0.2">
      <c r="B191" s="71"/>
      <c r="C191" s="77"/>
      <c r="D191" s="78"/>
      <c r="E191" s="95">
        <f>+E190-E189</f>
        <v>-1281.3840277777699</v>
      </c>
      <c r="G191" s="71"/>
      <c r="H191" s="77"/>
      <c r="I191" s="78"/>
      <c r="J191" s="95">
        <f>+J190-J189</f>
        <v>-395.51933333333136</v>
      </c>
      <c r="L191" s="71"/>
      <c r="M191" s="77"/>
      <c r="N191" s="78"/>
      <c r="O191" s="95">
        <f>+O190-O189</f>
        <v>-281.82954337898627</v>
      </c>
    </row>
    <row r="192" spans="2:15" ht="15.75" customHeight="1" x14ac:dyDescent="0.2">
      <c r="B192" s="32" t="s">
        <v>58</v>
      </c>
      <c r="C192" s="83"/>
      <c r="D192" s="110"/>
      <c r="E192" s="98">
        <f>E187/E190</f>
        <v>0.35572850222286656</v>
      </c>
      <c r="G192" s="32" t="s">
        <v>58</v>
      </c>
      <c r="H192" s="83"/>
      <c r="I192" s="110"/>
      <c r="J192" s="98">
        <f>J187/J190</f>
        <v>0.36452191408374118</v>
      </c>
      <c r="L192" s="32" t="s">
        <v>58</v>
      </c>
      <c r="M192" s="83"/>
      <c r="N192" s="110"/>
      <c r="O192" s="98">
        <f>O187/O190</f>
        <v>0.30939431811263318</v>
      </c>
    </row>
    <row r="193" spans="2:15" ht="15.75" customHeight="1" x14ac:dyDescent="0.15"/>
    <row r="194" spans="2:15" ht="15.75" customHeight="1" x14ac:dyDescent="0.15"/>
    <row r="195" spans="2:15" ht="15.75" customHeight="1" x14ac:dyDescent="0.2">
      <c r="B195" s="218" t="s">
        <v>517</v>
      </c>
      <c r="C195" s="213"/>
      <c r="D195" s="213"/>
      <c r="E195" s="214"/>
      <c r="G195" s="218" t="s">
        <v>518</v>
      </c>
      <c r="H195" s="213"/>
      <c r="I195" s="213"/>
      <c r="J195" s="214"/>
      <c r="L195" s="218" t="s">
        <v>519</v>
      </c>
      <c r="M195" s="213"/>
      <c r="N195" s="213"/>
      <c r="O195" s="214"/>
    </row>
    <row r="196" spans="2:15" ht="15.75" customHeight="1" x14ac:dyDescent="0.2">
      <c r="B196" s="64"/>
      <c r="C196" s="65" t="s">
        <v>8</v>
      </c>
      <c r="D196" s="7" t="s">
        <v>9</v>
      </c>
      <c r="E196" s="8" t="s">
        <v>10</v>
      </c>
      <c r="G196" s="64"/>
      <c r="H196" s="65" t="s">
        <v>8</v>
      </c>
      <c r="I196" s="7" t="s">
        <v>9</v>
      </c>
      <c r="J196" s="8" t="s">
        <v>10</v>
      </c>
      <c r="L196" s="64"/>
      <c r="M196" s="65" t="s">
        <v>8</v>
      </c>
      <c r="N196" s="7" t="s">
        <v>9</v>
      </c>
      <c r="O196" s="8" t="s">
        <v>10</v>
      </c>
    </row>
    <row r="197" spans="2:15" ht="15.75" customHeight="1" x14ac:dyDescent="0.2">
      <c r="B197" s="20" t="s">
        <v>520</v>
      </c>
      <c r="C197" s="68">
        <v>4.4999999999999998E-2</v>
      </c>
      <c r="D197" s="94">
        <f>+VLOOKUP(B197,'PRECIO PROVEEDORES'!$A$2:$B$716,2,0)</f>
        <v>17564.657894736843</v>
      </c>
      <c r="E197" s="12">
        <f t="shared" ref="E197:E199" si="21">+C197*D197</f>
        <v>790.40960526315791</v>
      </c>
      <c r="G197" s="20" t="s">
        <v>521</v>
      </c>
      <c r="H197" s="68">
        <v>0.12</v>
      </c>
      <c r="I197" s="94">
        <f>+VLOOKUP(G197,'PRECIO PROVEEDORES'!$A$2:$B$716,2,0)</f>
        <v>7220.6757777777775</v>
      </c>
      <c r="J197" s="12">
        <f t="shared" ref="J197:J199" si="22">+H197*I197</f>
        <v>866.48109333333332</v>
      </c>
      <c r="L197" s="66" t="s">
        <v>239</v>
      </c>
      <c r="M197" s="68">
        <v>2</v>
      </c>
      <c r="N197" s="94">
        <f>+VLOOKUP(L197,'PRECIO PROVEEDORES'!$A$2:$B$716,2,0)</f>
        <v>890</v>
      </c>
      <c r="O197" s="12">
        <f t="shared" ref="O197:O203" si="23">+M197*N197</f>
        <v>1780</v>
      </c>
    </row>
    <row r="198" spans="2:15" ht="15.75" customHeight="1" x14ac:dyDescent="0.2">
      <c r="B198" s="20" t="s">
        <v>522</v>
      </c>
      <c r="C198" s="68">
        <v>4.4999999999999998E-2</v>
      </c>
      <c r="D198" s="94">
        <f>+VLOOKUP(B198,'PRECIO PROVEEDORES'!$A$2:$B$716,2,0)</f>
        <v>9381.4117647058829</v>
      </c>
      <c r="E198" s="12">
        <f t="shared" si="21"/>
        <v>422.16352941176473</v>
      </c>
      <c r="G198" s="20" t="s">
        <v>523</v>
      </c>
      <c r="H198" s="68">
        <v>0.04</v>
      </c>
      <c r="I198" s="94">
        <f>+VLOOKUP(G198,'PRECIO PROVEEDORES'!$A$2:$B$716,2,0)</f>
        <v>7227.03</v>
      </c>
      <c r="J198" s="12">
        <f t="shared" si="22"/>
        <v>289.08120000000002</v>
      </c>
      <c r="L198" s="66" t="s">
        <v>210</v>
      </c>
      <c r="M198" s="68">
        <v>0.4</v>
      </c>
      <c r="N198" s="94">
        <f>+VLOOKUP(L198,'PRECIO PROVEEDORES'!$A$2:$B$716,2,0)</f>
        <v>1352</v>
      </c>
      <c r="O198" s="12">
        <f t="shared" si="23"/>
        <v>540.80000000000007</v>
      </c>
    </row>
    <row r="199" spans="2:15" ht="15.75" customHeight="1" x14ac:dyDescent="0.2">
      <c r="B199" s="20" t="s">
        <v>524</v>
      </c>
      <c r="C199" s="68">
        <v>0.08</v>
      </c>
      <c r="D199" s="94">
        <f>+VLOOKUP(B199,'PRECIO PROVEEDORES'!$A$2:$B$716,2,0)</f>
        <v>4901.8394444444448</v>
      </c>
      <c r="E199" s="12">
        <f t="shared" si="21"/>
        <v>392.14715555555557</v>
      </c>
      <c r="G199" s="20" t="s">
        <v>525</v>
      </c>
      <c r="H199" s="68">
        <v>0.05</v>
      </c>
      <c r="I199" s="94">
        <f>+VLOOKUP(G199,'PRECIO PROVEEDORES'!$A$2:$B$716,2,0)</f>
        <v>4478.4404999999997</v>
      </c>
      <c r="J199" s="12">
        <f t="shared" si="22"/>
        <v>223.92202499999999</v>
      </c>
      <c r="L199" s="66" t="s">
        <v>17</v>
      </c>
      <c r="M199" s="68">
        <v>6</v>
      </c>
      <c r="N199" s="94">
        <f>+VLOOKUP(L199,'PRECIO PROVEEDORES'!$A$2:$B$716,2,0)</f>
        <v>192</v>
      </c>
      <c r="O199" s="12">
        <f t="shared" si="23"/>
        <v>1152</v>
      </c>
    </row>
    <row r="200" spans="2:15" ht="15.75" customHeight="1" x14ac:dyDescent="0.2">
      <c r="B200" s="66"/>
      <c r="C200" s="68"/>
      <c r="D200" s="67"/>
      <c r="E200" s="12"/>
      <c r="G200" s="66"/>
      <c r="H200" s="68"/>
      <c r="I200" s="67"/>
      <c r="J200" s="12"/>
      <c r="L200" s="66" t="s">
        <v>243</v>
      </c>
      <c r="M200" s="68">
        <v>0.02</v>
      </c>
      <c r="N200" s="94">
        <f>+VLOOKUP(L200,'PRECIO PROVEEDORES'!$A$2:$B$716,2,0)</f>
        <v>17780</v>
      </c>
      <c r="O200" s="12">
        <f t="shared" si="23"/>
        <v>355.6</v>
      </c>
    </row>
    <row r="201" spans="2:15" ht="15.75" customHeight="1" x14ac:dyDescent="0.2">
      <c r="B201" s="66"/>
      <c r="C201" s="103"/>
      <c r="D201" s="94"/>
      <c r="E201" s="12"/>
      <c r="G201" s="66"/>
      <c r="H201" s="103"/>
      <c r="I201" s="94"/>
      <c r="J201" s="12"/>
      <c r="L201" s="66" t="s">
        <v>166</v>
      </c>
      <c r="M201" s="103">
        <v>0.72</v>
      </c>
      <c r="N201" s="94">
        <f>+VLOOKUP(L201,'PRECIO PROVEEDORES'!$A$2:$B$716,2,0)</f>
        <v>1940</v>
      </c>
      <c r="O201" s="12">
        <f t="shared" si="23"/>
        <v>1396.8</v>
      </c>
    </row>
    <row r="202" spans="2:15" ht="15.75" customHeight="1" x14ac:dyDescent="0.2">
      <c r="B202" s="66"/>
      <c r="C202" s="68"/>
      <c r="D202" s="69"/>
      <c r="E202" s="12"/>
      <c r="G202" s="66"/>
      <c r="H202" s="68"/>
      <c r="I202" s="69"/>
      <c r="J202" s="12"/>
      <c r="L202" s="66" t="s">
        <v>235</v>
      </c>
      <c r="M202" s="68">
        <v>0.24</v>
      </c>
      <c r="N202" s="94">
        <f>+VLOOKUP(L202,'PRECIO PROVEEDORES'!$A$2:$B$716,2,0)</f>
        <v>13662</v>
      </c>
      <c r="O202" s="12">
        <f t="shared" si="23"/>
        <v>3278.8799999999997</v>
      </c>
    </row>
    <row r="203" spans="2:15" ht="15.75" customHeight="1" x14ac:dyDescent="0.2">
      <c r="B203" s="66"/>
      <c r="C203" s="103"/>
      <c r="D203" s="69"/>
      <c r="E203" s="70"/>
      <c r="G203" s="66"/>
      <c r="H203" s="103"/>
      <c r="I203" s="69"/>
      <c r="J203" s="70"/>
      <c r="L203" s="66" t="s">
        <v>280</v>
      </c>
      <c r="M203" s="103">
        <v>3.6</v>
      </c>
      <c r="N203" s="94">
        <f>+VLOOKUP(L203,'PRECIO PROVEEDORES'!$A$2:$B$716,2,0)</f>
        <v>3356</v>
      </c>
      <c r="O203" s="12">
        <f t="shared" si="23"/>
        <v>12081.6</v>
      </c>
    </row>
    <row r="204" spans="2:15" ht="15.75" customHeight="1" x14ac:dyDescent="0.15">
      <c r="B204" s="64"/>
      <c r="C204" s="66"/>
      <c r="D204" s="69"/>
      <c r="E204" s="70"/>
      <c r="G204" s="64"/>
      <c r="H204" s="66"/>
      <c r="I204" s="69"/>
      <c r="J204" s="70"/>
      <c r="L204" s="64"/>
      <c r="M204" s="66"/>
      <c r="N204" s="69"/>
      <c r="O204" s="70"/>
    </row>
    <row r="205" spans="2:15" ht="15.75" customHeight="1" x14ac:dyDescent="0.15">
      <c r="B205" s="71"/>
      <c r="C205" s="66"/>
      <c r="D205" s="69"/>
      <c r="E205" s="70"/>
      <c r="G205" s="71"/>
      <c r="H205" s="66"/>
      <c r="I205" s="69"/>
      <c r="J205" s="70"/>
      <c r="L205" s="71"/>
      <c r="M205" s="66"/>
      <c r="N205" s="69"/>
      <c r="O205" s="70"/>
    </row>
    <row r="206" spans="2:15" ht="15.75" customHeight="1" x14ac:dyDescent="0.15">
      <c r="B206" s="71"/>
      <c r="C206" s="66"/>
      <c r="D206" s="69"/>
      <c r="E206" s="70"/>
      <c r="G206" s="71"/>
      <c r="H206" s="66"/>
      <c r="I206" s="69"/>
      <c r="J206" s="70"/>
      <c r="L206" s="71"/>
      <c r="M206" s="66"/>
      <c r="N206" s="69"/>
      <c r="O206" s="70"/>
    </row>
    <row r="207" spans="2:15" ht="15.75" customHeight="1" x14ac:dyDescent="0.15">
      <c r="B207" s="71"/>
      <c r="C207" s="66"/>
      <c r="D207" s="69"/>
      <c r="E207" s="70"/>
      <c r="G207" s="71"/>
      <c r="H207" s="66"/>
      <c r="I207" s="69"/>
      <c r="J207" s="70"/>
      <c r="L207" s="71"/>
      <c r="M207" s="66"/>
      <c r="N207" s="69"/>
      <c r="O207" s="70"/>
    </row>
    <row r="208" spans="2:15" ht="15.75" customHeight="1" x14ac:dyDescent="0.15">
      <c r="B208" s="71"/>
      <c r="C208" s="66"/>
      <c r="D208" s="69"/>
      <c r="E208" s="70"/>
      <c r="G208" s="71"/>
      <c r="H208" s="66"/>
      <c r="I208" s="69"/>
      <c r="J208" s="70"/>
      <c r="L208" s="71"/>
      <c r="M208" s="66"/>
      <c r="N208" s="69"/>
      <c r="O208" s="70"/>
    </row>
    <row r="209" spans="2:15" ht="15.75" customHeight="1" x14ac:dyDescent="0.15">
      <c r="B209" s="64"/>
      <c r="C209" s="66"/>
      <c r="D209" s="69"/>
      <c r="E209" s="70"/>
      <c r="G209" s="64"/>
      <c r="H209" s="66"/>
      <c r="I209" s="69"/>
      <c r="J209" s="70"/>
      <c r="L209" s="64"/>
      <c r="M209" s="66"/>
      <c r="N209" s="69"/>
      <c r="O209" s="70"/>
    </row>
    <row r="210" spans="2:15" ht="15.75" customHeight="1" x14ac:dyDescent="0.15">
      <c r="B210" s="64"/>
      <c r="C210" s="66"/>
      <c r="D210" s="69"/>
      <c r="E210" s="70"/>
      <c r="G210" s="64"/>
      <c r="H210" s="66"/>
      <c r="I210" s="69"/>
      <c r="J210" s="70"/>
      <c r="L210" s="64"/>
      <c r="M210" s="66"/>
      <c r="N210" s="69"/>
      <c r="O210" s="70"/>
    </row>
    <row r="211" spans="2:15" ht="15.75" customHeight="1" x14ac:dyDescent="0.15">
      <c r="B211" s="64"/>
      <c r="C211" s="66"/>
      <c r="D211" s="69"/>
      <c r="E211" s="70"/>
      <c r="G211" s="64"/>
      <c r="H211" s="66"/>
      <c r="I211" s="69"/>
      <c r="J211" s="70"/>
      <c r="L211" s="64"/>
      <c r="M211" s="66"/>
      <c r="N211" s="69"/>
      <c r="O211" s="70"/>
    </row>
    <row r="212" spans="2:15" ht="15.75" customHeight="1" x14ac:dyDescent="0.2">
      <c r="B212" s="72" t="s">
        <v>52</v>
      </c>
      <c r="C212" s="73"/>
      <c r="D212" s="74"/>
      <c r="E212" s="95">
        <f>SUM(E197:E211)</f>
        <v>1604.7202902304782</v>
      </c>
      <c r="G212" s="72" t="s">
        <v>52</v>
      </c>
      <c r="H212" s="73"/>
      <c r="I212" s="74"/>
      <c r="J212" s="95">
        <f>SUM(J197:J211)</f>
        <v>1379.4843183333335</v>
      </c>
      <c r="L212" s="72" t="s">
        <v>52</v>
      </c>
      <c r="M212" s="73"/>
      <c r="N212" s="74"/>
      <c r="O212" s="95">
        <f>SUM(O197:O211)</f>
        <v>20585.68</v>
      </c>
    </row>
    <row r="213" spans="2:15" ht="15.75" customHeight="1" x14ac:dyDescent="0.2">
      <c r="B213" s="76" t="s">
        <v>53</v>
      </c>
      <c r="C213" s="77"/>
      <c r="D213" s="78"/>
      <c r="E213" s="96">
        <f>SUM(E212)</f>
        <v>1604.7202902304782</v>
      </c>
      <c r="G213" s="76" t="s">
        <v>53</v>
      </c>
      <c r="H213" s="77"/>
      <c r="I213" s="78"/>
      <c r="J213" s="96">
        <f>SUM(J212)</f>
        <v>1379.4843183333335</v>
      </c>
      <c r="L213" s="76" t="s">
        <v>53</v>
      </c>
      <c r="M213" s="77"/>
      <c r="N213" s="78"/>
      <c r="O213" s="96">
        <f>SUM(O212)</f>
        <v>20585.68</v>
      </c>
    </row>
    <row r="214" spans="2:15" ht="15.75" customHeight="1" x14ac:dyDescent="0.2">
      <c r="B214" s="76" t="s">
        <v>54</v>
      </c>
      <c r="C214" s="77"/>
      <c r="D214" s="78"/>
      <c r="E214" s="96">
        <f>+E213</f>
        <v>1604.7202902304782</v>
      </c>
      <c r="G214" s="76" t="s">
        <v>54</v>
      </c>
      <c r="H214" s="77"/>
      <c r="I214" s="78"/>
      <c r="J214" s="96">
        <f>+J213</f>
        <v>1379.4843183333335</v>
      </c>
      <c r="L214" s="76" t="s">
        <v>54</v>
      </c>
      <c r="M214" s="77"/>
      <c r="N214" s="78"/>
      <c r="O214" s="96">
        <f>+O213/40</f>
        <v>514.64200000000005</v>
      </c>
    </row>
    <row r="215" spans="2:15" ht="15.75" customHeight="1" x14ac:dyDescent="0.2">
      <c r="B215" s="76" t="s">
        <v>55</v>
      </c>
      <c r="C215" s="77"/>
      <c r="D215" s="80">
        <v>0.3</v>
      </c>
      <c r="E215" s="81"/>
      <c r="G215" s="76" t="s">
        <v>55</v>
      </c>
      <c r="H215" s="77"/>
      <c r="I215" s="80">
        <v>0.3</v>
      </c>
      <c r="J215" s="81"/>
      <c r="L215" s="76" t="s">
        <v>55</v>
      </c>
      <c r="M215" s="77"/>
      <c r="N215" s="80">
        <v>0.3</v>
      </c>
      <c r="O215" s="81"/>
    </row>
    <row r="216" spans="2:15" ht="15.75" customHeight="1" x14ac:dyDescent="0.2">
      <c r="B216" s="76" t="s">
        <v>56</v>
      </c>
      <c r="C216" s="77"/>
      <c r="D216" s="82"/>
      <c r="E216" s="96">
        <f>+E214*3.33333333333333</f>
        <v>5349.0676341015887</v>
      </c>
      <c r="G216" s="76" t="s">
        <v>56</v>
      </c>
      <c r="H216" s="77"/>
      <c r="I216" s="82"/>
      <c r="J216" s="96">
        <f>+J214*3.33333333333333</f>
        <v>4598.2810611111072</v>
      </c>
      <c r="L216" s="76" t="s">
        <v>56</v>
      </c>
      <c r="M216" s="77"/>
      <c r="N216" s="82"/>
      <c r="O216" s="96">
        <f>+O214*3.33333333333333</f>
        <v>1715.4733333333318</v>
      </c>
    </row>
    <row r="217" spans="2:15" ht="15.75" customHeight="1" x14ac:dyDescent="0.2">
      <c r="B217" s="76" t="s">
        <v>57</v>
      </c>
      <c r="C217" s="77"/>
      <c r="D217" s="78"/>
      <c r="E217" s="96">
        <v>4295</v>
      </c>
      <c r="G217" s="76" t="s">
        <v>57</v>
      </c>
      <c r="H217" s="77"/>
      <c r="I217" s="78"/>
      <c r="J217" s="96">
        <v>3800</v>
      </c>
      <c r="L217" s="76" t="s">
        <v>250</v>
      </c>
      <c r="M217" s="77"/>
      <c r="N217" s="78">
        <v>1545</v>
      </c>
      <c r="O217" s="96">
        <v>1655</v>
      </c>
    </row>
    <row r="218" spans="2:15" ht="15.75" customHeight="1" x14ac:dyDescent="0.2">
      <c r="B218" s="71"/>
      <c r="C218" s="77"/>
      <c r="D218" s="78"/>
      <c r="E218" s="95">
        <f>+E217-E216</f>
        <v>-1054.0676341015887</v>
      </c>
      <c r="G218" s="71"/>
      <c r="H218" s="77"/>
      <c r="I218" s="78"/>
      <c r="J218" s="95">
        <f>+J217-J216</f>
        <v>-798.28106111110719</v>
      </c>
      <c r="L218" s="71"/>
      <c r="M218" s="77"/>
      <c r="N218" s="78"/>
      <c r="O218" s="95">
        <f>+O217-O216</f>
        <v>-60.473333333331766</v>
      </c>
    </row>
    <row r="219" spans="2:15" ht="15.75" customHeight="1" x14ac:dyDescent="0.2">
      <c r="B219" s="32" t="s">
        <v>58</v>
      </c>
      <c r="C219" s="83"/>
      <c r="D219" s="110"/>
      <c r="E219" s="98">
        <f>E214/E217</f>
        <v>0.37362521309207875</v>
      </c>
      <c r="G219" s="32" t="s">
        <v>58</v>
      </c>
      <c r="H219" s="83"/>
      <c r="I219" s="110"/>
      <c r="J219" s="98">
        <f>J214/J217</f>
        <v>0.36302218903508776</v>
      </c>
      <c r="L219" s="32" t="s">
        <v>58</v>
      </c>
      <c r="M219" s="83"/>
      <c r="N219" s="110"/>
      <c r="O219" s="98">
        <f>O214/O217</f>
        <v>0.31096193353474322</v>
      </c>
    </row>
    <row r="220" spans="2:15" ht="15.75" customHeight="1" x14ac:dyDescent="0.15"/>
    <row r="221" spans="2:15" ht="15.75" customHeight="1" x14ac:dyDescent="0.15"/>
    <row r="222" spans="2:15" ht="15.75" customHeight="1" x14ac:dyDescent="0.2">
      <c r="B222" s="218" t="s">
        <v>526</v>
      </c>
      <c r="C222" s="213"/>
      <c r="D222" s="213"/>
      <c r="E222" s="214"/>
      <c r="G222" s="218" t="s">
        <v>527</v>
      </c>
      <c r="H222" s="213"/>
      <c r="I222" s="213"/>
      <c r="J222" s="214"/>
      <c r="L222" s="218" t="s">
        <v>363</v>
      </c>
      <c r="M222" s="213"/>
      <c r="N222" s="213"/>
      <c r="O222" s="214"/>
    </row>
    <row r="223" spans="2:15" ht="15.75" customHeight="1" x14ac:dyDescent="0.2">
      <c r="B223" s="64"/>
      <c r="C223" s="65" t="s">
        <v>8</v>
      </c>
      <c r="D223" s="7" t="s">
        <v>9</v>
      </c>
      <c r="E223" s="8" t="s">
        <v>10</v>
      </c>
      <c r="G223" s="64"/>
      <c r="H223" s="65" t="s">
        <v>8</v>
      </c>
      <c r="I223" s="7" t="s">
        <v>9</v>
      </c>
      <c r="J223" s="8" t="s">
        <v>10</v>
      </c>
      <c r="L223" s="64"/>
      <c r="M223" s="65" t="s">
        <v>8</v>
      </c>
      <c r="N223" s="7" t="s">
        <v>9</v>
      </c>
      <c r="O223" s="8" t="s">
        <v>10</v>
      </c>
    </row>
    <row r="224" spans="2:15" ht="15.75" customHeight="1" x14ac:dyDescent="0.2">
      <c r="B224" s="7" t="s">
        <v>528</v>
      </c>
      <c r="C224" s="68">
        <v>0.1</v>
      </c>
      <c r="D224" s="94">
        <f>+VLOOKUP(B224,'PRECIO PROVEEDORES'!$A$2:$B$716,2,0)</f>
        <v>4547.2026666666661</v>
      </c>
      <c r="E224" s="12">
        <f t="shared" ref="E224:E228" si="24">+C224*D224</f>
        <v>454.72026666666665</v>
      </c>
      <c r="G224" s="66" t="s">
        <v>306</v>
      </c>
      <c r="H224" s="68">
        <v>0.14000000000000001</v>
      </c>
      <c r="I224" s="94">
        <f>+VLOOKUP(G224,'PRECIO PROVEEDORES'!$A$2:$B$716,2,0)</f>
        <v>3342.9512328767123</v>
      </c>
      <c r="J224" s="12">
        <f t="shared" ref="J224:J227" si="25">+H224*I224</f>
        <v>468.01317260273976</v>
      </c>
      <c r="L224" s="13" t="s">
        <v>275</v>
      </c>
      <c r="M224" s="36">
        <v>0.1</v>
      </c>
      <c r="N224" s="94">
        <f>+VLOOKUP(L224,'PRECIO PROVEEDORES'!$A$2:$B$716,2,0)</f>
        <v>13205</v>
      </c>
      <c r="O224" s="12">
        <f t="shared" ref="O224:O229" si="26">+M224*N224</f>
        <v>1320.5</v>
      </c>
    </row>
    <row r="225" spans="2:15" ht="15.75" customHeight="1" x14ac:dyDescent="0.2">
      <c r="B225" s="20" t="s">
        <v>529</v>
      </c>
      <c r="C225" s="68">
        <v>2.7E-2</v>
      </c>
      <c r="D225" s="94">
        <f>+VLOOKUP(B225,'PRECIO PROVEEDORES'!$A$2:$B$716,2,0)</f>
        <v>3520.7692307692309</v>
      </c>
      <c r="E225" s="12">
        <f t="shared" si="24"/>
        <v>95.060769230769239</v>
      </c>
      <c r="G225" s="66" t="s">
        <v>275</v>
      </c>
      <c r="H225" s="68">
        <v>4.0000000000000001E-3</v>
      </c>
      <c r="I225" s="94">
        <f>+VLOOKUP(G225,'PRECIO PROVEEDORES'!$A$2:$B$716,2,0)</f>
        <v>13205</v>
      </c>
      <c r="J225" s="12">
        <f t="shared" si="25"/>
        <v>52.82</v>
      </c>
      <c r="L225" s="13" t="s">
        <v>166</v>
      </c>
      <c r="M225" s="36">
        <v>0.6</v>
      </c>
      <c r="N225" s="94">
        <f>+VLOOKUP(L225,'PRECIO PROVEEDORES'!$A$2:$B$716,2,0)</f>
        <v>1940</v>
      </c>
      <c r="O225" s="12">
        <f t="shared" si="26"/>
        <v>1164</v>
      </c>
    </row>
    <row r="226" spans="2:15" ht="15.75" customHeight="1" x14ac:dyDescent="0.2">
      <c r="B226" s="20" t="s">
        <v>530</v>
      </c>
      <c r="C226" s="68">
        <v>0.03</v>
      </c>
      <c r="D226" s="94">
        <f>+VLOOKUP(B226,'PRECIO PROVEEDORES'!$A$2:$B$716,2,0)</f>
        <v>13612</v>
      </c>
      <c r="E226" s="12">
        <f t="shared" si="24"/>
        <v>408.35999999999996</v>
      </c>
      <c r="G226" s="7" t="s">
        <v>236</v>
      </c>
      <c r="H226" s="68">
        <v>2E-3</v>
      </c>
      <c r="I226" s="94">
        <f>+VLOOKUP(G226,'PRECIO PROVEEDORES'!$A$2:$B$716,2,0)</f>
        <v>78338</v>
      </c>
      <c r="J226" s="12">
        <f t="shared" si="25"/>
        <v>156.67600000000002</v>
      </c>
      <c r="L226" s="13" t="s">
        <v>210</v>
      </c>
      <c r="M226" s="36">
        <v>0.2</v>
      </c>
      <c r="N226" s="94">
        <f>+VLOOKUP(L226,'PRECIO PROVEEDORES'!$A$2:$B$716,2,0)</f>
        <v>1352</v>
      </c>
      <c r="O226" s="12">
        <f t="shared" si="26"/>
        <v>270.40000000000003</v>
      </c>
    </row>
    <row r="227" spans="2:15" ht="15.75" customHeight="1" x14ac:dyDescent="0.2">
      <c r="B227" s="7" t="s">
        <v>305</v>
      </c>
      <c r="C227" s="68">
        <v>0.01</v>
      </c>
      <c r="D227" s="94">
        <f>+VLOOKUP(B227,'PRECIO PROVEEDORES'!$A$2:$B$716,2,0)</f>
        <v>12959</v>
      </c>
      <c r="E227" s="12">
        <f t="shared" si="24"/>
        <v>129.59</v>
      </c>
      <c r="G227" s="20" t="s">
        <v>531</v>
      </c>
      <c r="H227" s="68">
        <v>7.0000000000000007E-2</v>
      </c>
      <c r="I227" s="94">
        <f>+VLOOKUP(G227,'PRECIO PROVEEDORES'!$A$2:$B$716,2,0)</f>
        <v>9292.5299999999988</v>
      </c>
      <c r="J227" s="12">
        <f t="shared" si="25"/>
        <v>650.47709999999995</v>
      </c>
      <c r="L227" s="13" t="s">
        <v>247</v>
      </c>
      <c r="M227" s="36">
        <v>0.03</v>
      </c>
      <c r="N227" s="94">
        <f>+VLOOKUP(L227,'PRECIO PROVEEDORES'!$A$2:$B$716,2,0)</f>
        <v>12000</v>
      </c>
      <c r="O227" s="12">
        <f t="shared" si="26"/>
        <v>360</v>
      </c>
    </row>
    <row r="228" spans="2:15" ht="15.75" customHeight="1" x14ac:dyDescent="0.2">
      <c r="B228" s="66" t="s">
        <v>280</v>
      </c>
      <c r="C228" s="103">
        <v>2.5000000000000001E-2</v>
      </c>
      <c r="D228" s="94">
        <f>+VLOOKUP(B228,'PRECIO PROVEEDORES'!$A$2:$B$716,2,0)</f>
        <v>3356</v>
      </c>
      <c r="E228" s="12">
        <f t="shared" si="24"/>
        <v>83.9</v>
      </c>
      <c r="G228" s="66"/>
      <c r="H228" s="103"/>
      <c r="I228" s="94"/>
      <c r="J228" s="12"/>
      <c r="L228" s="13" t="s">
        <v>237</v>
      </c>
      <c r="M228" s="36">
        <v>0.06</v>
      </c>
      <c r="N228" s="94">
        <f>+VLOOKUP(L228,'PRECIO PROVEEDORES'!$A$2:$B$716,2,0)</f>
        <v>1043.22</v>
      </c>
      <c r="O228" s="12">
        <f t="shared" si="26"/>
        <v>62.593199999999996</v>
      </c>
    </row>
    <row r="229" spans="2:15" ht="15.75" customHeight="1" x14ac:dyDescent="0.2">
      <c r="B229" s="66"/>
      <c r="C229" s="68"/>
      <c r="D229" s="94"/>
      <c r="E229" s="12"/>
      <c r="G229" s="66"/>
      <c r="H229" s="68"/>
      <c r="I229" s="94"/>
      <c r="J229" s="12"/>
      <c r="L229" s="13" t="s">
        <v>49</v>
      </c>
      <c r="M229" s="36">
        <v>2E-3</v>
      </c>
      <c r="N229" s="94">
        <f>+VLOOKUP(L229,'PRECIO PROVEEDORES'!$A$2:$B$716,2,0)</f>
        <v>1633</v>
      </c>
      <c r="O229" s="12">
        <f t="shared" si="26"/>
        <v>3.266</v>
      </c>
    </row>
    <row r="230" spans="2:15" ht="15.75" customHeight="1" x14ac:dyDescent="0.2">
      <c r="B230" s="66"/>
      <c r="C230" s="103"/>
      <c r="D230" s="94"/>
      <c r="E230" s="12"/>
      <c r="G230" s="66"/>
      <c r="H230" s="103"/>
      <c r="I230" s="94"/>
      <c r="J230" s="12"/>
      <c r="L230" s="66"/>
      <c r="M230" s="103"/>
      <c r="N230" s="94"/>
      <c r="O230" s="12"/>
    </row>
    <row r="231" spans="2:15" ht="15.75" customHeight="1" x14ac:dyDescent="0.15">
      <c r="B231" s="64"/>
      <c r="C231" s="66"/>
      <c r="D231" s="69"/>
      <c r="E231" s="70"/>
      <c r="G231" s="64"/>
      <c r="H231" s="66"/>
      <c r="I231" s="69"/>
      <c r="J231" s="70"/>
      <c r="L231" s="64"/>
      <c r="M231" s="66"/>
      <c r="N231" s="69"/>
      <c r="O231" s="70"/>
    </row>
    <row r="232" spans="2:15" ht="15.75" customHeight="1" x14ac:dyDescent="0.15">
      <c r="B232" s="71"/>
      <c r="C232" s="66"/>
      <c r="D232" s="69"/>
      <c r="E232" s="70"/>
      <c r="G232" s="71"/>
      <c r="H232" s="66"/>
      <c r="I232" s="69"/>
      <c r="J232" s="70"/>
      <c r="L232" s="71"/>
      <c r="M232" s="66"/>
      <c r="N232" s="69"/>
      <c r="O232" s="70"/>
    </row>
    <row r="233" spans="2:15" ht="15.75" customHeight="1" x14ac:dyDescent="0.15">
      <c r="B233" s="71"/>
      <c r="C233" s="66"/>
      <c r="D233" s="69"/>
      <c r="E233" s="70"/>
      <c r="G233" s="71"/>
      <c r="H233" s="66"/>
      <c r="I233" s="69"/>
      <c r="J233" s="70"/>
      <c r="L233" s="71"/>
      <c r="M233" s="66"/>
      <c r="N233" s="69"/>
      <c r="O233" s="70"/>
    </row>
    <row r="234" spans="2:15" ht="15.75" customHeight="1" x14ac:dyDescent="0.15">
      <c r="B234" s="71"/>
      <c r="C234" s="66"/>
      <c r="D234" s="69"/>
      <c r="E234" s="70"/>
      <c r="G234" s="71"/>
      <c r="H234" s="66"/>
      <c r="I234" s="69"/>
      <c r="J234" s="70"/>
      <c r="L234" s="71"/>
      <c r="M234" s="66"/>
      <c r="N234" s="69"/>
      <c r="O234" s="70"/>
    </row>
    <row r="235" spans="2:15" ht="15.75" customHeight="1" x14ac:dyDescent="0.15">
      <c r="B235" s="71"/>
      <c r="C235" s="66"/>
      <c r="D235" s="69"/>
      <c r="E235" s="70"/>
      <c r="G235" s="71"/>
      <c r="H235" s="66"/>
      <c r="I235" s="69"/>
      <c r="J235" s="70"/>
      <c r="L235" s="71"/>
      <c r="M235" s="66"/>
      <c r="N235" s="69"/>
      <c r="O235" s="70"/>
    </row>
    <row r="236" spans="2:15" ht="15.75" customHeight="1" x14ac:dyDescent="0.15">
      <c r="B236" s="64"/>
      <c r="C236" s="66"/>
      <c r="D236" s="69"/>
      <c r="E236" s="70"/>
      <c r="G236" s="64"/>
      <c r="H236" s="66"/>
      <c r="I236" s="69"/>
      <c r="J236" s="70"/>
      <c r="L236" s="64"/>
      <c r="M236" s="66"/>
      <c r="N236" s="69"/>
      <c r="O236" s="70"/>
    </row>
    <row r="237" spans="2:15" ht="15.75" customHeight="1" x14ac:dyDescent="0.15">
      <c r="B237" s="64"/>
      <c r="C237" s="66"/>
      <c r="D237" s="69"/>
      <c r="E237" s="70"/>
      <c r="G237" s="64"/>
      <c r="H237" s="66"/>
      <c r="I237" s="69"/>
      <c r="J237" s="70"/>
      <c r="L237" s="64"/>
      <c r="M237" s="66"/>
      <c r="N237" s="69"/>
      <c r="O237" s="70"/>
    </row>
    <row r="238" spans="2:15" ht="15.75" customHeight="1" x14ac:dyDescent="0.15">
      <c r="B238" s="64"/>
      <c r="C238" s="66"/>
      <c r="D238" s="69"/>
      <c r="E238" s="70"/>
      <c r="G238" s="64"/>
      <c r="H238" s="66"/>
      <c r="I238" s="69"/>
      <c r="J238" s="70"/>
      <c r="L238" s="64"/>
      <c r="M238" s="66"/>
      <c r="N238" s="69"/>
      <c r="O238" s="70"/>
    </row>
    <row r="239" spans="2:15" ht="15.75" customHeight="1" x14ac:dyDescent="0.2">
      <c r="B239" s="72" t="s">
        <v>52</v>
      </c>
      <c r="C239" s="73"/>
      <c r="D239" s="74"/>
      <c r="E239" s="95">
        <f>SUM(E224:E238)</f>
        <v>1171.6310358974358</v>
      </c>
      <c r="G239" s="72" t="s">
        <v>52</v>
      </c>
      <c r="H239" s="73"/>
      <c r="I239" s="74"/>
      <c r="J239" s="95">
        <f>SUM(J224:J238)</f>
        <v>1327.9862726027397</v>
      </c>
      <c r="L239" s="72" t="s">
        <v>52</v>
      </c>
      <c r="M239" s="73"/>
      <c r="N239" s="74"/>
      <c r="O239" s="95">
        <f>SUM(O224:O238)</f>
        <v>3180.7592</v>
      </c>
    </row>
    <row r="240" spans="2:15" ht="15.75" customHeight="1" x14ac:dyDescent="0.2">
      <c r="B240" s="76" t="s">
        <v>53</v>
      </c>
      <c r="C240" s="77"/>
      <c r="D240" s="78"/>
      <c r="E240" s="96">
        <f>SUM(E239)</f>
        <v>1171.6310358974358</v>
      </c>
      <c r="G240" s="76" t="s">
        <v>53</v>
      </c>
      <c r="H240" s="77"/>
      <c r="I240" s="78"/>
      <c r="J240" s="96">
        <f>SUM(J239)</f>
        <v>1327.9862726027397</v>
      </c>
      <c r="L240" s="76" t="s">
        <v>53</v>
      </c>
      <c r="M240" s="77"/>
      <c r="N240" s="78"/>
      <c r="O240" s="96">
        <f>SUM(O239)</f>
        <v>3180.7592</v>
      </c>
    </row>
    <row r="241" spans="2:15" ht="15.75" customHeight="1" x14ac:dyDescent="0.2">
      <c r="B241" s="76" t="s">
        <v>54</v>
      </c>
      <c r="C241" s="77"/>
      <c r="D241" s="78"/>
      <c r="E241" s="96">
        <f>+E240</f>
        <v>1171.6310358974358</v>
      </c>
      <c r="G241" s="76" t="s">
        <v>54</v>
      </c>
      <c r="H241" s="77"/>
      <c r="I241" s="78"/>
      <c r="J241" s="96">
        <f>+J240</f>
        <v>1327.9862726027397</v>
      </c>
      <c r="L241" s="76" t="s">
        <v>54</v>
      </c>
      <c r="M241" s="77"/>
      <c r="N241" s="78"/>
      <c r="O241" s="96">
        <f>+O240</f>
        <v>3180.7592</v>
      </c>
    </row>
    <row r="242" spans="2:15" ht="15.75" customHeight="1" x14ac:dyDescent="0.2">
      <c r="B242" s="76" t="s">
        <v>55</v>
      </c>
      <c r="C242" s="77"/>
      <c r="D242" s="80">
        <v>0.3</v>
      </c>
      <c r="E242" s="81"/>
      <c r="G242" s="76" t="s">
        <v>55</v>
      </c>
      <c r="H242" s="77"/>
      <c r="I242" s="80">
        <v>0.3</v>
      </c>
      <c r="J242" s="81"/>
      <c r="L242" s="76" t="s">
        <v>55</v>
      </c>
      <c r="M242" s="77"/>
      <c r="N242" s="80">
        <v>0.3</v>
      </c>
      <c r="O242" s="81"/>
    </row>
    <row r="243" spans="2:15" ht="15.75" customHeight="1" x14ac:dyDescent="0.2">
      <c r="B243" s="76" t="s">
        <v>56</v>
      </c>
      <c r="C243" s="77"/>
      <c r="D243" s="82"/>
      <c r="E243" s="96">
        <f>+E241*3.33333333333333</f>
        <v>3905.4367863247821</v>
      </c>
      <c r="G243" s="76" t="s">
        <v>56</v>
      </c>
      <c r="H243" s="77"/>
      <c r="I243" s="82"/>
      <c r="J243" s="96">
        <f>+J241*3.33333333333333</f>
        <v>4426.6209086757945</v>
      </c>
      <c r="L243" s="76" t="s">
        <v>56</v>
      </c>
      <c r="M243" s="77"/>
      <c r="N243" s="82"/>
      <c r="O243" s="96">
        <f>+O241*3.33333333333333</f>
        <v>10602.530666666657</v>
      </c>
    </row>
    <row r="244" spans="2:15" ht="15.75" customHeight="1" x14ac:dyDescent="0.2">
      <c r="B244" s="76" t="s">
        <v>250</v>
      </c>
      <c r="C244" s="77"/>
      <c r="D244" s="78"/>
      <c r="E244" s="96">
        <v>3562</v>
      </c>
      <c r="G244" s="76" t="s">
        <v>250</v>
      </c>
      <c r="H244" s="77"/>
      <c r="I244" s="78"/>
      <c r="J244" s="96">
        <v>3366</v>
      </c>
      <c r="L244" s="76" t="s">
        <v>250</v>
      </c>
      <c r="M244" s="77"/>
      <c r="N244" s="78"/>
      <c r="O244" s="96">
        <v>9542</v>
      </c>
    </row>
    <row r="245" spans="2:15" ht="15.75" customHeight="1" x14ac:dyDescent="0.2">
      <c r="B245" s="71"/>
      <c r="C245" s="77"/>
      <c r="D245" s="78"/>
      <c r="E245" s="95">
        <f>+E244-E243</f>
        <v>-343.43678632478213</v>
      </c>
      <c r="G245" s="71"/>
      <c r="H245" s="77"/>
      <c r="I245" s="78"/>
      <c r="J245" s="95">
        <f>+J244-J243</f>
        <v>-1060.6209086757945</v>
      </c>
      <c r="L245" s="71"/>
      <c r="M245" s="77"/>
      <c r="N245" s="78"/>
      <c r="O245" s="95">
        <f>+O244-O243</f>
        <v>-1060.5306666666565</v>
      </c>
    </row>
    <row r="246" spans="2:15" ht="15.75" customHeight="1" x14ac:dyDescent="0.2">
      <c r="B246" s="32" t="s">
        <v>58</v>
      </c>
      <c r="C246" s="83"/>
      <c r="D246" s="110"/>
      <c r="E246" s="98">
        <f>E241/E244</f>
        <v>0.32892505218906115</v>
      </c>
      <c r="G246" s="32" t="s">
        <v>58</v>
      </c>
      <c r="H246" s="83"/>
      <c r="I246" s="110"/>
      <c r="J246" s="98">
        <f>J241/J244</f>
        <v>0.39452949275185378</v>
      </c>
      <c r="L246" s="32" t="s">
        <v>58</v>
      </c>
      <c r="M246" s="83"/>
      <c r="N246" s="110"/>
      <c r="O246" s="98">
        <f>O241/O244</f>
        <v>0.33334303081115069</v>
      </c>
    </row>
    <row r="247" spans="2:15" ht="15.75" customHeight="1" x14ac:dyDescent="0.15"/>
    <row r="248" spans="2:15" ht="15.75" customHeight="1" x14ac:dyDescent="0.15"/>
    <row r="249" spans="2:15" ht="15.75" customHeight="1" x14ac:dyDescent="0.2">
      <c r="B249" s="218" t="s">
        <v>390</v>
      </c>
      <c r="C249" s="213"/>
      <c r="D249" s="213"/>
      <c r="E249" s="214"/>
      <c r="G249" s="218" t="s">
        <v>401</v>
      </c>
      <c r="H249" s="213"/>
      <c r="I249" s="213"/>
      <c r="J249" s="214"/>
      <c r="L249" s="218" t="s">
        <v>532</v>
      </c>
      <c r="M249" s="213"/>
      <c r="N249" s="213"/>
      <c r="O249" s="214"/>
    </row>
    <row r="250" spans="2:15" ht="15.75" customHeight="1" x14ac:dyDescent="0.2">
      <c r="B250" s="64"/>
      <c r="C250" s="65" t="s">
        <v>8</v>
      </c>
      <c r="D250" s="7" t="s">
        <v>9</v>
      </c>
      <c r="E250" s="8" t="s">
        <v>10</v>
      </c>
      <c r="G250" s="64"/>
      <c r="H250" s="65" t="s">
        <v>8</v>
      </c>
      <c r="I250" s="7" t="s">
        <v>9</v>
      </c>
      <c r="J250" s="8" t="s">
        <v>10</v>
      </c>
      <c r="L250" s="64"/>
      <c r="M250" s="65" t="s">
        <v>8</v>
      </c>
      <c r="N250" s="7" t="s">
        <v>9</v>
      </c>
      <c r="O250" s="8" t="s">
        <v>10</v>
      </c>
    </row>
    <row r="251" spans="2:15" ht="15.75" customHeight="1" x14ac:dyDescent="0.2">
      <c r="B251" s="66" t="s">
        <v>209</v>
      </c>
      <c r="C251" s="68">
        <v>1</v>
      </c>
      <c r="D251" s="94">
        <f>+VLOOKUP(B251,'PRECIO PROVEEDORES'!$A$2:$B$716,2,0)</f>
        <v>12874.4</v>
      </c>
      <c r="E251" s="12">
        <f t="shared" ref="E251:E253" si="27">+C251*D251</f>
        <v>12874.4</v>
      </c>
      <c r="G251" s="66" t="s">
        <v>209</v>
      </c>
      <c r="H251" s="68">
        <v>1</v>
      </c>
      <c r="I251" s="94">
        <f>+VLOOKUP(G251,'PRECIO PROVEEDORES'!$A$2:$B$716,2,0)</f>
        <v>12874.4</v>
      </c>
      <c r="J251" s="12">
        <f t="shared" ref="J251:J253" si="28">+H251*I251</f>
        <v>12874.4</v>
      </c>
      <c r="L251" s="66" t="s">
        <v>237</v>
      </c>
      <c r="M251" s="68">
        <v>0.375</v>
      </c>
      <c r="N251" s="94">
        <f>+VLOOKUP(L251,'PRECIO PROVEEDORES'!$A$2:$B$716,2,0)</f>
        <v>1043.22</v>
      </c>
      <c r="O251" s="12">
        <f t="shared" ref="O251:O267" si="29">+M251*N251</f>
        <v>391.20749999999998</v>
      </c>
    </row>
    <row r="252" spans="2:15" ht="15.75" customHeight="1" x14ac:dyDescent="0.2">
      <c r="B252" s="66" t="s">
        <v>210</v>
      </c>
      <c r="C252" s="68">
        <v>0.5</v>
      </c>
      <c r="D252" s="94">
        <f>+VLOOKUP(B252,'PRECIO PROVEEDORES'!$A$2:$B$716,2,0)</f>
        <v>1352</v>
      </c>
      <c r="E252" s="12">
        <f t="shared" si="27"/>
        <v>676</v>
      </c>
      <c r="G252" s="66" t="s">
        <v>210</v>
      </c>
      <c r="H252" s="68">
        <v>0.5</v>
      </c>
      <c r="I252" s="94">
        <f>+VLOOKUP(G252,'PRECIO PROVEEDORES'!$A$2:$B$716,2,0)</f>
        <v>1352</v>
      </c>
      <c r="J252" s="12">
        <f t="shared" si="28"/>
        <v>676</v>
      </c>
      <c r="L252" s="66" t="s">
        <v>266</v>
      </c>
      <c r="M252" s="68">
        <v>5.0000000000000001E-3</v>
      </c>
      <c r="N252" s="94">
        <f>+VLOOKUP(L252,'PRECIO PROVEEDORES'!$A$2:$B$716,2,0)</f>
        <v>6040</v>
      </c>
      <c r="O252" s="12">
        <f t="shared" si="29"/>
        <v>30.2</v>
      </c>
    </row>
    <row r="253" spans="2:15" ht="15.75" customHeight="1" x14ac:dyDescent="0.2">
      <c r="B253" s="66" t="s">
        <v>393</v>
      </c>
      <c r="C253" s="68">
        <v>4.0000000000000001E-3</v>
      </c>
      <c r="D253" s="94">
        <f>+VLOOKUP(B253,'PRECIO PROVEEDORES'!$A$2:$B$716,2,0)</f>
        <v>64600</v>
      </c>
      <c r="E253" s="12">
        <f t="shared" si="27"/>
        <v>258.39999999999998</v>
      </c>
      <c r="G253" s="66" t="s">
        <v>393</v>
      </c>
      <c r="H253" s="68">
        <v>7.0000000000000001E-3</v>
      </c>
      <c r="I253" s="94">
        <f>+VLOOKUP(G253,'PRECIO PROVEEDORES'!$A$2:$B$716,2,0)</f>
        <v>64600</v>
      </c>
      <c r="J253" s="12">
        <f t="shared" si="28"/>
        <v>452.2</v>
      </c>
      <c r="L253" s="66" t="s">
        <v>275</v>
      </c>
      <c r="M253" s="68">
        <v>0.02</v>
      </c>
      <c r="N253" s="94">
        <f>+VLOOKUP(L253,'PRECIO PROVEEDORES'!$A$2:$B$716,2,0)</f>
        <v>13205</v>
      </c>
      <c r="O253" s="12">
        <f t="shared" si="29"/>
        <v>264.10000000000002</v>
      </c>
    </row>
    <row r="254" spans="2:15" ht="15.75" customHeight="1" x14ac:dyDescent="0.2">
      <c r="B254" s="66"/>
      <c r="C254" s="68"/>
      <c r="D254" s="94"/>
      <c r="E254" s="12"/>
      <c r="G254" s="66"/>
      <c r="H254" s="68"/>
      <c r="I254" s="94"/>
      <c r="J254" s="12"/>
      <c r="L254" s="66" t="s">
        <v>210</v>
      </c>
      <c r="M254" s="68">
        <v>0.375</v>
      </c>
      <c r="N254" s="94">
        <f>+VLOOKUP(L254,'PRECIO PROVEEDORES'!$A$2:$B$716,2,0)</f>
        <v>1352</v>
      </c>
      <c r="O254" s="12">
        <f t="shared" si="29"/>
        <v>507</v>
      </c>
    </row>
    <row r="255" spans="2:15" ht="15.75" customHeight="1" x14ac:dyDescent="0.2">
      <c r="B255" s="66"/>
      <c r="C255" s="103"/>
      <c r="D255" s="94"/>
      <c r="E255" s="12"/>
      <c r="G255" s="66"/>
      <c r="H255" s="103"/>
      <c r="I255" s="94"/>
      <c r="J255" s="12"/>
      <c r="L255" s="66" t="s">
        <v>245</v>
      </c>
      <c r="M255" s="103">
        <v>5.0000000000000001E-3</v>
      </c>
      <c r="N255" s="94">
        <f>+VLOOKUP(L255,'PRECIO PROVEEDORES'!$A$2:$B$716,2,0)</f>
        <v>2517</v>
      </c>
      <c r="O255" s="12">
        <f t="shared" si="29"/>
        <v>12.585000000000001</v>
      </c>
    </row>
    <row r="256" spans="2:15" ht="15.75" customHeight="1" x14ac:dyDescent="0.2">
      <c r="B256" s="66"/>
      <c r="C256" s="68"/>
      <c r="D256" s="94"/>
      <c r="E256" s="12"/>
      <c r="G256" s="66"/>
      <c r="H256" s="68"/>
      <c r="I256" s="94"/>
      <c r="J256" s="12"/>
      <c r="L256" s="66" t="s">
        <v>49</v>
      </c>
      <c r="M256" s="68">
        <v>5.0000000000000001E-3</v>
      </c>
      <c r="N256" s="94">
        <f>+VLOOKUP(L256,'PRECIO PROVEEDORES'!$A$2:$B$716,2,0)</f>
        <v>1633</v>
      </c>
      <c r="O256" s="12">
        <f t="shared" si="29"/>
        <v>8.1650000000000009</v>
      </c>
    </row>
    <row r="257" spans="2:15" ht="15.75" customHeight="1" x14ac:dyDescent="0.2">
      <c r="B257" s="66"/>
      <c r="C257" s="103"/>
      <c r="D257" s="94"/>
      <c r="E257" s="12"/>
      <c r="G257" s="66"/>
      <c r="H257" s="103"/>
      <c r="I257" s="94"/>
      <c r="J257" s="12"/>
      <c r="L257" s="66" t="s">
        <v>235</v>
      </c>
      <c r="M257" s="103">
        <v>0.5</v>
      </c>
      <c r="N257" s="94">
        <f>+VLOOKUP(L257,'PRECIO PROVEEDORES'!$A$2:$B$716,2,0)</f>
        <v>13662</v>
      </c>
      <c r="O257" s="12">
        <f t="shared" si="29"/>
        <v>6831</v>
      </c>
    </row>
    <row r="258" spans="2:15" ht="15.75" customHeight="1" x14ac:dyDescent="0.2">
      <c r="B258" s="64"/>
      <c r="C258" s="66"/>
      <c r="D258" s="69"/>
      <c r="E258" s="70"/>
      <c r="G258" s="64"/>
      <c r="H258" s="66"/>
      <c r="I258" s="69"/>
      <c r="J258" s="70"/>
      <c r="L258" s="64" t="s">
        <v>115</v>
      </c>
      <c r="M258" s="66">
        <v>0.15</v>
      </c>
      <c r="N258" s="94">
        <f>+VLOOKUP(L258,'PRECIO PROVEEDORES'!$A$2:$B$716,2,0)</f>
        <v>4299.01</v>
      </c>
      <c r="O258" s="12">
        <f t="shared" si="29"/>
        <v>644.85149999999999</v>
      </c>
    </row>
    <row r="259" spans="2:15" ht="15.75" customHeight="1" x14ac:dyDescent="0.2">
      <c r="B259" s="71"/>
      <c r="C259" s="66"/>
      <c r="D259" s="69"/>
      <c r="E259" s="70"/>
      <c r="G259" s="71"/>
      <c r="H259" s="66"/>
      <c r="I259" s="69"/>
      <c r="J259" s="70"/>
      <c r="L259" s="71" t="s">
        <v>17</v>
      </c>
      <c r="M259" s="66">
        <v>3</v>
      </c>
      <c r="N259" s="94">
        <f>+VLOOKUP(L259,'PRECIO PROVEEDORES'!$A$2:$B$716,2,0)</f>
        <v>192</v>
      </c>
      <c r="O259" s="12">
        <f t="shared" si="29"/>
        <v>576</v>
      </c>
    </row>
    <row r="260" spans="2:15" ht="15.75" customHeight="1" x14ac:dyDescent="0.2">
      <c r="B260" s="71"/>
      <c r="C260" s="66"/>
      <c r="D260" s="69"/>
      <c r="E260" s="70"/>
      <c r="G260" s="71"/>
      <c r="H260" s="66"/>
      <c r="I260" s="69"/>
      <c r="J260" s="70"/>
      <c r="L260" s="71" t="s">
        <v>265</v>
      </c>
      <c r="M260" s="66">
        <v>0.01</v>
      </c>
      <c r="N260" s="94">
        <f>+VLOOKUP(L260,'PRECIO PROVEEDORES'!$A$2:$B$716,2,0)</f>
        <v>2118</v>
      </c>
      <c r="O260" s="12">
        <f t="shared" si="29"/>
        <v>21.18</v>
      </c>
    </row>
    <row r="261" spans="2:15" ht="15.75" customHeight="1" x14ac:dyDescent="0.2">
      <c r="B261" s="71"/>
      <c r="C261" s="66"/>
      <c r="D261" s="69"/>
      <c r="E261" s="70"/>
      <c r="G261" s="71"/>
      <c r="H261" s="66"/>
      <c r="I261" s="69"/>
      <c r="J261" s="70"/>
      <c r="L261" s="71" t="s">
        <v>370</v>
      </c>
      <c r="M261" s="66">
        <v>0.02</v>
      </c>
      <c r="N261" s="94">
        <f>+VLOOKUP(L261,'PRECIO PROVEEDORES'!$A$2:$B$716,2,0)</f>
        <v>1037</v>
      </c>
      <c r="O261" s="12">
        <f t="shared" si="29"/>
        <v>20.740000000000002</v>
      </c>
    </row>
    <row r="262" spans="2:15" ht="15.75" customHeight="1" x14ac:dyDescent="0.2">
      <c r="B262" s="71"/>
      <c r="C262" s="66"/>
      <c r="D262" s="69"/>
      <c r="E262" s="70"/>
      <c r="G262" s="71"/>
      <c r="H262" s="66"/>
      <c r="I262" s="69"/>
      <c r="J262" s="70"/>
      <c r="L262" s="71" t="s">
        <v>166</v>
      </c>
      <c r="M262" s="66">
        <v>0.22500000000000001</v>
      </c>
      <c r="N262" s="94">
        <f>+VLOOKUP(L262,'PRECIO PROVEEDORES'!$A$2:$B$716,2,0)</f>
        <v>1940</v>
      </c>
      <c r="O262" s="12">
        <f t="shared" si="29"/>
        <v>436.5</v>
      </c>
    </row>
    <row r="263" spans="2:15" ht="15.75" customHeight="1" x14ac:dyDescent="0.2">
      <c r="B263" s="64"/>
      <c r="C263" s="66"/>
      <c r="D263" s="69"/>
      <c r="E263" s="70"/>
      <c r="G263" s="64"/>
      <c r="H263" s="66"/>
      <c r="I263" s="69"/>
      <c r="J263" s="70"/>
      <c r="L263" s="64" t="s">
        <v>273</v>
      </c>
      <c r="M263" s="66">
        <v>0.09</v>
      </c>
      <c r="N263" s="94">
        <f>+VLOOKUP(L263,'PRECIO PROVEEDORES'!$A$2:$B$716,2,0)</f>
        <v>2191</v>
      </c>
      <c r="O263" s="12">
        <f t="shared" si="29"/>
        <v>197.19</v>
      </c>
    </row>
    <row r="264" spans="2:15" ht="15.75" customHeight="1" x14ac:dyDescent="0.2">
      <c r="B264" s="64"/>
      <c r="C264" s="66"/>
      <c r="D264" s="69"/>
      <c r="E264" s="70"/>
      <c r="G264" s="64"/>
      <c r="H264" s="66"/>
      <c r="I264" s="69"/>
      <c r="J264" s="70"/>
      <c r="L264" s="66" t="s">
        <v>271</v>
      </c>
      <c r="M264" s="66">
        <v>0.3</v>
      </c>
      <c r="N264" s="94">
        <f>+VLOOKUP(L264,'PRECIO PROVEEDORES'!$A$2:$B$716,2,0)</f>
        <v>1684</v>
      </c>
      <c r="O264" s="12">
        <f t="shared" si="29"/>
        <v>505.2</v>
      </c>
    </row>
    <row r="265" spans="2:15" ht="15.75" customHeight="1" x14ac:dyDescent="0.2">
      <c r="B265" s="64"/>
      <c r="C265" s="66"/>
      <c r="D265" s="69"/>
      <c r="E265" s="70"/>
      <c r="G265" s="64"/>
      <c r="H265" s="66"/>
      <c r="I265" s="69"/>
      <c r="J265" s="70"/>
      <c r="L265" s="7" t="s">
        <v>210</v>
      </c>
      <c r="M265" s="66">
        <v>0.25</v>
      </c>
      <c r="N265" s="94">
        <f>+VLOOKUP(L265,'PRECIO PROVEEDORES'!$A$2:$B$716,2,0)</f>
        <v>1352</v>
      </c>
      <c r="O265" s="12">
        <f t="shared" si="29"/>
        <v>338</v>
      </c>
    </row>
    <row r="266" spans="2:15" ht="15.75" customHeight="1" x14ac:dyDescent="0.2">
      <c r="B266" s="64"/>
      <c r="C266" s="66"/>
      <c r="D266" s="69"/>
      <c r="E266" s="70"/>
      <c r="G266" s="64"/>
      <c r="H266" s="66"/>
      <c r="I266" s="69"/>
      <c r="J266" s="70"/>
      <c r="L266" s="7" t="s">
        <v>506</v>
      </c>
      <c r="M266" s="66">
        <v>1.4999999999999999E-2</v>
      </c>
      <c r="N266" s="94">
        <f>+VLOOKUP(L266,'PRECIO PROVEEDORES'!$A$2:$B$716,2,0)</f>
        <v>93400</v>
      </c>
      <c r="O266" s="12">
        <f t="shared" si="29"/>
        <v>1401</v>
      </c>
    </row>
    <row r="267" spans="2:15" ht="15.75" customHeight="1" x14ac:dyDescent="0.2">
      <c r="B267" s="64"/>
      <c r="C267" s="66"/>
      <c r="D267" s="69"/>
      <c r="E267" s="70"/>
      <c r="G267" s="64"/>
      <c r="H267" s="66"/>
      <c r="I267" s="69"/>
      <c r="J267" s="70"/>
      <c r="L267" s="7" t="s">
        <v>507</v>
      </c>
      <c r="M267" s="66">
        <v>1.05</v>
      </c>
      <c r="N267" s="94">
        <f>+VLOOKUP(L267,'PRECIO PROVEEDORES'!$A$2:$B$716,2,0)</f>
        <v>15314</v>
      </c>
      <c r="O267" s="12">
        <f t="shared" si="29"/>
        <v>16079.7</v>
      </c>
    </row>
    <row r="268" spans="2:15" ht="15.75" customHeight="1" x14ac:dyDescent="0.2">
      <c r="B268" s="72" t="s">
        <v>52</v>
      </c>
      <c r="C268" s="73"/>
      <c r="D268" s="74"/>
      <c r="E268" s="95">
        <f>SUM(E251:E267)</f>
        <v>13808.8</v>
      </c>
      <c r="G268" s="72" t="s">
        <v>52</v>
      </c>
      <c r="H268" s="73"/>
      <c r="I268" s="74"/>
      <c r="J268" s="95">
        <f>SUM(J251:J267)</f>
        <v>14002.6</v>
      </c>
      <c r="L268" s="72" t="s">
        <v>52</v>
      </c>
      <c r="M268" s="73"/>
      <c r="N268" s="74"/>
      <c r="O268" s="95">
        <f>SUM(O251:O267)</f>
        <v>28264.619000000002</v>
      </c>
    </row>
    <row r="269" spans="2:15" ht="15.75" customHeight="1" x14ac:dyDescent="0.2">
      <c r="B269" s="76" t="s">
        <v>53</v>
      </c>
      <c r="C269" s="77"/>
      <c r="D269" s="78"/>
      <c r="E269" s="96">
        <f>SUM(E268)</f>
        <v>13808.8</v>
      </c>
      <c r="G269" s="76" t="s">
        <v>53</v>
      </c>
      <c r="H269" s="77"/>
      <c r="I269" s="78"/>
      <c r="J269" s="96">
        <f>SUM(J268)</f>
        <v>14002.6</v>
      </c>
      <c r="L269" s="76" t="s">
        <v>53</v>
      </c>
      <c r="M269" s="77"/>
      <c r="N269" s="78"/>
      <c r="O269" s="96">
        <f>SUM(O268)</f>
        <v>28264.619000000002</v>
      </c>
    </row>
    <row r="270" spans="2:15" ht="15.75" customHeight="1" x14ac:dyDescent="0.2">
      <c r="B270" s="76" t="s">
        <v>54</v>
      </c>
      <c r="C270" s="77"/>
      <c r="D270" s="78"/>
      <c r="E270" s="96">
        <f>+E269*1000/1500</f>
        <v>9205.8666666666668</v>
      </c>
      <c r="G270" s="76" t="s">
        <v>54</v>
      </c>
      <c r="H270" s="77"/>
      <c r="I270" s="78"/>
      <c r="J270" s="96">
        <f>+J269*1000/1500</f>
        <v>9335.0666666666675</v>
      </c>
      <c r="L270" s="76" t="s">
        <v>54</v>
      </c>
      <c r="M270" s="77"/>
      <c r="N270" s="78"/>
      <c r="O270" s="96">
        <f>+O269</f>
        <v>28264.619000000002</v>
      </c>
    </row>
    <row r="271" spans="2:15" ht="15.75" customHeight="1" x14ac:dyDescent="0.2">
      <c r="B271" s="76" t="s">
        <v>55</v>
      </c>
      <c r="C271" s="77"/>
      <c r="D271" s="80">
        <v>0.3</v>
      </c>
      <c r="E271" s="81"/>
      <c r="G271" s="76" t="s">
        <v>55</v>
      </c>
      <c r="H271" s="77"/>
      <c r="I271" s="80">
        <v>0.3</v>
      </c>
      <c r="J271" s="81"/>
      <c r="L271" s="76" t="s">
        <v>55</v>
      </c>
      <c r="M271" s="77"/>
      <c r="N271" s="80">
        <v>0.3</v>
      </c>
      <c r="O271" s="81"/>
    </row>
    <row r="272" spans="2:15" ht="15.75" customHeight="1" x14ac:dyDescent="0.2">
      <c r="B272" s="76" t="s">
        <v>56</v>
      </c>
      <c r="C272" s="77"/>
      <c r="D272" s="82"/>
      <c r="E272" s="96">
        <f>+E270*3.33333333333333</f>
        <v>30686.22222222219</v>
      </c>
      <c r="G272" s="76" t="s">
        <v>56</v>
      </c>
      <c r="H272" s="77"/>
      <c r="I272" s="82"/>
      <c r="J272" s="96">
        <f>+J270*3.33333333333333</f>
        <v>31116.888888888861</v>
      </c>
      <c r="L272" s="76" t="s">
        <v>56</v>
      </c>
      <c r="M272" s="77"/>
      <c r="N272" s="82"/>
      <c r="O272" s="96">
        <f>+O270*3.33333333333333</f>
        <v>94215.39666666658</v>
      </c>
    </row>
    <row r="273" spans="2:15" ht="15.75" customHeight="1" x14ac:dyDescent="0.2">
      <c r="B273" s="76" t="s">
        <v>250</v>
      </c>
      <c r="C273" s="77"/>
      <c r="D273" s="78"/>
      <c r="E273" s="96">
        <v>16350</v>
      </c>
      <c r="G273" s="76" t="s">
        <v>250</v>
      </c>
      <c r="H273" s="77"/>
      <c r="I273" s="78"/>
      <c r="J273" s="96">
        <v>16752</v>
      </c>
      <c r="L273" s="76" t="s">
        <v>250</v>
      </c>
      <c r="M273" s="77"/>
      <c r="N273" s="78">
        <v>120000</v>
      </c>
      <c r="O273" s="96">
        <v>72636</v>
      </c>
    </row>
    <row r="274" spans="2:15" ht="15.75" customHeight="1" x14ac:dyDescent="0.2">
      <c r="B274" s="71"/>
      <c r="C274" s="77"/>
      <c r="D274" s="78"/>
      <c r="E274" s="95">
        <f>+E273-E272</f>
        <v>-14336.22222222219</v>
      </c>
      <c r="G274" s="71"/>
      <c r="H274" s="77"/>
      <c r="I274" s="78"/>
      <c r="J274" s="95">
        <f>+J273-J272</f>
        <v>-14364.888888888861</v>
      </c>
      <c r="L274" s="71"/>
      <c r="M274" s="77"/>
      <c r="N274" s="78"/>
      <c r="O274" s="95">
        <f>+O273-O272</f>
        <v>-21579.39666666658</v>
      </c>
    </row>
    <row r="275" spans="2:15" ht="15.75" customHeight="1" x14ac:dyDescent="0.2">
      <c r="B275" s="32" t="s">
        <v>58</v>
      </c>
      <c r="C275" s="83"/>
      <c r="D275" s="110"/>
      <c r="E275" s="98">
        <f>E270/E273</f>
        <v>0.56304994903160044</v>
      </c>
      <c r="G275" s="32" t="s">
        <v>58</v>
      </c>
      <c r="H275" s="83"/>
      <c r="I275" s="110"/>
      <c r="J275" s="98">
        <f>J270/J273</f>
        <v>0.5572508755173512</v>
      </c>
      <c r="L275" s="32" t="s">
        <v>58</v>
      </c>
      <c r="M275" s="83"/>
      <c r="N275" s="110"/>
      <c r="O275" s="98">
        <f>O270/O273</f>
        <v>0.38912686546616004</v>
      </c>
    </row>
    <row r="276" spans="2:15" ht="15.75" customHeight="1" x14ac:dyDescent="0.15"/>
    <row r="277" spans="2:15" ht="15.75" customHeight="1" x14ac:dyDescent="0.15"/>
    <row r="278" spans="2:15" ht="15.75" customHeight="1" x14ac:dyDescent="0.2">
      <c r="B278" s="218" t="s">
        <v>533</v>
      </c>
      <c r="C278" s="213"/>
      <c r="D278" s="213"/>
      <c r="E278" s="214"/>
      <c r="G278" s="218" t="s">
        <v>534</v>
      </c>
      <c r="H278" s="213"/>
      <c r="I278" s="213"/>
      <c r="J278" s="214"/>
      <c r="L278" s="218" t="s">
        <v>535</v>
      </c>
      <c r="M278" s="213"/>
      <c r="N278" s="213"/>
      <c r="O278" s="214"/>
    </row>
    <row r="279" spans="2:15" ht="15.75" customHeight="1" x14ac:dyDescent="0.2">
      <c r="B279" s="64"/>
      <c r="C279" s="65" t="s">
        <v>8</v>
      </c>
      <c r="D279" s="7" t="s">
        <v>9</v>
      </c>
      <c r="E279" s="8" t="s">
        <v>10</v>
      </c>
      <c r="G279" s="64"/>
      <c r="H279" s="65" t="s">
        <v>8</v>
      </c>
      <c r="I279" s="7" t="s">
        <v>9</v>
      </c>
      <c r="J279" s="8" t="s">
        <v>10</v>
      </c>
      <c r="L279" s="64"/>
      <c r="M279" s="65" t="s">
        <v>8</v>
      </c>
      <c r="N279" s="7" t="s">
        <v>9</v>
      </c>
      <c r="O279" s="8" t="s">
        <v>10</v>
      </c>
    </row>
    <row r="280" spans="2:15" ht="15.75" customHeight="1" x14ac:dyDescent="0.2">
      <c r="B280" s="7" t="s">
        <v>305</v>
      </c>
      <c r="C280" s="68">
        <v>0.255</v>
      </c>
      <c r="D280" s="94">
        <f>+VLOOKUP(B280,'PRECIO PROVEEDORES'!$A$2:$B$716,2,0)</f>
        <v>12959</v>
      </c>
      <c r="E280" s="12">
        <f t="shared" ref="E280:E289" si="30">+C280*D280</f>
        <v>3304.5450000000001</v>
      </c>
      <c r="G280" s="66" t="s">
        <v>536</v>
      </c>
      <c r="H280" s="68">
        <v>1</v>
      </c>
      <c r="I280" s="94">
        <f>+VLOOKUP(G280,'PRECIO PROVEEDORES'!$A$2:$B$716,2,0)</f>
        <v>296.47000000000003</v>
      </c>
      <c r="J280" s="12">
        <f>+H280*I280</f>
        <v>296.47000000000003</v>
      </c>
      <c r="L280" s="66" t="s">
        <v>210</v>
      </c>
      <c r="M280" s="68">
        <v>0.245</v>
      </c>
      <c r="N280" s="94">
        <f>+VLOOKUP(L280,'PRECIO PROVEEDORES'!$A$2:$B$716,2,0)</f>
        <v>1352</v>
      </c>
      <c r="O280" s="12">
        <f t="shared" ref="O280:O286" si="31">+M280*N280</f>
        <v>331.24</v>
      </c>
    </row>
    <row r="281" spans="2:15" ht="15.75" customHeight="1" x14ac:dyDescent="0.2">
      <c r="B281" s="66" t="s">
        <v>235</v>
      </c>
      <c r="C281" s="68">
        <v>0.20499999999999999</v>
      </c>
      <c r="D281" s="94">
        <f>+VLOOKUP(B281,'PRECIO PROVEEDORES'!$A$2:$B$716,2,0)</f>
        <v>13662</v>
      </c>
      <c r="E281" s="12">
        <f t="shared" si="30"/>
        <v>2800.71</v>
      </c>
      <c r="G281" s="66"/>
      <c r="H281" s="68"/>
      <c r="I281" s="94"/>
      <c r="J281" s="12"/>
      <c r="L281" s="66" t="s">
        <v>247</v>
      </c>
      <c r="M281" s="68">
        <v>8.5000000000000006E-2</v>
      </c>
      <c r="N281" s="94">
        <f>+VLOOKUP(L281,'PRECIO PROVEEDORES'!$A$2:$B$716,2,0)</f>
        <v>12000</v>
      </c>
      <c r="O281" s="12">
        <f t="shared" si="31"/>
        <v>1020.0000000000001</v>
      </c>
    </row>
    <row r="282" spans="2:15" ht="15.75" customHeight="1" x14ac:dyDescent="0.2">
      <c r="B282" s="66" t="s">
        <v>17</v>
      </c>
      <c r="C282" s="68">
        <v>5</v>
      </c>
      <c r="D282" s="94">
        <f>+VLOOKUP(B282,'PRECIO PROVEEDORES'!$A$2:$B$716,2,0)</f>
        <v>192</v>
      </c>
      <c r="E282" s="12">
        <f t="shared" si="30"/>
        <v>960</v>
      </c>
      <c r="G282" s="66"/>
      <c r="H282" s="68"/>
      <c r="I282" s="94"/>
      <c r="J282" s="12"/>
      <c r="L282" s="66" t="s">
        <v>237</v>
      </c>
      <c r="M282" s="68">
        <v>0.12</v>
      </c>
      <c r="N282" s="94">
        <f>+VLOOKUP(L282,'PRECIO PROVEEDORES'!$A$2:$B$716,2,0)</f>
        <v>1043.22</v>
      </c>
      <c r="O282" s="12">
        <f t="shared" si="31"/>
        <v>125.18639999999999</v>
      </c>
    </row>
    <row r="283" spans="2:15" ht="15.75" customHeight="1" x14ac:dyDescent="0.2">
      <c r="B283" s="66" t="s">
        <v>210</v>
      </c>
      <c r="C283" s="68">
        <v>0.32500000000000001</v>
      </c>
      <c r="D283" s="94">
        <f>+VLOOKUP(B283,'PRECIO PROVEEDORES'!$A$2:$B$716,2,0)</f>
        <v>1352</v>
      </c>
      <c r="E283" s="12">
        <f t="shared" si="30"/>
        <v>439.40000000000003</v>
      </c>
      <c r="G283" s="66"/>
      <c r="H283" s="68"/>
      <c r="I283" s="94"/>
      <c r="J283" s="12"/>
      <c r="L283" s="66" t="s">
        <v>537</v>
      </c>
      <c r="M283" s="68">
        <v>0.6</v>
      </c>
      <c r="N283" s="94">
        <f>+VLOOKUP(L283,'PRECIO PROVEEDORES'!$A$2:$B$716,2,0)</f>
        <v>5672</v>
      </c>
      <c r="O283" s="12">
        <f t="shared" si="31"/>
        <v>3403.2</v>
      </c>
    </row>
    <row r="284" spans="2:15" ht="15.75" customHeight="1" x14ac:dyDescent="0.2">
      <c r="B284" s="66" t="s">
        <v>275</v>
      </c>
      <c r="C284" s="103">
        <v>0.02</v>
      </c>
      <c r="D284" s="94">
        <f>+VLOOKUP(B284,'PRECIO PROVEEDORES'!$A$2:$B$716,2,0)</f>
        <v>13205</v>
      </c>
      <c r="E284" s="12">
        <f t="shared" si="30"/>
        <v>264.10000000000002</v>
      </c>
      <c r="G284" s="66"/>
      <c r="H284" s="103"/>
      <c r="I284" s="94"/>
      <c r="J284" s="12"/>
      <c r="L284" s="66" t="s">
        <v>241</v>
      </c>
      <c r="M284" s="103">
        <v>0.13500000000000001</v>
      </c>
      <c r="N284" s="94">
        <f>+VLOOKUP(L284,'PRECIO PROVEEDORES'!$A$2:$B$716,2,0)</f>
        <v>10203</v>
      </c>
      <c r="O284" s="12">
        <f t="shared" si="31"/>
        <v>1377.4050000000002</v>
      </c>
    </row>
    <row r="285" spans="2:15" ht="15.75" customHeight="1" x14ac:dyDescent="0.2">
      <c r="B285" s="66" t="s">
        <v>280</v>
      </c>
      <c r="C285" s="68">
        <v>0.32</v>
      </c>
      <c r="D285" s="94">
        <f>+VLOOKUP(B285,'PRECIO PROVEEDORES'!$A$2:$B$716,2,0)</f>
        <v>3356</v>
      </c>
      <c r="E285" s="12">
        <f t="shared" si="30"/>
        <v>1073.92</v>
      </c>
      <c r="G285" s="66"/>
      <c r="H285" s="68"/>
      <c r="I285" s="94"/>
      <c r="J285" s="12"/>
      <c r="L285" s="66" t="s">
        <v>17</v>
      </c>
      <c r="M285" s="68">
        <v>3</v>
      </c>
      <c r="N285" s="94">
        <f>+VLOOKUP(L285,'PRECIO PROVEEDORES'!$A$2:$B$716,2,0)</f>
        <v>192</v>
      </c>
      <c r="O285" s="12">
        <f t="shared" si="31"/>
        <v>576</v>
      </c>
    </row>
    <row r="286" spans="2:15" ht="15.75" customHeight="1" x14ac:dyDescent="0.2">
      <c r="B286" s="66" t="s">
        <v>241</v>
      </c>
      <c r="C286" s="103">
        <v>0.53</v>
      </c>
      <c r="D286" s="94">
        <f>+VLOOKUP(B286,'PRECIO PROVEEDORES'!$A$2:$B$716,2,0)</f>
        <v>10203</v>
      </c>
      <c r="E286" s="12">
        <f t="shared" si="30"/>
        <v>5407.59</v>
      </c>
      <c r="G286" s="66"/>
      <c r="H286" s="103"/>
      <c r="I286" s="94"/>
      <c r="J286" s="12"/>
      <c r="L286" s="66" t="s">
        <v>273</v>
      </c>
      <c r="M286" s="103">
        <v>5.0000000000000001E-3</v>
      </c>
      <c r="N286" s="94">
        <f>+VLOOKUP(L286,'PRECIO PROVEEDORES'!$A$2:$B$716,2,0)</f>
        <v>2191</v>
      </c>
      <c r="O286" s="12">
        <f t="shared" si="31"/>
        <v>10.955</v>
      </c>
    </row>
    <row r="287" spans="2:15" ht="15.75" customHeight="1" x14ac:dyDescent="0.2">
      <c r="B287" s="64" t="s">
        <v>30</v>
      </c>
      <c r="C287" s="66">
        <v>0.1</v>
      </c>
      <c r="D287" s="94">
        <f>+VLOOKUP(B287,'PRECIO PROVEEDORES'!$A$2:$B$716,2,0)</f>
        <v>26000</v>
      </c>
      <c r="E287" s="12">
        <f t="shared" si="30"/>
        <v>2600</v>
      </c>
      <c r="G287" s="64"/>
      <c r="H287" s="66"/>
      <c r="I287" s="94"/>
      <c r="J287" s="12"/>
      <c r="L287" s="64"/>
      <c r="M287" s="66"/>
      <c r="N287" s="94"/>
      <c r="O287" s="12"/>
    </row>
    <row r="288" spans="2:15" ht="15.75" customHeight="1" x14ac:dyDescent="0.2">
      <c r="B288" s="107" t="s">
        <v>238</v>
      </c>
      <c r="C288" s="66">
        <v>0.12</v>
      </c>
      <c r="D288" s="94">
        <f>+VLOOKUP(B288,'PRECIO PROVEEDORES'!$A$2:$B$716,2,0)</f>
        <v>36068</v>
      </c>
      <c r="E288" s="12">
        <f t="shared" si="30"/>
        <v>4328.16</v>
      </c>
      <c r="G288" s="71"/>
      <c r="H288" s="66"/>
      <c r="I288" s="94"/>
      <c r="J288" s="12"/>
      <c r="L288" s="71"/>
      <c r="M288" s="66"/>
      <c r="N288" s="69"/>
      <c r="O288" s="70"/>
    </row>
    <row r="289" spans="2:15" ht="15.75" customHeight="1" x14ac:dyDescent="0.2">
      <c r="B289" s="7" t="s">
        <v>392</v>
      </c>
      <c r="C289" s="66">
        <v>0.2</v>
      </c>
      <c r="D289" s="94">
        <f>+VLOOKUP(B289,'PRECIO PROVEEDORES'!$A$2:$B$716,2,0)</f>
        <v>7173</v>
      </c>
      <c r="E289" s="12">
        <f t="shared" si="30"/>
        <v>1434.6000000000001</v>
      </c>
      <c r="G289" s="71"/>
      <c r="H289" s="66"/>
      <c r="I289" s="94"/>
      <c r="J289" s="12"/>
      <c r="L289" s="71"/>
      <c r="M289" s="66"/>
      <c r="N289" s="69"/>
      <c r="O289" s="70"/>
    </row>
    <row r="290" spans="2:15" ht="15.75" customHeight="1" x14ac:dyDescent="0.2">
      <c r="B290" s="71"/>
      <c r="C290" s="66"/>
      <c r="D290" s="69"/>
      <c r="E290" s="70"/>
      <c r="G290" s="71"/>
      <c r="H290" s="66"/>
      <c r="I290" s="94"/>
      <c r="J290" s="12"/>
      <c r="L290" s="71"/>
      <c r="M290" s="66"/>
      <c r="N290" s="69"/>
      <c r="O290" s="70"/>
    </row>
    <row r="291" spans="2:15" ht="15.75" customHeight="1" x14ac:dyDescent="0.2">
      <c r="B291" s="71"/>
      <c r="C291" s="66"/>
      <c r="D291" s="69"/>
      <c r="E291" s="70"/>
      <c r="G291" s="71"/>
      <c r="H291" s="66"/>
      <c r="I291" s="94"/>
      <c r="J291" s="12"/>
      <c r="L291" s="71"/>
      <c r="M291" s="66"/>
      <c r="N291" s="69"/>
      <c r="O291" s="70"/>
    </row>
    <row r="292" spans="2:15" ht="15.75" customHeight="1" x14ac:dyDescent="0.2">
      <c r="B292" s="64"/>
      <c r="C292" s="66"/>
      <c r="D292" s="69"/>
      <c r="E292" s="70"/>
      <c r="G292" s="64"/>
      <c r="H292" s="66"/>
      <c r="I292" s="94"/>
      <c r="J292" s="12"/>
      <c r="L292" s="64"/>
      <c r="M292" s="66"/>
      <c r="N292" s="69"/>
      <c r="O292" s="70"/>
    </row>
    <row r="293" spans="2:15" ht="15.75" customHeight="1" x14ac:dyDescent="0.2">
      <c r="B293" s="64"/>
      <c r="C293" s="66"/>
      <c r="D293" s="69"/>
      <c r="E293" s="70"/>
      <c r="G293" s="64"/>
      <c r="H293" s="66"/>
      <c r="I293" s="94"/>
      <c r="J293" s="12"/>
      <c r="L293" s="64"/>
      <c r="M293" s="66"/>
      <c r="N293" s="69"/>
      <c r="O293" s="70"/>
    </row>
    <row r="294" spans="2:15" ht="15.75" customHeight="1" x14ac:dyDescent="0.15">
      <c r="B294" s="64"/>
      <c r="C294" s="66"/>
      <c r="D294" s="69"/>
      <c r="E294" s="70"/>
      <c r="G294" s="64"/>
      <c r="H294" s="66"/>
      <c r="I294" s="69"/>
      <c r="J294" s="70"/>
      <c r="L294" s="64"/>
      <c r="M294" s="66"/>
      <c r="N294" s="69"/>
      <c r="O294" s="70"/>
    </row>
    <row r="295" spans="2:15" ht="15.75" customHeight="1" x14ac:dyDescent="0.2">
      <c r="B295" s="72" t="s">
        <v>52</v>
      </c>
      <c r="C295" s="73"/>
      <c r="D295" s="74"/>
      <c r="E295" s="95">
        <f>SUM(E280:E294)</f>
        <v>22613.024999999998</v>
      </c>
      <c r="G295" s="72" t="s">
        <v>52</v>
      </c>
      <c r="H295" s="73"/>
      <c r="I295" s="74"/>
      <c r="J295" s="95">
        <f>SUM(J280:J294)</f>
        <v>296.47000000000003</v>
      </c>
      <c r="L295" s="72" t="s">
        <v>52</v>
      </c>
      <c r="M295" s="73"/>
      <c r="N295" s="74"/>
      <c r="O295" s="95">
        <f>SUM(O280:O294)</f>
        <v>6843.9863999999998</v>
      </c>
    </row>
    <row r="296" spans="2:15" ht="15.75" customHeight="1" x14ac:dyDescent="0.2">
      <c r="B296" s="76" t="s">
        <v>53</v>
      </c>
      <c r="C296" s="77"/>
      <c r="D296" s="78"/>
      <c r="E296" s="96">
        <f>SUM(E295)</f>
        <v>22613.024999999998</v>
      </c>
      <c r="G296" s="76" t="s">
        <v>53</v>
      </c>
      <c r="H296" s="77"/>
      <c r="I296" s="78"/>
      <c r="J296" s="96">
        <f>SUM(J295)</f>
        <v>296.47000000000003</v>
      </c>
      <c r="L296" s="76" t="s">
        <v>53</v>
      </c>
      <c r="M296" s="77"/>
      <c r="N296" s="78"/>
      <c r="O296" s="96">
        <f>SUM(O295)</f>
        <v>6843.9863999999998</v>
      </c>
    </row>
    <row r="297" spans="2:15" ht="15.75" customHeight="1" x14ac:dyDescent="0.2">
      <c r="B297" s="76" t="s">
        <v>54</v>
      </c>
      <c r="C297" s="77"/>
      <c r="D297" s="78"/>
      <c r="E297" s="96">
        <f>+E296</f>
        <v>22613.024999999998</v>
      </c>
      <c r="G297" s="76" t="s">
        <v>54</v>
      </c>
      <c r="H297" s="77"/>
      <c r="I297" s="78"/>
      <c r="J297" s="96">
        <f>+J296</f>
        <v>296.47000000000003</v>
      </c>
      <c r="L297" s="76" t="s">
        <v>54</v>
      </c>
      <c r="M297" s="77"/>
      <c r="N297" s="78"/>
      <c r="O297" s="96">
        <f>+O296</f>
        <v>6843.9863999999998</v>
      </c>
    </row>
    <row r="298" spans="2:15" ht="15.75" customHeight="1" x14ac:dyDescent="0.2">
      <c r="B298" s="76" t="s">
        <v>55</v>
      </c>
      <c r="C298" s="77"/>
      <c r="D298" s="80">
        <v>0.3</v>
      </c>
      <c r="E298" s="81"/>
      <c r="G298" s="76" t="s">
        <v>55</v>
      </c>
      <c r="H298" s="77"/>
      <c r="I298" s="80">
        <v>0.3</v>
      </c>
      <c r="J298" s="81"/>
      <c r="L298" s="76" t="s">
        <v>55</v>
      </c>
      <c r="M298" s="77"/>
      <c r="N298" s="80">
        <v>0.3</v>
      </c>
      <c r="O298" s="81"/>
    </row>
    <row r="299" spans="2:15" ht="15.75" customHeight="1" x14ac:dyDescent="0.2">
      <c r="B299" s="76" t="s">
        <v>56</v>
      </c>
      <c r="C299" s="77"/>
      <c r="D299" s="82"/>
      <c r="E299" s="96">
        <f>+E297*3.33333333333333</f>
        <v>75376.749999999913</v>
      </c>
      <c r="G299" s="76" t="s">
        <v>56</v>
      </c>
      <c r="H299" s="77"/>
      <c r="I299" s="82"/>
      <c r="J299" s="96">
        <f>+J297*3.33333333333333</f>
        <v>988.23333333333244</v>
      </c>
      <c r="L299" s="76" t="s">
        <v>56</v>
      </c>
      <c r="M299" s="77"/>
      <c r="N299" s="82"/>
      <c r="O299" s="96">
        <f>+O297*3.33333333333333</f>
        <v>22813.287999999975</v>
      </c>
    </row>
    <row r="300" spans="2:15" ht="15.75" customHeight="1" x14ac:dyDescent="0.2">
      <c r="B300" s="76" t="s">
        <v>250</v>
      </c>
      <c r="C300" s="77"/>
      <c r="D300" s="78"/>
      <c r="E300" s="96">
        <v>68000</v>
      </c>
      <c r="G300" s="76" t="s">
        <v>250</v>
      </c>
      <c r="H300" s="77"/>
      <c r="I300" s="78"/>
      <c r="J300" s="96">
        <v>1456</v>
      </c>
      <c r="L300" s="76" t="s">
        <v>250</v>
      </c>
      <c r="M300" s="77"/>
      <c r="N300" s="78"/>
      <c r="O300" s="96">
        <v>1456</v>
      </c>
    </row>
    <row r="301" spans="2:15" ht="15.75" customHeight="1" x14ac:dyDescent="0.2">
      <c r="B301" s="71"/>
      <c r="C301" s="77"/>
      <c r="D301" s="78"/>
      <c r="E301" s="95">
        <f>+E300-E299</f>
        <v>-7376.7499999999127</v>
      </c>
      <c r="G301" s="71"/>
      <c r="H301" s="77"/>
      <c r="I301" s="78"/>
      <c r="J301" s="95">
        <f>+J300-J299</f>
        <v>467.76666666666756</v>
      </c>
      <c r="L301" s="71"/>
      <c r="M301" s="77"/>
      <c r="N301" s="78"/>
      <c r="O301" s="95">
        <f>+O300-O299</f>
        <v>-21357.287999999975</v>
      </c>
    </row>
    <row r="302" spans="2:15" ht="15.75" customHeight="1" x14ac:dyDescent="0.2">
      <c r="B302" s="32" t="s">
        <v>58</v>
      </c>
      <c r="C302" s="83"/>
      <c r="D302" s="110"/>
      <c r="E302" s="98">
        <f>E297/E300</f>
        <v>0.33254448529411762</v>
      </c>
      <c r="G302" s="32" t="s">
        <v>58</v>
      </c>
      <c r="H302" s="83"/>
      <c r="I302" s="110"/>
      <c r="J302" s="98">
        <f>J297/J300</f>
        <v>0.20361950549450553</v>
      </c>
      <c r="L302" s="32" t="s">
        <v>58</v>
      </c>
      <c r="M302" s="83"/>
      <c r="N302" s="110"/>
      <c r="O302" s="98">
        <f>O297/O300</f>
        <v>4.7005401098901096</v>
      </c>
    </row>
    <row r="303" spans="2:15" ht="15.75" customHeight="1" x14ac:dyDescent="0.15"/>
    <row r="304" spans="2:15" ht="15.75" customHeight="1" x14ac:dyDescent="0.15"/>
    <row r="305" spans="2:15" ht="15.75" customHeight="1" x14ac:dyDescent="0.2">
      <c r="B305" s="218" t="s">
        <v>538</v>
      </c>
      <c r="C305" s="213"/>
      <c r="D305" s="213"/>
      <c r="E305" s="214"/>
      <c r="G305" s="218" t="s">
        <v>539</v>
      </c>
      <c r="H305" s="213"/>
      <c r="I305" s="213"/>
      <c r="J305" s="214"/>
      <c r="L305" s="218" t="s">
        <v>540</v>
      </c>
      <c r="M305" s="213"/>
      <c r="N305" s="213"/>
      <c r="O305" s="214"/>
    </row>
    <row r="306" spans="2:15" ht="15.75" customHeight="1" x14ac:dyDescent="0.2">
      <c r="B306" s="64"/>
      <c r="C306" s="65" t="s">
        <v>8</v>
      </c>
      <c r="D306" s="7" t="s">
        <v>9</v>
      </c>
      <c r="E306" s="8" t="s">
        <v>10</v>
      </c>
      <c r="G306" s="64"/>
      <c r="H306" s="65" t="s">
        <v>8</v>
      </c>
      <c r="I306" s="7" t="s">
        <v>9</v>
      </c>
      <c r="J306" s="8" t="s">
        <v>10</v>
      </c>
      <c r="L306" s="64"/>
      <c r="M306" s="65" t="s">
        <v>8</v>
      </c>
      <c r="N306" s="7" t="s">
        <v>9</v>
      </c>
      <c r="O306" s="8" t="s">
        <v>10</v>
      </c>
    </row>
    <row r="307" spans="2:15" ht="15.75" customHeight="1" x14ac:dyDescent="0.2">
      <c r="B307" s="66" t="s">
        <v>237</v>
      </c>
      <c r="C307" s="68">
        <v>0.23499999999999999</v>
      </c>
      <c r="D307" s="94">
        <f>+VLOOKUP(B307,'PRECIO PROVEEDORES'!$A$2:$B$716,2,0)</f>
        <v>1043.22</v>
      </c>
      <c r="E307" s="12">
        <f t="shared" ref="E307:E323" si="32">+C307*D307</f>
        <v>245.1567</v>
      </c>
      <c r="G307" s="66" t="s">
        <v>237</v>
      </c>
      <c r="H307" s="68">
        <v>9.5000000000000001E-2</v>
      </c>
      <c r="I307" s="94">
        <f>+VLOOKUP(G307,'PRECIO PROVEEDORES'!$A$2:$B$716,2,0)</f>
        <v>1043.22</v>
      </c>
      <c r="J307" s="12">
        <f t="shared" ref="J307:J312" si="33">+H307*I307</f>
        <v>99.105900000000005</v>
      </c>
      <c r="L307" s="108" t="s">
        <v>248</v>
      </c>
      <c r="M307" s="68">
        <v>0.125</v>
      </c>
      <c r="N307" s="94">
        <f>+VLOOKUP(L307,'PRECIO PROVEEDORES'!$A$2:$B$716,2,0)</f>
        <v>39988</v>
      </c>
      <c r="O307" s="12">
        <f t="shared" ref="O307:O320" si="34">+M307*N307</f>
        <v>4998.5</v>
      </c>
    </row>
    <row r="308" spans="2:15" ht="15.75" customHeight="1" x14ac:dyDescent="0.2">
      <c r="B308" s="66" t="s">
        <v>275</v>
      </c>
      <c r="C308" s="68">
        <v>0.08</v>
      </c>
      <c r="D308" s="94">
        <f>+VLOOKUP(B308,'PRECIO PROVEEDORES'!$A$2:$B$716,2,0)</f>
        <v>13205</v>
      </c>
      <c r="E308" s="12">
        <f t="shared" si="32"/>
        <v>1056.4000000000001</v>
      </c>
      <c r="G308" s="66" t="s">
        <v>275</v>
      </c>
      <c r="H308" s="68">
        <v>2.5000000000000001E-2</v>
      </c>
      <c r="I308" s="94">
        <f>+VLOOKUP(G308,'PRECIO PROVEEDORES'!$A$2:$B$716,2,0)</f>
        <v>13205</v>
      </c>
      <c r="J308" s="12">
        <f t="shared" si="33"/>
        <v>330.125</v>
      </c>
      <c r="L308" s="7" t="s">
        <v>449</v>
      </c>
      <c r="M308" s="68">
        <v>0.125</v>
      </c>
      <c r="N308" s="94">
        <f>+VLOOKUP(L308,'PRECIO PROVEEDORES'!$A$2:$B$716,2,0)</f>
        <v>9056</v>
      </c>
      <c r="O308" s="12">
        <f t="shared" si="34"/>
        <v>1132</v>
      </c>
    </row>
    <row r="309" spans="2:15" ht="15.75" customHeight="1" x14ac:dyDescent="0.2">
      <c r="B309" s="7" t="s">
        <v>246</v>
      </c>
      <c r="C309" s="68">
        <v>0.01</v>
      </c>
      <c r="D309" s="94">
        <f>+VLOOKUP(B309,'PRECIO PROVEEDORES'!$A$2:$B$716,2,0)</f>
        <v>6040</v>
      </c>
      <c r="E309" s="12">
        <f t="shared" si="32"/>
        <v>60.4</v>
      </c>
      <c r="G309" s="7" t="s">
        <v>246</v>
      </c>
      <c r="H309" s="68">
        <v>2E-3</v>
      </c>
      <c r="I309" s="94">
        <f>+VLOOKUP(G309,'PRECIO PROVEEDORES'!$A$2:$B$716,2,0)</f>
        <v>6040</v>
      </c>
      <c r="J309" s="12">
        <f t="shared" si="33"/>
        <v>12.08</v>
      </c>
      <c r="L309" s="7" t="s">
        <v>247</v>
      </c>
      <c r="M309" s="68">
        <v>0.2</v>
      </c>
      <c r="N309" s="94">
        <f>+VLOOKUP(L309,'PRECIO PROVEEDORES'!$A$2:$B$716,2,0)</f>
        <v>12000</v>
      </c>
      <c r="O309" s="12">
        <f t="shared" si="34"/>
        <v>2400</v>
      </c>
    </row>
    <row r="310" spans="2:15" ht="15.75" customHeight="1" x14ac:dyDescent="0.2">
      <c r="B310" s="66" t="s">
        <v>245</v>
      </c>
      <c r="C310" s="68">
        <v>5.0000000000000001E-3</v>
      </c>
      <c r="D310" s="94">
        <f>+VLOOKUP(B310,'PRECIO PROVEEDORES'!$A$2:$B$716,2,0)</f>
        <v>2517</v>
      </c>
      <c r="E310" s="12">
        <f t="shared" si="32"/>
        <v>12.585000000000001</v>
      </c>
      <c r="G310" s="66" t="s">
        <v>245</v>
      </c>
      <c r="H310" s="68">
        <v>2E-3</v>
      </c>
      <c r="I310" s="94">
        <f>+VLOOKUP(G310,'PRECIO PROVEEDORES'!$A$2:$B$716,2,0)</f>
        <v>2517</v>
      </c>
      <c r="J310" s="12">
        <f t="shared" si="33"/>
        <v>5.0339999999999998</v>
      </c>
      <c r="L310" s="66" t="s">
        <v>17</v>
      </c>
      <c r="M310" s="68">
        <v>5</v>
      </c>
      <c r="N310" s="94">
        <f>+VLOOKUP(L310,'PRECIO PROVEEDORES'!$A$2:$B$716,2,0)</f>
        <v>192</v>
      </c>
      <c r="O310" s="12">
        <f t="shared" si="34"/>
        <v>960</v>
      </c>
    </row>
    <row r="311" spans="2:15" ht="15.75" customHeight="1" x14ac:dyDescent="0.2">
      <c r="B311" s="66" t="s">
        <v>49</v>
      </c>
      <c r="C311" s="103">
        <v>3.0000000000000001E-3</v>
      </c>
      <c r="D311" s="94">
        <f>+VLOOKUP(B311,'PRECIO PROVEEDORES'!$A$2:$B$716,2,0)</f>
        <v>1633</v>
      </c>
      <c r="E311" s="12">
        <f t="shared" si="32"/>
        <v>4.899</v>
      </c>
      <c r="G311" s="66" t="s">
        <v>49</v>
      </c>
      <c r="H311" s="103">
        <v>2E-3</v>
      </c>
      <c r="I311" s="94">
        <f>+VLOOKUP(G311,'PRECIO PROVEEDORES'!$A$2:$B$716,2,0)</f>
        <v>1633</v>
      </c>
      <c r="J311" s="12">
        <f t="shared" si="33"/>
        <v>3.266</v>
      </c>
      <c r="L311" s="66" t="s">
        <v>275</v>
      </c>
      <c r="M311" s="103">
        <v>0.02</v>
      </c>
      <c r="N311" s="94">
        <f>+VLOOKUP(L311,'PRECIO PROVEEDORES'!$A$2:$B$716,2,0)</f>
        <v>13205</v>
      </c>
      <c r="O311" s="12">
        <f t="shared" si="34"/>
        <v>264.10000000000002</v>
      </c>
    </row>
    <row r="312" spans="2:15" ht="15.75" customHeight="1" x14ac:dyDescent="0.2">
      <c r="B312" s="66" t="s">
        <v>210</v>
      </c>
      <c r="C312" s="68">
        <v>0.255</v>
      </c>
      <c r="D312" s="94">
        <f>+VLOOKUP(B312,'PRECIO PROVEEDORES'!$A$2:$B$716,2,0)</f>
        <v>1352</v>
      </c>
      <c r="E312" s="12">
        <f t="shared" si="32"/>
        <v>344.76</v>
      </c>
      <c r="G312" s="66" t="s">
        <v>210</v>
      </c>
      <c r="H312" s="68">
        <v>0.18</v>
      </c>
      <c r="I312" s="94">
        <f>+VLOOKUP(G312,'PRECIO PROVEEDORES'!$A$2:$B$716,2,0)</f>
        <v>1352</v>
      </c>
      <c r="J312" s="12">
        <f t="shared" si="33"/>
        <v>243.35999999999999</v>
      </c>
      <c r="L312" s="66" t="s">
        <v>237</v>
      </c>
      <c r="M312" s="68">
        <v>0.01</v>
      </c>
      <c r="N312" s="94">
        <f>+VLOOKUP(L312,'PRECIO PROVEEDORES'!$A$2:$B$716,2,0)</f>
        <v>1043.22</v>
      </c>
      <c r="O312" s="12">
        <f t="shared" si="34"/>
        <v>10.4322</v>
      </c>
    </row>
    <row r="313" spans="2:15" ht="15.75" customHeight="1" x14ac:dyDescent="0.2">
      <c r="B313" s="66" t="s">
        <v>263</v>
      </c>
      <c r="C313" s="103">
        <v>0.11</v>
      </c>
      <c r="D313" s="94">
        <f>+VLOOKUP(B313,'PRECIO PROVEEDORES'!$A$2:$B$716,2,0)</f>
        <v>1624.77</v>
      </c>
      <c r="E313" s="12">
        <f t="shared" si="32"/>
        <v>178.72470000000001</v>
      </c>
      <c r="G313" s="66" t="s">
        <v>17</v>
      </c>
      <c r="H313" s="119">
        <v>3</v>
      </c>
      <c r="I313" s="94">
        <v>192</v>
      </c>
      <c r="J313" s="12">
        <v>576</v>
      </c>
      <c r="L313" s="66" t="s">
        <v>280</v>
      </c>
      <c r="M313" s="103">
        <v>0.65</v>
      </c>
      <c r="N313" s="94">
        <f>+VLOOKUP(L313,'PRECIO PROVEEDORES'!$A$2:$B$716,2,0)</f>
        <v>3356</v>
      </c>
      <c r="O313" s="12">
        <f t="shared" si="34"/>
        <v>2181.4</v>
      </c>
    </row>
    <row r="314" spans="2:15" ht="15.75" customHeight="1" x14ac:dyDescent="0.2">
      <c r="B314" s="64" t="s">
        <v>17</v>
      </c>
      <c r="C314" s="66">
        <v>3</v>
      </c>
      <c r="D314" s="94">
        <f>+VLOOKUP(B314,'PRECIO PROVEEDORES'!$A$2:$B$716,2,0)</f>
        <v>192</v>
      </c>
      <c r="E314" s="12">
        <f t="shared" si="32"/>
        <v>576</v>
      </c>
      <c r="G314" s="64" t="s">
        <v>166</v>
      </c>
      <c r="H314" s="66">
        <v>0.34</v>
      </c>
      <c r="I314" s="94">
        <v>1639.55</v>
      </c>
      <c r="J314" s="12">
        <v>557.447</v>
      </c>
      <c r="L314" s="7" t="s">
        <v>503</v>
      </c>
      <c r="M314" s="66">
        <v>0.22500000000000001</v>
      </c>
      <c r="N314" s="94">
        <f>+VLOOKUP(L314,'PRECIO PROVEEDORES'!$A$2:$B$716,2,0)</f>
        <v>7331</v>
      </c>
      <c r="O314" s="12">
        <f t="shared" si="34"/>
        <v>1649.4750000000001</v>
      </c>
    </row>
    <row r="315" spans="2:15" ht="15.75" customHeight="1" x14ac:dyDescent="0.2">
      <c r="B315" s="71" t="s">
        <v>166</v>
      </c>
      <c r="C315" s="66">
        <v>0.27</v>
      </c>
      <c r="D315" s="94">
        <f>+VLOOKUP(B315,'PRECIO PROVEEDORES'!$A$2:$B$716,2,0)</f>
        <v>1940</v>
      </c>
      <c r="E315" s="12">
        <f t="shared" si="32"/>
        <v>523.80000000000007</v>
      </c>
      <c r="G315" s="71" t="s">
        <v>541</v>
      </c>
      <c r="H315" s="66">
        <v>0.115</v>
      </c>
      <c r="I315" s="94">
        <v>11625</v>
      </c>
      <c r="J315" s="12">
        <v>1336.875</v>
      </c>
      <c r="L315" s="71" t="s">
        <v>241</v>
      </c>
      <c r="M315" s="66">
        <v>2.5000000000000001E-2</v>
      </c>
      <c r="N315" s="94">
        <f>+VLOOKUP(L315,'PRECIO PROVEEDORES'!$A$2:$B$716,2,0)</f>
        <v>10203</v>
      </c>
      <c r="O315" s="12">
        <f t="shared" si="34"/>
        <v>255.07500000000002</v>
      </c>
    </row>
    <row r="316" spans="2:15" ht="16.5" customHeight="1" x14ac:dyDescent="0.2">
      <c r="B316" s="71" t="s">
        <v>115</v>
      </c>
      <c r="C316" s="66">
        <v>0.13500000000000001</v>
      </c>
      <c r="D316" s="94">
        <f>+VLOOKUP(B316,'PRECIO PROVEEDORES'!$A$2:$B$716,2,0)</f>
        <v>4299.01</v>
      </c>
      <c r="E316" s="12">
        <f t="shared" si="32"/>
        <v>580.36635000000001</v>
      </c>
      <c r="G316" s="71" t="s">
        <v>507</v>
      </c>
      <c r="H316" s="66">
        <v>0.56999999999999995</v>
      </c>
      <c r="I316" s="94">
        <v>13123</v>
      </c>
      <c r="J316" s="12">
        <v>7480.11</v>
      </c>
      <c r="L316" s="71" t="s">
        <v>271</v>
      </c>
      <c r="M316" s="66">
        <v>2.5000000000000001E-2</v>
      </c>
      <c r="N316" s="94">
        <f>+VLOOKUP(L316,'PRECIO PROVEEDORES'!$A$2:$B$716,2,0)</f>
        <v>1684</v>
      </c>
      <c r="O316" s="12">
        <f t="shared" si="34"/>
        <v>42.1</v>
      </c>
    </row>
    <row r="317" spans="2:15" ht="15.75" customHeight="1" x14ac:dyDescent="0.2">
      <c r="B317" s="71" t="s">
        <v>265</v>
      </c>
      <c r="C317" s="66">
        <v>0.01</v>
      </c>
      <c r="D317" s="94">
        <f>+VLOOKUP(B317,'PRECIO PROVEEDORES'!$A$2:$B$716,2,0)</f>
        <v>2118</v>
      </c>
      <c r="E317" s="12">
        <f t="shared" si="32"/>
        <v>21.18</v>
      </c>
      <c r="G317" s="71" t="s">
        <v>281</v>
      </c>
      <c r="H317" s="66">
        <v>0.2</v>
      </c>
      <c r="I317" s="94">
        <v>3356</v>
      </c>
      <c r="J317" s="12">
        <v>671.2</v>
      </c>
      <c r="L317" s="71" t="s">
        <v>392</v>
      </c>
      <c r="M317" s="66">
        <v>0.3</v>
      </c>
      <c r="N317" s="94">
        <f>+VLOOKUP(L317,'PRECIO PROVEEDORES'!$A$2:$B$716,2,0)</f>
        <v>7173</v>
      </c>
      <c r="O317" s="12">
        <f t="shared" si="34"/>
        <v>2151.9</v>
      </c>
    </row>
    <row r="318" spans="2:15" ht="15.75" customHeight="1" x14ac:dyDescent="0.2">
      <c r="B318" s="71" t="s">
        <v>283</v>
      </c>
      <c r="C318" s="66">
        <v>1.2E-2</v>
      </c>
      <c r="D318" s="94">
        <f>+VLOOKUP(B318,'PRECIO PROVEEDORES'!$A$2:$B$716,2,0)</f>
        <v>36376.47</v>
      </c>
      <c r="E318" s="12">
        <f t="shared" si="32"/>
        <v>436.51764000000003</v>
      </c>
      <c r="G318" s="71" t="s">
        <v>280</v>
      </c>
      <c r="H318" s="66">
        <v>0.76500000000000001</v>
      </c>
      <c r="I318" s="94">
        <v>3356</v>
      </c>
      <c r="J318" s="12">
        <v>2567.34</v>
      </c>
      <c r="L318" s="109" t="s">
        <v>244</v>
      </c>
      <c r="M318" s="66">
        <v>0.04</v>
      </c>
      <c r="N318" s="94">
        <f>+VLOOKUP(L318,'PRECIO PROVEEDORES'!$A$2:$B$716,2,0)</f>
        <v>24829</v>
      </c>
      <c r="O318" s="12">
        <f t="shared" si="34"/>
        <v>993.16</v>
      </c>
    </row>
    <row r="319" spans="2:15" ht="15.75" customHeight="1" x14ac:dyDescent="0.2">
      <c r="B319" s="108" t="s">
        <v>305</v>
      </c>
      <c r="C319" s="66">
        <v>0.41</v>
      </c>
      <c r="D319" s="94">
        <f>+VLOOKUP(B319,'PRECIO PROVEEDORES'!$A$2:$B$716,2,0)</f>
        <v>12959</v>
      </c>
      <c r="E319" s="12">
        <f t="shared" si="32"/>
        <v>5313.19</v>
      </c>
      <c r="G319" s="108" t="s">
        <v>241</v>
      </c>
      <c r="H319" s="66">
        <v>0.1</v>
      </c>
      <c r="I319" s="94">
        <v>7877.78</v>
      </c>
      <c r="J319" s="12">
        <v>787.77800000000002</v>
      </c>
      <c r="L319" s="108" t="s">
        <v>210</v>
      </c>
      <c r="M319" s="66">
        <v>0.105</v>
      </c>
      <c r="N319" s="94">
        <f>+VLOOKUP(L319,'PRECIO PROVEEDORES'!$A$2:$B$716,2,0)</f>
        <v>1352</v>
      </c>
      <c r="O319" s="12">
        <f t="shared" si="34"/>
        <v>141.96</v>
      </c>
    </row>
    <row r="320" spans="2:15" ht="15.75" customHeight="1" x14ac:dyDescent="0.2">
      <c r="B320" s="64" t="s">
        <v>280</v>
      </c>
      <c r="C320" s="66">
        <v>0.6</v>
      </c>
      <c r="D320" s="94">
        <f>+VLOOKUP(B320,'PRECIO PROVEEDORES'!$A$2:$B$716,2,0)</f>
        <v>3356</v>
      </c>
      <c r="E320" s="12">
        <f t="shared" si="32"/>
        <v>2013.6</v>
      </c>
      <c r="G320" s="64" t="s">
        <v>542</v>
      </c>
      <c r="H320" s="66">
        <v>0.23599999999999999</v>
      </c>
      <c r="I320" s="94">
        <v>13338.46</v>
      </c>
      <c r="J320" s="12">
        <v>3147.8765599999997</v>
      </c>
      <c r="L320" s="64" t="s">
        <v>393</v>
      </c>
      <c r="M320" s="66">
        <v>3.0000000000000001E-3</v>
      </c>
      <c r="N320" s="94">
        <f>+VLOOKUP(L320,'PRECIO PROVEEDORES'!$A$2:$B$716,2,0)</f>
        <v>64600</v>
      </c>
      <c r="O320" s="12">
        <f t="shared" si="34"/>
        <v>193.8</v>
      </c>
    </row>
    <row r="321" spans="2:15" ht="15.75" customHeight="1" x14ac:dyDescent="0.2">
      <c r="B321" s="64" t="s">
        <v>241</v>
      </c>
      <c r="C321" s="66">
        <v>0.48</v>
      </c>
      <c r="D321" s="94">
        <f>+VLOOKUP(B321,'PRECIO PROVEEDORES'!$A$2:$B$716,2,0)</f>
        <v>10203</v>
      </c>
      <c r="E321" s="12">
        <f t="shared" si="32"/>
        <v>4897.4399999999996</v>
      </c>
      <c r="G321" s="64" t="s">
        <v>444</v>
      </c>
      <c r="H321" s="66">
        <v>6.5000000000000002E-2</v>
      </c>
      <c r="I321" s="94">
        <v>9068</v>
      </c>
      <c r="J321" s="12">
        <v>589.42000000000007</v>
      </c>
      <c r="L321" s="64"/>
      <c r="M321" s="66"/>
      <c r="N321" s="94"/>
      <c r="O321" s="12"/>
    </row>
    <row r="322" spans="2:15" ht="15.75" customHeight="1" x14ac:dyDescent="0.2">
      <c r="B322" s="7" t="s">
        <v>305</v>
      </c>
      <c r="C322" s="66">
        <v>0.41</v>
      </c>
      <c r="D322" s="94">
        <f>+VLOOKUP(B322,'PRECIO PROVEEDORES'!$A$2:$B$716,2,0)</f>
        <v>12959</v>
      </c>
      <c r="E322" s="12">
        <f t="shared" si="32"/>
        <v>5313.19</v>
      </c>
      <c r="G322" s="7"/>
      <c r="H322" s="66"/>
      <c r="I322" s="94"/>
      <c r="J322" s="12"/>
      <c r="L322" s="7"/>
      <c r="M322" s="66"/>
      <c r="N322" s="94"/>
      <c r="O322" s="12"/>
    </row>
    <row r="323" spans="2:15" ht="15.75" customHeight="1" x14ac:dyDescent="0.2">
      <c r="B323" s="7" t="s">
        <v>32</v>
      </c>
      <c r="C323" s="66">
        <v>0.01</v>
      </c>
      <c r="D323" s="94">
        <f>+VLOOKUP(B323,'PRECIO PROVEEDORES'!$A$2:$B$716,2,0)</f>
        <v>12206</v>
      </c>
      <c r="E323" s="12">
        <f t="shared" si="32"/>
        <v>122.06</v>
      </c>
      <c r="G323" s="7"/>
      <c r="H323" s="66"/>
      <c r="I323" s="94"/>
      <c r="J323" s="12"/>
      <c r="L323" s="7"/>
      <c r="M323" s="66"/>
      <c r="N323" s="94"/>
      <c r="O323" s="12"/>
    </row>
    <row r="324" spans="2:15" ht="15.75" customHeight="1" x14ac:dyDescent="0.2">
      <c r="B324" s="64"/>
      <c r="C324" s="66"/>
      <c r="D324" s="94"/>
      <c r="E324" s="12"/>
      <c r="G324" s="108"/>
      <c r="H324" s="66"/>
      <c r="I324" s="94"/>
      <c r="J324" s="12"/>
      <c r="L324" s="108"/>
      <c r="M324" s="66"/>
      <c r="N324" s="94"/>
      <c r="O324" s="12"/>
    </row>
    <row r="325" spans="2:15" ht="15.75" customHeight="1" x14ac:dyDescent="0.2">
      <c r="B325" s="64"/>
      <c r="C325" s="66"/>
      <c r="D325" s="69"/>
      <c r="E325" s="70"/>
      <c r="G325" s="64"/>
      <c r="H325" s="66"/>
      <c r="I325" s="94"/>
      <c r="J325" s="12"/>
      <c r="L325" s="64"/>
      <c r="M325" s="66"/>
      <c r="N325" s="94"/>
      <c r="O325" s="12"/>
    </row>
    <row r="326" spans="2:15" ht="15.75" customHeight="1" x14ac:dyDescent="0.2">
      <c r="B326" s="72" t="s">
        <v>52</v>
      </c>
      <c r="C326" s="73"/>
      <c r="D326" s="74"/>
      <c r="E326" s="95">
        <f>SUM(E307:E325)</f>
        <v>21700.269390000001</v>
      </c>
      <c r="G326" s="72" t="s">
        <v>52</v>
      </c>
      <c r="H326" s="73"/>
      <c r="I326" s="74"/>
      <c r="J326" s="95">
        <f>SUM(J307:J325)</f>
        <v>18407.017460000003</v>
      </c>
      <c r="L326" s="72" t="s">
        <v>52</v>
      </c>
      <c r="M326" s="73"/>
      <c r="N326" s="74"/>
      <c r="O326" s="95">
        <f>SUM(O307:O325)</f>
        <v>17373.9022</v>
      </c>
    </row>
    <row r="327" spans="2:15" ht="15.75" customHeight="1" x14ac:dyDescent="0.2">
      <c r="B327" s="76" t="s">
        <v>53</v>
      </c>
      <c r="C327" s="77"/>
      <c r="D327" s="78"/>
      <c r="E327" s="96">
        <f>SUM(E326)</f>
        <v>21700.269390000001</v>
      </c>
      <c r="G327" s="76" t="s">
        <v>53</v>
      </c>
      <c r="H327" s="77"/>
      <c r="I327" s="78"/>
      <c r="J327" s="96">
        <f>SUM(J326)</f>
        <v>18407.017460000003</v>
      </c>
      <c r="L327" s="76" t="s">
        <v>53</v>
      </c>
      <c r="M327" s="77"/>
      <c r="N327" s="78"/>
      <c r="O327" s="96">
        <f>SUM(O326)</f>
        <v>17373.9022</v>
      </c>
    </row>
    <row r="328" spans="2:15" ht="15.75" customHeight="1" x14ac:dyDescent="0.2">
      <c r="B328" s="76" t="s">
        <v>54</v>
      </c>
      <c r="C328" s="77"/>
      <c r="D328" s="78"/>
      <c r="E328" s="96">
        <f>+E327</f>
        <v>21700.269390000001</v>
      </c>
      <c r="G328" s="76" t="s">
        <v>54</v>
      </c>
      <c r="H328" s="77"/>
      <c r="I328" s="78"/>
      <c r="J328" s="96">
        <f>+J327</f>
        <v>18407.017460000003</v>
      </c>
      <c r="L328" s="76" t="s">
        <v>54</v>
      </c>
      <c r="M328" s="77"/>
      <c r="N328" s="78"/>
      <c r="O328" s="96">
        <f>+O327</f>
        <v>17373.9022</v>
      </c>
    </row>
    <row r="329" spans="2:15" ht="15.75" customHeight="1" x14ac:dyDescent="0.2">
      <c r="B329" s="76" t="s">
        <v>55</v>
      </c>
      <c r="C329" s="77"/>
      <c r="D329" s="80">
        <v>0.3</v>
      </c>
      <c r="E329" s="81"/>
      <c r="G329" s="76" t="s">
        <v>55</v>
      </c>
      <c r="H329" s="77"/>
      <c r="I329" s="80">
        <v>0.3</v>
      </c>
      <c r="J329" s="81"/>
      <c r="L329" s="76" t="s">
        <v>55</v>
      </c>
      <c r="M329" s="77"/>
      <c r="N329" s="80">
        <v>0.3</v>
      </c>
      <c r="O329" s="81"/>
    </row>
    <row r="330" spans="2:15" ht="15.75" customHeight="1" x14ac:dyDescent="0.2">
      <c r="B330" s="76" t="s">
        <v>56</v>
      </c>
      <c r="C330" s="77"/>
      <c r="D330" s="82"/>
      <c r="E330" s="96">
        <f>+E328*3.33333333333333</f>
        <v>72334.231299999927</v>
      </c>
      <c r="G330" s="76" t="s">
        <v>56</v>
      </c>
      <c r="H330" s="77"/>
      <c r="I330" s="82"/>
      <c r="J330" s="96">
        <f>+J328*3.33333333333333</f>
        <v>61356.724866666613</v>
      </c>
      <c r="L330" s="76" t="s">
        <v>56</v>
      </c>
      <c r="M330" s="77"/>
      <c r="N330" s="82"/>
      <c r="O330" s="96">
        <f>+O328*3.33333333333333</f>
        <v>57913.007333333277</v>
      </c>
    </row>
    <row r="331" spans="2:15" ht="15.75" customHeight="1" x14ac:dyDescent="0.2">
      <c r="B331" s="76" t="s">
        <v>250</v>
      </c>
      <c r="C331" s="77"/>
      <c r="D331" s="78">
        <v>98000</v>
      </c>
      <c r="E331" s="96">
        <f>65130/8</f>
        <v>8141.25</v>
      </c>
      <c r="G331" s="76" t="s">
        <v>250</v>
      </c>
      <c r="H331" s="77"/>
      <c r="I331" s="78">
        <f>55222/8</f>
        <v>6902.75</v>
      </c>
      <c r="J331" s="96">
        <v>5853</v>
      </c>
      <c r="L331" s="76" t="s">
        <v>250</v>
      </c>
      <c r="M331" s="77"/>
      <c r="N331" s="78">
        <f>52122/8</f>
        <v>6515.25</v>
      </c>
      <c r="O331" s="96">
        <v>6600</v>
      </c>
    </row>
    <row r="332" spans="2:15" ht="15.75" customHeight="1" x14ac:dyDescent="0.2">
      <c r="B332" s="71"/>
      <c r="C332" s="77"/>
      <c r="D332" s="78"/>
      <c r="E332" s="95">
        <f>+E331-E330</f>
        <v>-64192.981299999927</v>
      </c>
      <c r="G332" s="71"/>
      <c r="H332" s="77"/>
      <c r="I332" s="78"/>
      <c r="J332" s="95">
        <f>+J331-J330</f>
        <v>-55503.724866666613</v>
      </c>
      <c r="L332" s="71"/>
      <c r="M332" s="77"/>
      <c r="N332" s="78"/>
      <c r="O332" s="95">
        <f>+O331-O330</f>
        <v>-51313.007333333277</v>
      </c>
    </row>
    <row r="333" spans="2:15" ht="15.75" customHeight="1" x14ac:dyDescent="0.2">
      <c r="B333" s="32" t="s">
        <v>58</v>
      </c>
      <c r="C333" s="83"/>
      <c r="D333" s="110"/>
      <c r="E333" s="98">
        <f>E328/E331</f>
        <v>2.6654714435743898</v>
      </c>
      <c r="G333" s="32" t="s">
        <v>58</v>
      </c>
      <c r="H333" s="83"/>
      <c r="I333" s="110"/>
      <c r="J333" s="98">
        <f>J328/J331</f>
        <v>3.1448859490859391</v>
      </c>
      <c r="L333" s="32" t="s">
        <v>58</v>
      </c>
      <c r="M333" s="83"/>
      <c r="N333" s="110"/>
      <c r="O333" s="98">
        <f>O328/O331</f>
        <v>2.6324094242424243</v>
      </c>
    </row>
    <row r="334" spans="2:15" ht="15.75" customHeight="1" x14ac:dyDescent="0.15"/>
    <row r="335" spans="2:15" ht="15.75" customHeight="1" x14ac:dyDescent="0.15"/>
    <row r="336" spans="2:15" ht="15.75" customHeight="1" x14ac:dyDescent="0.2">
      <c r="B336" s="218" t="s">
        <v>543</v>
      </c>
      <c r="C336" s="213"/>
      <c r="D336" s="213"/>
      <c r="E336" s="214"/>
      <c r="G336" s="218" t="s">
        <v>544</v>
      </c>
      <c r="H336" s="213"/>
      <c r="I336" s="213"/>
      <c r="J336" s="214"/>
      <c r="L336" s="218" t="s">
        <v>545</v>
      </c>
      <c r="M336" s="213"/>
      <c r="N336" s="213"/>
      <c r="O336" s="214"/>
    </row>
    <row r="337" spans="2:15" ht="15.75" customHeight="1" x14ac:dyDescent="0.2">
      <c r="B337" s="64"/>
      <c r="C337" s="65" t="s">
        <v>8</v>
      </c>
      <c r="D337" s="7" t="s">
        <v>9</v>
      </c>
      <c r="E337" s="8" t="s">
        <v>10</v>
      </c>
      <c r="G337" s="64"/>
      <c r="H337" s="65" t="s">
        <v>8</v>
      </c>
      <c r="I337" s="7" t="s">
        <v>9</v>
      </c>
      <c r="J337" s="8" t="s">
        <v>10</v>
      </c>
      <c r="L337" s="64"/>
      <c r="M337" s="65" t="s">
        <v>8</v>
      </c>
      <c r="N337" s="7" t="s">
        <v>9</v>
      </c>
      <c r="O337" s="8" t="s">
        <v>10</v>
      </c>
    </row>
    <row r="338" spans="2:15" ht="15.75" customHeight="1" x14ac:dyDescent="0.2">
      <c r="B338" s="66" t="s">
        <v>17</v>
      </c>
      <c r="C338" s="68">
        <v>5</v>
      </c>
      <c r="D338" s="94">
        <f>+VLOOKUP(B338,'PRECIO PROVEEDORES'!$A$2:$B$716,2,0)</f>
        <v>192</v>
      </c>
      <c r="E338" s="12">
        <f t="shared" ref="E338:E353" si="35">+C338*D338</f>
        <v>960</v>
      </c>
      <c r="G338" s="66" t="s">
        <v>210</v>
      </c>
      <c r="H338" s="68">
        <v>0.15</v>
      </c>
      <c r="I338" s="94">
        <f>+VLOOKUP(G338,'PRECIO PROVEEDORES'!$A$2:$B$716,2,0)</f>
        <v>1352</v>
      </c>
      <c r="J338" s="12">
        <f t="shared" ref="J338:J342" si="36">+H338*I338</f>
        <v>202.79999999999998</v>
      </c>
      <c r="L338" s="13" t="s">
        <v>247</v>
      </c>
      <c r="M338" s="10">
        <v>0.25</v>
      </c>
      <c r="N338" s="94">
        <f>+VLOOKUP(L338,'PRECIO PROVEEDORES'!$A$2:$B$716,2,0)</f>
        <v>12000</v>
      </c>
      <c r="O338" s="12">
        <f t="shared" ref="O338:O345" si="37">+M338*N338</f>
        <v>3000</v>
      </c>
    </row>
    <row r="339" spans="2:15" ht="15.75" customHeight="1" x14ac:dyDescent="0.2">
      <c r="B339" s="66" t="s">
        <v>210</v>
      </c>
      <c r="C339" s="68">
        <v>0.79</v>
      </c>
      <c r="D339" s="94">
        <f>+VLOOKUP(B339,'PRECIO PROVEEDORES'!$A$2:$B$716,2,0)</f>
        <v>1352</v>
      </c>
      <c r="E339" s="12">
        <f t="shared" si="35"/>
        <v>1068.0800000000002</v>
      </c>
      <c r="G339" s="66" t="s">
        <v>247</v>
      </c>
      <c r="H339" s="68">
        <v>0.15</v>
      </c>
      <c r="I339" s="94">
        <f>+VLOOKUP(G339,'PRECIO PROVEEDORES'!$A$2:$B$716,2,0)</f>
        <v>12000</v>
      </c>
      <c r="J339" s="12">
        <f t="shared" si="36"/>
        <v>1800</v>
      </c>
      <c r="L339" s="13" t="s">
        <v>271</v>
      </c>
      <c r="M339" s="10">
        <v>0.15</v>
      </c>
      <c r="N339" s="94">
        <f>+VLOOKUP(L339,'PRECIO PROVEEDORES'!$A$2:$B$716,2,0)</f>
        <v>1684</v>
      </c>
      <c r="O339" s="12">
        <f t="shared" si="37"/>
        <v>252.6</v>
      </c>
    </row>
    <row r="340" spans="2:15" ht="15.75" customHeight="1" x14ac:dyDescent="0.2">
      <c r="B340" s="7" t="s">
        <v>115</v>
      </c>
      <c r="C340" s="68">
        <v>0.19</v>
      </c>
      <c r="D340" s="94">
        <f>+VLOOKUP(B340,'PRECIO PROVEEDORES'!$A$2:$B$716,2,0)</f>
        <v>4299.01</v>
      </c>
      <c r="E340" s="12">
        <f t="shared" si="35"/>
        <v>816.81190000000004</v>
      </c>
      <c r="G340" s="66" t="s">
        <v>237</v>
      </c>
      <c r="H340" s="68">
        <v>0.5</v>
      </c>
      <c r="I340" s="94">
        <f>+VLOOKUP(G340,'PRECIO PROVEEDORES'!$A$2:$B$716,2,0)</f>
        <v>1043.22</v>
      </c>
      <c r="J340" s="12">
        <f t="shared" si="36"/>
        <v>521.61</v>
      </c>
      <c r="L340" s="13" t="s">
        <v>17</v>
      </c>
      <c r="M340" s="10">
        <v>3</v>
      </c>
      <c r="N340" s="94">
        <f>+VLOOKUP(L340,'PRECIO PROVEEDORES'!$A$2:$B$716,2,0)</f>
        <v>192</v>
      </c>
      <c r="O340" s="12">
        <f t="shared" si="37"/>
        <v>576</v>
      </c>
    </row>
    <row r="341" spans="2:15" ht="15.75" customHeight="1" x14ac:dyDescent="0.2">
      <c r="B341" s="66" t="s">
        <v>166</v>
      </c>
      <c r="C341" s="68">
        <v>0.19</v>
      </c>
      <c r="D341" s="94">
        <f>+VLOOKUP(B341,'PRECIO PROVEEDORES'!$A$2:$B$716,2,0)</f>
        <v>1940</v>
      </c>
      <c r="E341" s="12">
        <f t="shared" si="35"/>
        <v>368.6</v>
      </c>
      <c r="G341" s="66" t="s">
        <v>546</v>
      </c>
      <c r="H341" s="68">
        <v>0.6</v>
      </c>
      <c r="I341" s="94">
        <f>+VLOOKUP(G341,'PRECIO PROVEEDORES'!$A$2:$B$716,2,0)</f>
        <v>3109</v>
      </c>
      <c r="J341" s="12">
        <f t="shared" si="36"/>
        <v>1865.3999999999999</v>
      </c>
      <c r="L341" s="13" t="s">
        <v>237</v>
      </c>
      <c r="M341" s="10">
        <v>0.5</v>
      </c>
      <c r="N341" s="94">
        <f>+VLOOKUP(L341,'PRECIO PROVEEDORES'!$A$2:$B$716,2,0)</f>
        <v>1043.22</v>
      </c>
      <c r="O341" s="12">
        <f t="shared" si="37"/>
        <v>521.61</v>
      </c>
    </row>
    <row r="342" spans="2:15" ht="15.75" customHeight="1" x14ac:dyDescent="0.2">
      <c r="B342" s="66" t="s">
        <v>220</v>
      </c>
      <c r="C342" s="103">
        <v>0.1</v>
      </c>
      <c r="D342" s="94">
        <f>+VLOOKUP(B342,'PRECIO PROVEEDORES'!$A$2:$B$716,2,0)</f>
        <v>3000</v>
      </c>
      <c r="E342" s="12">
        <f t="shared" si="35"/>
        <v>300</v>
      </c>
      <c r="G342" s="66" t="s">
        <v>17</v>
      </c>
      <c r="H342" s="68">
        <v>3</v>
      </c>
      <c r="I342" s="94">
        <f>+VLOOKUP(G342,'PRECIO PROVEEDORES'!$A$2:$B$716,2,0)</f>
        <v>192</v>
      </c>
      <c r="J342" s="12">
        <f t="shared" si="36"/>
        <v>576</v>
      </c>
      <c r="L342" s="7" t="s">
        <v>547</v>
      </c>
      <c r="M342" s="10">
        <v>0.7</v>
      </c>
      <c r="N342" s="94">
        <f>+VLOOKUP(L342,'PRECIO PROVEEDORES'!$A$2:$B$716,2,0)</f>
        <v>3109</v>
      </c>
      <c r="O342" s="12">
        <f t="shared" si="37"/>
        <v>2176.2999999999997</v>
      </c>
    </row>
    <row r="343" spans="2:15" ht="15.75" customHeight="1" x14ac:dyDescent="0.2">
      <c r="B343" s="66" t="s">
        <v>237</v>
      </c>
      <c r="C343" s="68">
        <v>0.35499999999999998</v>
      </c>
      <c r="D343" s="94">
        <f>+VLOOKUP(B343,'PRECIO PROVEEDORES'!$A$2:$B$716,2,0)</f>
        <v>1043.22</v>
      </c>
      <c r="E343" s="12">
        <f t="shared" si="35"/>
        <v>370.34309999999999</v>
      </c>
      <c r="G343" s="66"/>
      <c r="H343" s="103"/>
      <c r="I343" s="94"/>
      <c r="J343" s="12"/>
      <c r="L343" s="7" t="s">
        <v>266</v>
      </c>
      <c r="M343" s="10">
        <v>1.4999999999999999E-2</v>
      </c>
      <c r="N343" s="94">
        <f>+VLOOKUP(L343,'PRECIO PROVEEDORES'!$A$2:$B$716,2,0)</f>
        <v>6040</v>
      </c>
      <c r="O343" s="12">
        <f t="shared" si="37"/>
        <v>90.6</v>
      </c>
    </row>
    <row r="344" spans="2:15" ht="15.75" customHeight="1" x14ac:dyDescent="0.2">
      <c r="B344" s="66" t="s">
        <v>266</v>
      </c>
      <c r="C344" s="103">
        <v>1.7000000000000001E-2</v>
      </c>
      <c r="D344" s="94">
        <f>+VLOOKUP(B344,'PRECIO PROVEEDORES'!$A$2:$B$716,2,0)</f>
        <v>6040</v>
      </c>
      <c r="E344" s="12">
        <f t="shared" si="35"/>
        <v>102.68</v>
      </c>
      <c r="G344" s="66"/>
      <c r="H344" s="103"/>
      <c r="I344" s="94"/>
      <c r="J344" s="12"/>
      <c r="L344" s="108" t="s">
        <v>220</v>
      </c>
      <c r="M344" s="10">
        <v>0.1</v>
      </c>
      <c r="N344" s="94">
        <f>+VLOOKUP(L344,'PRECIO PROVEEDORES'!$A$2:$B$716,2,0)</f>
        <v>3000</v>
      </c>
      <c r="O344" s="12">
        <f t="shared" si="37"/>
        <v>300</v>
      </c>
    </row>
    <row r="345" spans="2:15" ht="15.75" customHeight="1" x14ac:dyDescent="0.2">
      <c r="B345" s="64" t="s">
        <v>49</v>
      </c>
      <c r="C345" s="66">
        <v>4.0000000000000001E-3</v>
      </c>
      <c r="D345" s="94">
        <f>+VLOOKUP(B345,'PRECIO PROVEEDORES'!$A$2:$B$716,2,0)</f>
        <v>1633</v>
      </c>
      <c r="E345" s="12">
        <f t="shared" si="35"/>
        <v>6.532</v>
      </c>
      <c r="G345" s="64"/>
      <c r="H345" s="66"/>
      <c r="I345" s="94"/>
      <c r="J345" s="12"/>
      <c r="L345" s="109" t="s">
        <v>49</v>
      </c>
      <c r="M345" s="10">
        <v>5.0000000000000001E-3</v>
      </c>
      <c r="N345" s="94">
        <f>+VLOOKUP(L345,'PRECIO PROVEEDORES'!$A$2:$B$716,2,0)</f>
        <v>1633</v>
      </c>
      <c r="O345" s="12">
        <f t="shared" si="37"/>
        <v>8.1650000000000009</v>
      </c>
    </row>
    <row r="346" spans="2:15" ht="15.75" customHeight="1" x14ac:dyDescent="0.2">
      <c r="B346" s="7" t="s">
        <v>299</v>
      </c>
      <c r="C346" s="66">
        <v>1.4999999999999999E-2</v>
      </c>
      <c r="D346" s="94">
        <f>+VLOOKUP(B346,'PRECIO PROVEEDORES'!$A$2:$B$716,2,0)</f>
        <v>18329</v>
      </c>
      <c r="E346" s="12">
        <f t="shared" si="35"/>
        <v>274.935</v>
      </c>
      <c r="G346" s="71"/>
      <c r="H346" s="66"/>
      <c r="I346" s="69"/>
      <c r="J346" s="70"/>
      <c r="L346" s="71"/>
      <c r="M346" s="66"/>
      <c r="N346" s="94"/>
      <c r="O346" s="12"/>
    </row>
    <row r="347" spans="2:15" ht="15.75" customHeight="1" x14ac:dyDescent="0.2">
      <c r="B347" s="7" t="s">
        <v>503</v>
      </c>
      <c r="C347" s="66">
        <v>0.48499999999999999</v>
      </c>
      <c r="D347" s="94">
        <f>+VLOOKUP(B347,'PRECIO PROVEEDORES'!$A$2:$B$716,2,0)</f>
        <v>7331</v>
      </c>
      <c r="E347" s="12">
        <f t="shared" si="35"/>
        <v>3555.5349999999999</v>
      </c>
      <c r="G347" s="71"/>
      <c r="H347" s="66"/>
      <c r="I347" s="69"/>
      <c r="J347" s="70"/>
      <c r="L347" s="71"/>
      <c r="M347" s="66"/>
      <c r="N347" s="94"/>
      <c r="O347" s="12"/>
    </row>
    <row r="348" spans="2:15" ht="15.75" customHeight="1" x14ac:dyDescent="0.2">
      <c r="B348" s="71" t="s">
        <v>271</v>
      </c>
      <c r="C348" s="66">
        <v>2.5000000000000001E-2</v>
      </c>
      <c r="D348" s="94">
        <f>+VLOOKUP(B348,'PRECIO PROVEEDORES'!$A$2:$B$716,2,0)</f>
        <v>1684</v>
      </c>
      <c r="E348" s="12">
        <f t="shared" si="35"/>
        <v>42.1</v>
      </c>
      <c r="G348" s="71"/>
      <c r="H348" s="66"/>
      <c r="I348" s="69"/>
      <c r="J348" s="70"/>
      <c r="L348" s="71"/>
      <c r="M348" s="66"/>
      <c r="N348" s="94"/>
      <c r="O348" s="12"/>
    </row>
    <row r="349" spans="2:15" ht="15.75" customHeight="1" x14ac:dyDescent="0.2">
      <c r="B349" s="7" t="s">
        <v>548</v>
      </c>
      <c r="C349" s="66">
        <v>0.6</v>
      </c>
      <c r="D349" s="94">
        <f>+VLOOKUP(B349,'PRECIO PROVEEDORES'!$A$2:$B$716,2,0)</f>
        <v>9500</v>
      </c>
      <c r="E349" s="12">
        <f t="shared" si="35"/>
        <v>5700</v>
      </c>
      <c r="G349" s="71"/>
      <c r="H349" s="66"/>
      <c r="I349" s="69"/>
      <c r="J349" s="70"/>
      <c r="L349" s="71"/>
      <c r="M349" s="66"/>
      <c r="N349" s="94"/>
      <c r="O349" s="12"/>
    </row>
    <row r="350" spans="2:15" ht="15.75" customHeight="1" x14ac:dyDescent="0.2">
      <c r="B350" s="108" t="s">
        <v>548</v>
      </c>
      <c r="C350" s="66">
        <v>0.25</v>
      </c>
      <c r="D350" s="94">
        <f>+VLOOKUP(B350,'PRECIO PROVEEDORES'!$A$2:$B$716,2,0)</f>
        <v>9500</v>
      </c>
      <c r="E350" s="12">
        <f t="shared" si="35"/>
        <v>2375</v>
      </c>
      <c r="G350" s="64"/>
      <c r="H350" s="66"/>
      <c r="I350" s="69"/>
      <c r="J350" s="70"/>
      <c r="L350" s="108"/>
      <c r="M350" s="66"/>
      <c r="N350" s="94"/>
      <c r="O350" s="12"/>
    </row>
    <row r="351" spans="2:15" ht="15.75" customHeight="1" x14ac:dyDescent="0.2">
      <c r="B351" s="121" t="s">
        <v>444</v>
      </c>
      <c r="C351" s="66">
        <v>0.5</v>
      </c>
      <c r="D351" s="94">
        <f>+VLOOKUP(B351,'PRECIO PROVEEDORES'!$A$2:$B$716,2,0)</f>
        <v>9506</v>
      </c>
      <c r="E351" s="12">
        <f t="shared" si="35"/>
        <v>4753</v>
      </c>
      <c r="G351" s="64"/>
      <c r="H351" s="66"/>
      <c r="I351" s="69"/>
      <c r="J351" s="70"/>
      <c r="L351" s="64"/>
      <c r="M351" s="66"/>
      <c r="N351" s="94"/>
      <c r="O351" s="12"/>
    </row>
    <row r="352" spans="2:15" ht="15.75" customHeight="1" x14ac:dyDescent="0.2">
      <c r="B352" s="108" t="s">
        <v>256</v>
      </c>
      <c r="C352" s="66">
        <v>0.1</v>
      </c>
      <c r="D352" s="94">
        <f>+VLOOKUP(B352,'PRECIO PROVEEDORES'!$A$2:$B$716,2,0)</f>
        <v>34892</v>
      </c>
      <c r="E352" s="12">
        <f t="shared" si="35"/>
        <v>3489.2000000000003</v>
      </c>
      <c r="G352" s="64"/>
      <c r="H352" s="66"/>
      <c r="I352" s="69"/>
      <c r="J352" s="70"/>
      <c r="L352" s="64"/>
      <c r="M352" s="66"/>
      <c r="N352" s="94"/>
      <c r="O352" s="12"/>
    </row>
    <row r="353" spans="2:15" ht="15.75" customHeight="1" x14ac:dyDescent="0.2">
      <c r="B353" s="7" t="s">
        <v>241</v>
      </c>
      <c r="C353" s="66">
        <v>0.17</v>
      </c>
      <c r="D353" s="94">
        <f>+VLOOKUP(B353,'PRECIO PROVEEDORES'!$A$2:$B$716,2,0)</f>
        <v>10203</v>
      </c>
      <c r="E353" s="12">
        <f t="shared" si="35"/>
        <v>1734.5100000000002</v>
      </c>
      <c r="G353" s="72" t="s">
        <v>52</v>
      </c>
      <c r="H353" s="73"/>
      <c r="I353" s="74"/>
      <c r="J353" s="95">
        <f>SUM(J338:J352)</f>
        <v>4965.8099999999995</v>
      </c>
      <c r="L353" s="7"/>
      <c r="M353" s="66"/>
      <c r="N353" s="94"/>
      <c r="O353" s="12"/>
    </row>
    <row r="354" spans="2:15" ht="15.75" customHeight="1" x14ac:dyDescent="0.2">
      <c r="B354" s="7"/>
      <c r="C354" s="66"/>
      <c r="D354" s="94"/>
      <c r="E354" s="12"/>
      <c r="G354" s="76" t="s">
        <v>53</v>
      </c>
      <c r="H354" s="77"/>
      <c r="I354" s="78"/>
      <c r="J354" s="96">
        <f>SUM(J353)</f>
        <v>4965.8099999999995</v>
      </c>
      <c r="L354" s="7"/>
      <c r="M354" s="66"/>
      <c r="N354" s="94"/>
      <c r="O354" s="12"/>
    </row>
    <row r="355" spans="2:15" ht="15.75" customHeight="1" x14ac:dyDescent="0.2">
      <c r="B355" s="64"/>
      <c r="C355" s="66"/>
      <c r="D355" s="94"/>
      <c r="E355" s="12"/>
      <c r="G355" s="76" t="s">
        <v>54</v>
      </c>
      <c r="H355" s="77"/>
      <c r="I355" s="78"/>
      <c r="J355" s="96">
        <f>+J354/8</f>
        <v>620.72624999999994</v>
      </c>
      <c r="L355" s="64"/>
      <c r="M355" s="66"/>
      <c r="N355" s="94"/>
      <c r="O355" s="12"/>
    </row>
    <row r="356" spans="2:15" ht="15.75" customHeight="1" x14ac:dyDescent="0.2">
      <c r="B356" s="64"/>
      <c r="C356" s="66"/>
      <c r="D356" s="69"/>
      <c r="E356" s="70"/>
      <c r="G356" s="76" t="s">
        <v>55</v>
      </c>
      <c r="H356" s="77"/>
      <c r="I356" s="80">
        <v>0.3</v>
      </c>
      <c r="J356" s="81"/>
      <c r="L356" s="64"/>
      <c r="M356" s="66"/>
      <c r="N356" s="69"/>
      <c r="O356" s="70"/>
    </row>
    <row r="357" spans="2:15" ht="15.75" customHeight="1" x14ac:dyDescent="0.2">
      <c r="B357" s="72" t="s">
        <v>52</v>
      </c>
      <c r="C357" s="73"/>
      <c r="D357" s="74"/>
      <c r="E357" s="95">
        <f>SUM(E338:E356)</f>
        <v>25917.326999999997</v>
      </c>
      <c r="G357" s="76" t="s">
        <v>56</v>
      </c>
      <c r="H357" s="77"/>
      <c r="I357" s="82"/>
      <c r="J357" s="96">
        <f>+J355*3.33333333333333</f>
        <v>2069.0874999999978</v>
      </c>
      <c r="L357" s="72" t="s">
        <v>52</v>
      </c>
      <c r="M357" s="73"/>
      <c r="N357" s="74"/>
      <c r="O357" s="95">
        <f>SUM(O338:O356)</f>
        <v>6925.2750000000005</v>
      </c>
    </row>
    <row r="358" spans="2:15" ht="15.75" customHeight="1" x14ac:dyDescent="0.2">
      <c r="B358" s="76" t="s">
        <v>53</v>
      </c>
      <c r="C358" s="77"/>
      <c r="D358" s="78"/>
      <c r="E358" s="96">
        <f>SUM(E357)</f>
        <v>25917.326999999997</v>
      </c>
      <c r="G358" s="76" t="s">
        <v>250</v>
      </c>
      <c r="H358" s="77"/>
      <c r="I358" s="78"/>
      <c r="J358" s="96">
        <v>1778</v>
      </c>
      <c r="L358" s="76" t="s">
        <v>53</v>
      </c>
      <c r="M358" s="77"/>
      <c r="N358" s="78"/>
      <c r="O358" s="96">
        <f>SUM(O357)</f>
        <v>6925.2750000000005</v>
      </c>
    </row>
    <row r="359" spans="2:15" ht="15.75" customHeight="1" x14ac:dyDescent="0.2">
      <c r="B359" s="76" t="s">
        <v>54</v>
      </c>
      <c r="C359" s="77"/>
      <c r="D359" s="78"/>
      <c r="E359" s="96">
        <f>+E358</f>
        <v>25917.326999999997</v>
      </c>
      <c r="G359" s="71"/>
      <c r="H359" s="77"/>
      <c r="I359" s="78"/>
      <c r="J359" s="95">
        <f>+J358-J357</f>
        <v>-291.08749999999782</v>
      </c>
      <c r="L359" s="76" t="s">
        <v>54</v>
      </c>
      <c r="M359" s="77"/>
      <c r="N359" s="78"/>
      <c r="O359" s="96">
        <f>+O358/12</f>
        <v>577.10625000000005</v>
      </c>
    </row>
    <row r="360" spans="2:15" ht="15.75" customHeight="1" x14ac:dyDescent="0.2">
      <c r="B360" s="76" t="s">
        <v>55</v>
      </c>
      <c r="C360" s="77"/>
      <c r="D360" s="80">
        <v>0.3</v>
      </c>
      <c r="E360" s="81"/>
      <c r="G360" s="32" t="s">
        <v>58</v>
      </c>
      <c r="H360" s="83"/>
      <c r="I360" s="110"/>
      <c r="J360" s="98">
        <f>J355/J358</f>
        <v>0.34911487626546678</v>
      </c>
      <c r="L360" s="76" t="s">
        <v>55</v>
      </c>
      <c r="M360" s="77"/>
      <c r="N360" s="80">
        <v>0.3</v>
      </c>
      <c r="O360" s="81"/>
    </row>
    <row r="361" spans="2:15" ht="15.75" customHeight="1" x14ac:dyDescent="0.2">
      <c r="B361" s="76" t="s">
        <v>56</v>
      </c>
      <c r="C361" s="77"/>
      <c r="D361" s="82"/>
      <c r="E361" s="96">
        <f>+E359*3.33333333333333</f>
        <v>86391.089999999909</v>
      </c>
      <c r="L361" s="76" t="s">
        <v>56</v>
      </c>
      <c r="M361" s="77"/>
      <c r="N361" s="82"/>
      <c r="O361" s="96">
        <f>+O359*3.33333333333333</f>
        <v>1923.6874999999982</v>
      </c>
    </row>
    <row r="362" spans="2:15" ht="15.75" customHeight="1" x14ac:dyDescent="0.2">
      <c r="B362" s="76" t="s">
        <v>250</v>
      </c>
      <c r="C362" s="77"/>
      <c r="D362" s="78"/>
      <c r="E362" s="96">
        <v>77688</v>
      </c>
      <c r="L362" s="76" t="s">
        <v>250</v>
      </c>
      <c r="M362" s="77"/>
      <c r="N362" s="78"/>
      <c r="O362" s="96"/>
    </row>
    <row r="363" spans="2:15" ht="15.75" customHeight="1" x14ac:dyDescent="0.2">
      <c r="B363" s="71"/>
      <c r="C363" s="77"/>
      <c r="D363" s="78"/>
      <c r="E363" s="95">
        <f>+E362-E361</f>
        <v>-8703.0899999999092</v>
      </c>
      <c r="L363" s="71"/>
      <c r="M363" s="77"/>
      <c r="N363" s="78"/>
      <c r="O363" s="95">
        <f>+O362-O361</f>
        <v>-1923.6874999999982</v>
      </c>
    </row>
    <row r="364" spans="2:15" ht="15.75" customHeight="1" x14ac:dyDescent="0.2">
      <c r="B364" s="32" t="s">
        <v>58</v>
      </c>
      <c r="C364" s="83"/>
      <c r="D364" s="110"/>
      <c r="E364" s="98">
        <f>E359/E362</f>
        <v>0.33360785449490266</v>
      </c>
      <c r="L364" s="32" t="s">
        <v>58</v>
      </c>
      <c r="M364" s="83"/>
      <c r="N364" s="110"/>
      <c r="O364" s="98" t="e">
        <f>O359/O362</f>
        <v>#DIV/0!</v>
      </c>
    </row>
    <row r="365" spans="2:15" ht="15.75" customHeight="1" x14ac:dyDescent="0.15"/>
    <row r="366" spans="2:15" ht="15.75" customHeight="1" x14ac:dyDescent="0.15"/>
    <row r="367" spans="2:15" ht="15.75" customHeight="1" x14ac:dyDescent="0.2">
      <c r="B367" s="218" t="s">
        <v>549</v>
      </c>
      <c r="C367" s="213"/>
      <c r="D367" s="213"/>
      <c r="E367" s="214"/>
      <c r="G367" s="218" t="s">
        <v>550</v>
      </c>
      <c r="H367" s="213"/>
      <c r="I367" s="213"/>
      <c r="J367" s="214"/>
      <c r="L367" s="218" t="s">
        <v>551</v>
      </c>
      <c r="M367" s="213"/>
      <c r="N367" s="213"/>
      <c r="O367" s="214"/>
    </row>
    <row r="368" spans="2:15" ht="15.75" customHeight="1" x14ac:dyDescent="0.2">
      <c r="B368" s="64"/>
      <c r="C368" s="65" t="s">
        <v>8</v>
      </c>
      <c r="D368" s="7" t="s">
        <v>9</v>
      </c>
      <c r="E368" s="8" t="s">
        <v>10</v>
      </c>
      <c r="G368" s="64"/>
      <c r="H368" s="65" t="s">
        <v>8</v>
      </c>
      <c r="I368" s="7" t="s">
        <v>9</v>
      </c>
      <c r="J368" s="8" t="s">
        <v>10</v>
      </c>
      <c r="L368" s="64"/>
      <c r="M368" s="65" t="s">
        <v>8</v>
      </c>
      <c r="N368" s="7" t="s">
        <v>9</v>
      </c>
      <c r="O368" s="8" t="s">
        <v>10</v>
      </c>
    </row>
    <row r="369" spans="2:15" ht="15.75" customHeight="1" x14ac:dyDescent="0.2">
      <c r="B369" s="66" t="s">
        <v>243</v>
      </c>
      <c r="C369" s="68">
        <v>0.01</v>
      </c>
      <c r="D369" s="94">
        <f>+VLOOKUP(B369,'PRECIO PROVEEDORES'!$A$2:$B$716,2,0)</f>
        <v>17780</v>
      </c>
      <c r="E369" s="12">
        <f t="shared" ref="E369:E386" si="38">+C369*D369</f>
        <v>177.8</v>
      </c>
      <c r="G369" s="66" t="s">
        <v>239</v>
      </c>
      <c r="H369" s="68">
        <v>0.36</v>
      </c>
      <c r="I369" s="94">
        <f>+VLOOKUP(G369,'PRECIO PROVEEDORES'!$A$2:$B$716,2,0)</f>
        <v>890</v>
      </c>
      <c r="J369" s="12">
        <f t="shared" ref="J369:J378" si="39">+H369*I369</f>
        <v>320.39999999999998</v>
      </c>
      <c r="L369" s="66" t="s">
        <v>239</v>
      </c>
      <c r="M369" s="68">
        <v>3.1349999999999998</v>
      </c>
      <c r="N369" s="94">
        <f>+VLOOKUP(L369,'PRECIO PROVEEDORES'!$A$2:$B$716,2,0)</f>
        <v>890</v>
      </c>
      <c r="O369" s="12">
        <f t="shared" ref="O369:O374" si="40">+M369*N369</f>
        <v>2790.1499999999996</v>
      </c>
    </row>
    <row r="370" spans="2:15" ht="15.75" customHeight="1" x14ac:dyDescent="0.2">
      <c r="B370" s="66" t="s">
        <v>210</v>
      </c>
      <c r="C370" s="68">
        <v>0.12</v>
      </c>
      <c r="D370" s="94">
        <f>+VLOOKUP(B370,'PRECIO PROVEEDORES'!$A$2:$B$716,2,0)</f>
        <v>1352</v>
      </c>
      <c r="E370" s="12">
        <f t="shared" si="38"/>
        <v>162.23999999999998</v>
      </c>
      <c r="G370" s="66" t="s">
        <v>237</v>
      </c>
      <c r="H370" s="68">
        <v>0.95</v>
      </c>
      <c r="I370" s="94">
        <f>+VLOOKUP(G370,'PRECIO PROVEEDORES'!$A$2:$B$716,2,0)</f>
        <v>1043.22</v>
      </c>
      <c r="J370" s="12">
        <f t="shared" si="39"/>
        <v>991.05899999999997</v>
      </c>
      <c r="L370" s="66" t="s">
        <v>367</v>
      </c>
      <c r="M370" s="68">
        <v>1.885</v>
      </c>
      <c r="N370" s="94">
        <f>+VLOOKUP(L370,'PRECIO PROVEEDORES'!$A$2:$B$716,2,0)</f>
        <v>0</v>
      </c>
      <c r="O370" s="12">
        <f t="shared" si="40"/>
        <v>0</v>
      </c>
    </row>
    <row r="371" spans="2:15" ht="15.75" customHeight="1" x14ac:dyDescent="0.2">
      <c r="B371" s="7" t="s">
        <v>239</v>
      </c>
      <c r="C371" s="68">
        <v>0.08</v>
      </c>
      <c r="D371" s="94">
        <f>+VLOOKUP(B371,'PRECIO PROVEEDORES'!$A$2:$B$716,2,0)</f>
        <v>890</v>
      </c>
      <c r="E371" s="12">
        <f t="shared" si="38"/>
        <v>71.2</v>
      </c>
      <c r="G371" s="66" t="s">
        <v>210</v>
      </c>
      <c r="H371" s="68">
        <v>0.14000000000000001</v>
      </c>
      <c r="I371" s="94">
        <f>+VLOOKUP(G371,'PRECIO PROVEEDORES'!$A$2:$B$716,2,0)</f>
        <v>1352</v>
      </c>
      <c r="J371" s="12">
        <f t="shared" si="39"/>
        <v>189.28000000000003</v>
      </c>
      <c r="L371" s="64" t="s">
        <v>492</v>
      </c>
      <c r="M371" s="68">
        <v>0.12</v>
      </c>
      <c r="N371" s="94">
        <f>+VLOOKUP(L371,'PRECIO PROVEEDORES'!$A$2:$B$716,2,0)</f>
        <v>10373</v>
      </c>
      <c r="O371" s="12">
        <f t="shared" si="40"/>
        <v>1244.76</v>
      </c>
    </row>
    <row r="372" spans="2:15" ht="15.75" customHeight="1" x14ac:dyDescent="0.2">
      <c r="B372" s="66" t="s">
        <v>166</v>
      </c>
      <c r="C372" s="68">
        <v>0.05</v>
      </c>
      <c r="D372" s="94">
        <f>+VLOOKUP(B372,'PRECIO PROVEEDORES'!$A$2:$B$716,2,0)</f>
        <v>1940</v>
      </c>
      <c r="E372" s="12">
        <f t="shared" si="38"/>
        <v>97</v>
      </c>
      <c r="G372" s="66" t="s">
        <v>367</v>
      </c>
      <c r="H372" s="68">
        <v>0.28000000000000003</v>
      </c>
      <c r="I372" s="94">
        <f>+VLOOKUP(G372,'PRECIO PROVEEDORES'!$A$2:$B$716,2,0)</f>
        <v>0</v>
      </c>
      <c r="J372" s="12">
        <f t="shared" si="39"/>
        <v>0</v>
      </c>
      <c r="L372" s="71" t="s">
        <v>49</v>
      </c>
      <c r="M372" s="68">
        <v>0.06</v>
      </c>
      <c r="N372" s="94">
        <f>+VLOOKUP(L372,'PRECIO PROVEEDORES'!$A$2:$B$716,2,0)</f>
        <v>1633</v>
      </c>
      <c r="O372" s="12">
        <f t="shared" si="40"/>
        <v>97.97999999999999</v>
      </c>
    </row>
    <row r="373" spans="2:15" ht="15.75" customHeight="1" x14ac:dyDescent="0.2">
      <c r="B373" s="66" t="s">
        <v>220</v>
      </c>
      <c r="C373" s="103">
        <v>0.05</v>
      </c>
      <c r="D373" s="94">
        <f>+VLOOKUP(B373,'PRECIO PROVEEDORES'!$A$2:$B$716,2,0)</f>
        <v>3000</v>
      </c>
      <c r="E373" s="12">
        <f t="shared" si="38"/>
        <v>150</v>
      </c>
      <c r="G373" s="66" t="s">
        <v>166</v>
      </c>
      <c r="H373" s="68">
        <v>0.2</v>
      </c>
      <c r="I373" s="94">
        <f>+VLOOKUP(G373,'PRECIO PROVEEDORES'!$A$2:$B$716,2,0)</f>
        <v>1940</v>
      </c>
      <c r="J373" s="12">
        <f t="shared" si="39"/>
        <v>388</v>
      </c>
      <c r="L373" s="66" t="s">
        <v>552</v>
      </c>
      <c r="M373" s="68">
        <v>5.5E-2</v>
      </c>
      <c r="N373" s="94">
        <f>+VLOOKUP(L373,'PRECIO PROVEEDORES'!$A$2:$B$716,2,0)</f>
        <v>4299.01</v>
      </c>
      <c r="O373" s="12">
        <f t="shared" si="40"/>
        <v>236.44555000000003</v>
      </c>
    </row>
    <row r="374" spans="2:15" ht="15.75" customHeight="1" x14ac:dyDescent="0.2">
      <c r="B374" s="66" t="s">
        <v>273</v>
      </c>
      <c r="C374" s="68">
        <v>0.02</v>
      </c>
      <c r="D374" s="94">
        <f>+VLOOKUP(B374,'PRECIO PROVEEDORES'!$A$2:$B$716,2,0)</f>
        <v>2191</v>
      </c>
      <c r="E374" s="12">
        <f t="shared" si="38"/>
        <v>43.82</v>
      </c>
      <c r="G374" s="66" t="s">
        <v>17</v>
      </c>
      <c r="H374" s="68">
        <v>4</v>
      </c>
      <c r="I374" s="94">
        <f>+VLOOKUP(G374,'PRECIO PROVEEDORES'!$A$2:$B$716,2,0)</f>
        <v>192</v>
      </c>
      <c r="J374" s="12">
        <f t="shared" si="39"/>
        <v>768</v>
      </c>
      <c r="L374" s="66" t="s">
        <v>553</v>
      </c>
      <c r="M374" s="68">
        <v>0.03</v>
      </c>
      <c r="N374" s="94">
        <f>+VLOOKUP(L374,'PRECIO PROVEEDORES'!$A$2:$B$716,2,0)</f>
        <v>1352</v>
      </c>
      <c r="O374" s="12">
        <f t="shared" si="40"/>
        <v>40.559999999999995</v>
      </c>
    </row>
    <row r="375" spans="2:15" ht="15.75" customHeight="1" x14ac:dyDescent="0.2">
      <c r="B375" s="66" t="s">
        <v>17</v>
      </c>
      <c r="C375" s="103">
        <v>2</v>
      </c>
      <c r="D375" s="94">
        <f>+VLOOKUP(B375,'PRECIO PROVEEDORES'!$A$2:$B$716,2,0)</f>
        <v>192</v>
      </c>
      <c r="E375" s="12">
        <f t="shared" si="38"/>
        <v>384</v>
      </c>
      <c r="G375" s="66" t="s">
        <v>242</v>
      </c>
      <c r="H375" s="68">
        <v>0.04</v>
      </c>
      <c r="I375" s="94">
        <f>+VLOOKUP(G375,'PRECIO PROVEEDORES'!$A$2:$B$716,2,0)</f>
        <v>6062</v>
      </c>
      <c r="J375" s="12">
        <f t="shared" si="39"/>
        <v>242.48000000000002</v>
      </c>
      <c r="L375" s="66"/>
      <c r="M375" s="68"/>
      <c r="N375" s="94"/>
      <c r="O375" s="12"/>
    </row>
    <row r="376" spans="2:15" ht="15.75" customHeight="1" x14ac:dyDescent="0.2">
      <c r="B376" s="64" t="s">
        <v>49</v>
      </c>
      <c r="C376" s="66">
        <v>3.0000000000000001E-3</v>
      </c>
      <c r="D376" s="94">
        <f>+VLOOKUP(B376,'PRECIO PROVEEDORES'!$A$2:$B$716,2,0)</f>
        <v>1633</v>
      </c>
      <c r="E376" s="12">
        <f t="shared" si="38"/>
        <v>4.899</v>
      </c>
      <c r="G376" s="64" t="s">
        <v>243</v>
      </c>
      <c r="H376" s="68">
        <v>0.02</v>
      </c>
      <c r="I376" s="94">
        <f>+VLOOKUP(G376,'PRECIO PROVEEDORES'!$A$2:$B$716,2,0)</f>
        <v>17780</v>
      </c>
      <c r="J376" s="12">
        <f t="shared" si="39"/>
        <v>355.6</v>
      </c>
      <c r="L376" s="64"/>
      <c r="M376" s="68"/>
      <c r="N376" s="94"/>
      <c r="O376" s="12"/>
    </row>
    <row r="377" spans="2:15" ht="15.75" customHeight="1" x14ac:dyDescent="0.2">
      <c r="B377" s="7" t="s">
        <v>166</v>
      </c>
      <c r="C377" s="66">
        <v>0.05</v>
      </c>
      <c r="D377" s="94">
        <f>+VLOOKUP(B377,'PRECIO PROVEEDORES'!$A$2:$B$716,2,0)</f>
        <v>1940</v>
      </c>
      <c r="E377" s="12">
        <f t="shared" si="38"/>
        <v>97</v>
      </c>
      <c r="G377" s="71" t="s">
        <v>247</v>
      </c>
      <c r="H377" s="68">
        <v>0.62</v>
      </c>
      <c r="I377" s="94">
        <f>+VLOOKUP(G377,'PRECIO PROVEEDORES'!$A$2:$B$716,2,0)</f>
        <v>12000</v>
      </c>
      <c r="J377" s="12">
        <f t="shared" si="39"/>
        <v>7440</v>
      </c>
      <c r="L377" s="71"/>
      <c r="M377" s="68"/>
      <c r="N377" s="94"/>
      <c r="O377" s="12"/>
    </row>
    <row r="378" spans="2:15" ht="15.75" customHeight="1" x14ac:dyDescent="0.2">
      <c r="B378" s="7" t="s">
        <v>247</v>
      </c>
      <c r="C378" s="66">
        <v>6.5000000000000002E-2</v>
      </c>
      <c r="D378" s="94">
        <f>+VLOOKUP(B378,'PRECIO PROVEEDORES'!$A$2:$B$716,2,0)</f>
        <v>12000</v>
      </c>
      <c r="E378" s="12">
        <f t="shared" si="38"/>
        <v>780</v>
      </c>
      <c r="G378" s="71" t="s">
        <v>49</v>
      </c>
      <c r="H378" s="68">
        <v>0.02</v>
      </c>
      <c r="I378" s="94">
        <f>+VLOOKUP(G378,'PRECIO PROVEEDORES'!$A$2:$B$716,2,0)</f>
        <v>1633</v>
      </c>
      <c r="J378" s="12">
        <f t="shared" si="39"/>
        <v>32.660000000000004</v>
      </c>
      <c r="L378" s="71"/>
      <c r="M378" s="68"/>
      <c r="N378" s="94"/>
      <c r="O378" s="12"/>
    </row>
    <row r="379" spans="2:15" ht="15.75" customHeight="1" x14ac:dyDescent="0.2">
      <c r="B379" s="71" t="s">
        <v>242</v>
      </c>
      <c r="C379" s="66">
        <v>1.4999999999999999E-2</v>
      </c>
      <c r="D379" s="94">
        <f>+VLOOKUP(B379,'PRECIO PROVEEDORES'!$A$2:$B$716,2,0)</f>
        <v>6062</v>
      </c>
      <c r="E379" s="12">
        <f t="shared" si="38"/>
        <v>90.929999999999993</v>
      </c>
      <c r="G379" s="71"/>
      <c r="H379" s="66"/>
      <c r="I379" s="69"/>
      <c r="J379" s="70"/>
      <c r="L379" s="71"/>
      <c r="M379" s="66"/>
      <c r="N379" s="69"/>
      <c r="O379" s="70"/>
    </row>
    <row r="380" spans="2:15" ht="15.75" customHeight="1" x14ac:dyDescent="0.2">
      <c r="B380" s="7" t="s">
        <v>259</v>
      </c>
      <c r="C380" s="66">
        <v>6.5000000000000002E-2</v>
      </c>
      <c r="D380" s="94">
        <f>+VLOOKUP(B380,'PRECIO PROVEEDORES'!$A$2:$B$716,2,0)</f>
        <v>25872</v>
      </c>
      <c r="E380" s="12">
        <f t="shared" si="38"/>
        <v>1681.68</v>
      </c>
      <c r="G380" s="71"/>
      <c r="H380" s="66"/>
      <c r="I380" s="69"/>
      <c r="J380" s="70"/>
      <c r="L380" s="71"/>
      <c r="M380" s="66"/>
      <c r="N380" s="69"/>
      <c r="O380" s="70"/>
    </row>
    <row r="381" spans="2:15" ht="15.75" customHeight="1" x14ac:dyDescent="0.2">
      <c r="B381" s="108" t="s">
        <v>293</v>
      </c>
      <c r="C381" s="66">
        <v>2.5000000000000001E-2</v>
      </c>
      <c r="D381" s="94">
        <f>+VLOOKUP(B381,'PRECIO PROVEEDORES'!$A$2:$B$716,2,0)</f>
        <v>27769.5</v>
      </c>
      <c r="E381" s="12">
        <f t="shared" si="38"/>
        <v>694.23750000000007</v>
      </c>
      <c r="G381" s="64"/>
      <c r="H381" s="66"/>
      <c r="I381" s="69"/>
      <c r="J381" s="70"/>
      <c r="L381" s="64"/>
      <c r="M381" s="66"/>
      <c r="N381" s="69"/>
      <c r="O381" s="70"/>
    </row>
    <row r="382" spans="2:15" ht="15.75" customHeight="1" x14ac:dyDescent="0.2">
      <c r="B382" s="7" t="s">
        <v>449</v>
      </c>
      <c r="C382" s="66">
        <v>7.4999999999999997E-2</v>
      </c>
      <c r="D382" s="94">
        <f>+VLOOKUP(B382,'PRECIO PROVEEDORES'!$A$2:$B$716,2,0)</f>
        <v>9056</v>
      </c>
      <c r="E382" s="12">
        <f t="shared" si="38"/>
        <v>679.19999999999993</v>
      </c>
      <c r="G382" s="64"/>
      <c r="H382" s="66"/>
      <c r="I382" s="69"/>
      <c r="J382" s="70"/>
      <c r="L382" s="64"/>
      <c r="M382" s="66"/>
      <c r="N382" s="69"/>
      <c r="O382" s="70"/>
    </row>
    <row r="383" spans="2:15" ht="15.75" customHeight="1" x14ac:dyDescent="0.2">
      <c r="B383" s="108" t="s">
        <v>221</v>
      </c>
      <c r="C383" s="66">
        <v>0.05</v>
      </c>
      <c r="D383" s="94">
        <f>+VLOOKUP(B383,'PRECIO PROVEEDORES'!$A$2:$B$716,2,0)</f>
        <v>1440</v>
      </c>
      <c r="E383" s="12">
        <f t="shared" si="38"/>
        <v>72</v>
      </c>
      <c r="G383" s="64"/>
      <c r="H383" s="66"/>
      <c r="I383" s="69"/>
      <c r="J383" s="70"/>
      <c r="L383" s="64"/>
      <c r="M383" s="66"/>
      <c r="N383" s="69"/>
      <c r="O383" s="70"/>
    </row>
    <row r="384" spans="2:15" ht="15.75" customHeight="1" x14ac:dyDescent="0.2">
      <c r="B384" s="7" t="s">
        <v>237</v>
      </c>
      <c r="C384" s="66">
        <v>0.19</v>
      </c>
      <c r="D384" s="94">
        <f>+VLOOKUP(B384,'PRECIO PROVEEDORES'!$A$2:$B$716,2,0)</f>
        <v>1043.22</v>
      </c>
      <c r="E384" s="12">
        <f t="shared" si="38"/>
        <v>198.21180000000001</v>
      </c>
      <c r="G384" s="72" t="s">
        <v>52</v>
      </c>
      <c r="H384" s="73"/>
      <c r="I384" s="74"/>
      <c r="J384" s="95">
        <f>SUM(J369:J383)</f>
        <v>10727.478999999999</v>
      </c>
      <c r="L384" s="72" t="s">
        <v>52</v>
      </c>
      <c r="M384" s="73"/>
      <c r="N384" s="74"/>
      <c r="O384" s="95">
        <f>SUM(O369:O383)</f>
        <v>4409.8955500000002</v>
      </c>
    </row>
    <row r="385" spans="2:16" ht="15.75" customHeight="1" x14ac:dyDescent="0.2">
      <c r="B385" s="7" t="s">
        <v>554</v>
      </c>
      <c r="C385" s="66">
        <v>7.4999999999999997E-2</v>
      </c>
      <c r="D385" s="94">
        <f>+VLOOKUP(B385,'PRECIO PROVEEDORES'!$A$2:$B$716,2,0)</f>
        <v>6292</v>
      </c>
      <c r="E385" s="12">
        <f t="shared" si="38"/>
        <v>471.9</v>
      </c>
      <c r="G385" s="76" t="s">
        <v>53</v>
      </c>
      <c r="H385" s="77"/>
      <c r="I385" s="78"/>
      <c r="J385" s="96">
        <f>SUM(J384)</f>
        <v>10727.478999999999</v>
      </c>
      <c r="L385" s="76" t="s">
        <v>53</v>
      </c>
      <c r="M385" s="77"/>
      <c r="N385" s="78"/>
      <c r="O385" s="96">
        <f>SUM(O384)</f>
        <v>4409.8955500000002</v>
      </c>
    </row>
    <row r="386" spans="2:16" ht="15.75" customHeight="1" x14ac:dyDescent="0.2">
      <c r="B386" s="7" t="s">
        <v>555</v>
      </c>
      <c r="C386" s="66">
        <v>1</v>
      </c>
      <c r="D386" s="94">
        <f>+VLOOKUP(B386,'PRECIO PROVEEDORES'!$A$2:$B$716,2,0)</f>
        <v>98.65</v>
      </c>
      <c r="E386" s="12">
        <f t="shared" si="38"/>
        <v>98.65</v>
      </c>
      <c r="G386" s="76" t="s">
        <v>54</v>
      </c>
      <c r="H386" s="77"/>
      <c r="I386" s="78"/>
      <c r="J386" s="96">
        <f>+J385/54</f>
        <v>198.6570185185185</v>
      </c>
      <c r="L386" s="76" t="s">
        <v>54</v>
      </c>
      <c r="M386" s="77"/>
      <c r="N386" s="78"/>
      <c r="O386" s="96">
        <f>+O385/4</f>
        <v>1102.4738875</v>
      </c>
    </row>
    <row r="387" spans="2:16" ht="15.75" customHeight="1" x14ac:dyDescent="0.2">
      <c r="B387" s="64"/>
      <c r="C387" s="66"/>
      <c r="D387" s="69"/>
      <c r="E387" s="70"/>
      <c r="G387" s="76" t="s">
        <v>55</v>
      </c>
      <c r="H387" s="77"/>
      <c r="I387" s="80">
        <v>0.3</v>
      </c>
      <c r="J387" s="81"/>
      <c r="L387" s="76" t="s">
        <v>55</v>
      </c>
      <c r="M387" s="77"/>
      <c r="N387" s="80">
        <v>0.3</v>
      </c>
      <c r="O387" s="81"/>
      <c r="P387" s="124">
        <f>O388-(O388*5%)</f>
        <v>3491.167310416663</v>
      </c>
    </row>
    <row r="388" spans="2:16" ht="15.75" customHeight="1" x14ac:dyDescent="0.2">
      <c r="B388" s="72" t="s">
        <v>52</v>
      </c>
      <c r="C388" s="73"/>
      <c r="D388" s="74"/>
      <c r="E388" s="95">
        <f>SUM(E369:E387)</f>
        <v>5954.7682999999988</v>
      </c>
      <c r="G388" s="76" t="s">
        <v>56</v>
      </c>
      <c r="H388" s="77"/>
      <c r="I388" s="82"/>
      <c r="J388" s="96">
        <f>+J386*3.33333333333333</f>
        <v>662.19006172839431</v>
      </c>
      <c r="L388" s="76" t="s">
        <v>56</v>
      </c>
      <c r="M388" s="77"/>
      <c r="N388" s="82"/>
      <c r="O388" s="96">
        <f>+O386*3.33333333333333</f>
        <v>3674.9129583333297</v>
      </c>
      <c r="P388" s="124">
        <f>O388-(O388*10%)</f>
        <v>3307.4216624999967</v>
      </c>
    </row>
    <row r="389" spans="2:16" ht="15.75" customHeight="1" x14ac:dyDescent="0.2">
      <c r="B389" s="76" t="s">
        <v>53</v>
      </c>
      <c r="C389" s="77"/>
      <c r="D389" s="78"/>
      <c r="E389" s="96">
        <f>SUM(E388)</f>
        <v>5954.7682999999988</v>
      </c>
      <c r="G389" s="76" t="s">
        <v>250</v>
      </c>
      <c r="H389" s="77"/>
      <c r="I389" s="78"/>
      <c r="J389" s="96">
        <v>733.33</v>
      </c>
      <c r="L389" s="76" t="s">
        <v>250</v>
      </c>
      <c r="M389" s="77"/>
      <c r="N389" s="78"/>
      <c r="O389" s="127">
        <v>3308</v>
      </c>
      <c r="P389" s="124">
        <f>O388-(O388*15%)</f>
        <v>3123.6760145833305</v>
      </c>
    </row>
    <row r="390" spans="2:16" ht="15.75" customHeight="1" x14ac:dyDescent="0.2">
      <c r="B390" s="76" t="s">
        <v>54</v>
      </c>
      <c r="C390" s="77"/>
      <c r="D390" s="78"/>
      <c r="E390" s="96">
        <f>+E389</f>
        <v>5954.7682999999988</v>
      </c>
      <c r="G390" s="71"/>
      <c r="H390" s="77"/>
      <c r="I390" s="78"/>
      <c r="J390" s="95">
        <f>+J389-J388</f>
        <v>71.139938271605729</v>
      </c>
      <c r="L390" s="71"/>
      <c r="M390" s="77"/>
      <c r="N390" s="78"/>
      <c r="O390" s="95">
        <f>+O389-O388</f>
        <v>-366.9129583333297</v>
      </c>
    </row>
    <row r="391" spans="2:16" ht="15.75" customHeight="1" x14ac:dyDescent="0.2">
      <c r="B391" s="76" t="s">
        <v>55</v>
      </c>
      <c r="C391" s="77"/>
      <c r="D391" s="80">
        <v>0.3</v>
      </c>
      <c r="E391" s="81"/>
      <c r="G391" s="32" t="s">
        <v>58</v>
      </c>
      <c r="H391" s="83"/>
      <c r="I391" s="110"/>
      <c r="J391" s="98">
        <f>J386/J389</f>
        <v>0.27089716569418748</v>
      </c>
      <c r="L391" s="32" t="s">
        <v>58</v>
      </c>
      <c r="M391" s="83"/>
      <c r="N391" s="110"/>
      <c r="O391" s="98">
        <f>O386/O389</f>
        <v>0.3332750566807739</v>
      </c>
    </row>
    <row r="392" spans="2:16" ht="15.75" customHeight="1" x14ac:dyDescent="0.2">
      <c r="B392" s="76" t="s">
        <v>56</v>
      </c>
      <c r="C392" s="77"/>
      <c r="D392" s="82"/>
      <c r="E392" s="96">
        <f>+E390*3.33333333333333</f>
        <v>19849.227666666644</v>
      </c>
    </row>
    <row r="393" spans="2:16" ht="15.75" customHeight="1" x14ac:dyDescent="0.2">
      <c r="B393" s="76" t="s">
        <v>250</v>
      </c>
      <c r="C393" s="77"/>
      <c r="D393" s="78"/>
      <c r="E393" s="96">
        <v>24000</v>
      </c>
    </row>
    <row r="394" spans="2:16" ht="15.75" customHeight="1" x14ac:dyDescent="0.2">
      <c r="B394" s="71"/>
      <c r="C394" s="77"/>
      <c r="D394" s="78"/>
      <c r="E394" s="95">
        <f>+E393-E392</f>
        <v>4150.7723333333561</v>
      </c>
    </row>
    <row r="395" spans="2:16" ht="15.75" customHeight="1" x14ac:dyDescent="0.2">
      <c r="B395" s="32" t="s">
        <v>58</v>
      </c>
      <c r="C395" s="83"/>
      <c r="D395" s="110"/>
      <c r="E395" s="98">
        <f>E390/E393</f>
        <v>0.24811534583333328</v>
      </c>
    </row>
    <row r="396" spans="2:16" ht="15.75" customHeight="1" x14ac:dyDescent="0.15"/>
    <row r="397" spans="2:16" ht="15.75" customHeight="1" x14ac:dyDescent="0.15"/>
    <row r="398" spans="2:16" ht="15.75" customHeight="1" x14ac:dyDescent="0.2">
      <c r="B398" s="218" t="s">
        <v>556</v>
      </c>
      <c r="C398" s="213"/>
      <c r="D398" s="213"/>
      <c r="E398" s="214"/>
      <c r="G398" s="218" t="s">
        <v>557</v>
      </c>
      <c r="H398" s="213"/>
      <c r="I398" s="213"/>
      <c r="J398" s="214"/>
      <c r="L398" s="218" t="s">
        <v>558</v>
      </c>
      <c r="M398" s="213"/>
      <c r="N398" s="213"/>
      <c r="O398" s="214"/>
    </row>
    <row r="399" spans="2:16" ht="15.75" customHeight="1" x14ac:dyDescent="0.2">
      <c r="B399" s="64"/>
      <c r="C399" s="65" t="s">
        <v>8</v>
      </c>
      <c r="D399" s="7" t="s">
        <v>9</v>
      </c>
      <c r="E399" s="8" t="s">
        <v>10</v>
      </c>
      <c r="G399" s="64"/>
      <c r="H399" s="65" t="s">
        <v>8</v>
      </c>
      <c r="I399" s="7" t="s">
        <v>9</v>
      </c>
      <c r="J399" s="8" t="s">
        <v>10</v>
      </c>
      <c r="L399" s="64"/>
      <c r="M399" s="65" t="s">
        <v>8</v>
      </c>
      <c r="N399" s="7" t="s">
        <v>9</v>
      </c>
      <c r="O399" s="8" t="s">
        <v>10</v>
      </c>
    </row>
    <row r="400" spans="2:16" ht="15.75" customHeight="1" x14ac:dyDescent="0.2">
      <c r="B400" s="64" t="s">
        <v>492</v>
      </c>
      <c r="C400" s="68">
        <v>2.1000000000000001E-2</v>
      </c>
      <c r="D400" s="94">
        <f>+VLOOKUP(B400,'PRECIO PROVEEDORES'!$A$2:$B$716,2,0)</f>
        <v>10373</v>
      </c>
      <c r="E400" s="12">
        <f t="shared" ref="E400:E407" si="41">+C400*D400</f>
        <v>217.83300000000003</v>
      </c>
      <c r="G400" s="66" t="s">
        <v>239</v>
      </c>
      <c r="H400" s="68">
        <v>1</v>
      </c>
      <c r="I400" s="94">
        <f>+VLOOKUP(G400,'PRECIO PROVEEDORES'!$A$2:$B$716,2,0)</f>
        <v>890</v>
      </c>
      <c r="J400" s="12">
        <f t="shared" ref="J400:J403" si="42">+H400*I400</f>
        <v>890</v>
      </c>
      <c r="L400" s="66" t="s">
        <v>239</v>
      </c>
      <c r="M400" s="68">
        <v>0.45</v>
      </c>
      <c r="N400" s="94">
        <f>+VLOOKUP(L400,'PRECIO PROVEEDORES'!$A$2:$B$716,2,0)</f>
        <v>890</v>
      </c>
      <c r="O400" s="12">
        <f t="shared" ref="O400:O408" si="43">+M400*N400</f>
        <v>400.5</v>
      </c>
    </row>
    <row r="401" spans="2:15" ht="15.75" customHeight="1" x14ac:dyDescent="0.2">
      <c r="B401" s="66" t="s">
        <v>237</v>
      </c>
      <c r="C401" s="68">
        <v>0.5</v>
      </c>
      <c r="D401" s="94">
        <f>+VLOOKUP(B401,'PRECIO PROVEEDORES'!$A$2:$B$716,2,0)</f>
        <v>1043.22</v>
      </c>
      <c r="E401" s="12">
        <f t="shared" si="41"/>
        <v>521.61</v>
      </c>
      <c r="G401" s="64" t="s">
        <v>243</v>
      </c>
      <c r="H401" s="68">
        <v>0.02</v>
      </c>
      <c r="I401" s="94">
        <f>+VLOOKUP(G401,'PRECIO PROVEEDORES'!$A$2:$B$716,2,0)</f>
        <v>17780</v>
      </c>
      <c r="J401" s="12">
        <f t="shared" si="42"/>
        <v>355.6</v>
      </c>
      <c r="L401" s="66" t="s">
        <v>237</v>
      </c>
      <c r="M401" s="68">
        <v>0.09</v>
      </c>
      <c r="N401" s="94">
        <f>+VLOOKUP(L401,'PRECIO PROVEEDORES'!$A$2:$B$716,2,0)</f>
        <v>1043.22</v>
      </c>
      <c r="O401" s="12">
        <f t="shared" si="43"/>
        <v>93.889799999999994</v>
      </c>
    </row>
    <row r="402" spans="2:15" ht="15.75" customHeight="1" x14ac:dyDescent="0.2">
      <c r="B402" s="66" t="s">
        <v>210</v>
      </c>
      <c r="C402" s="68">
        <v>0.05</v>
      </c>
      <c r="D402" s="94">
        <f>+VLOOKUP(B402,'PRECIO PROVEEDORES'!$A$2:$B$716,2,0)</f>
        <v>1352</v>
      </c>
      <c r="E402" s="12">
        <f t="shared" si="41"/>
        <v>67.600000000000009</v>
      </c>
      <c r="G402" s="71" t="s">
        <v>49</v>
      </c>
      <c r="H402" s="126">
        <v>0.02</v>
      </c>
      <c r="I402" s="94">
        <f>+VLOOKUP(G402,'PRECIO PROVEEDORES'!$A$2:$B$716,2,0)</f>
        <v>1633</v>
      </c>
      <c r="J402" s="12">
        <f t="shared" si="42"/>
        <v>32.660000000000004</v>
      </c>
      <c r="L402" s="66" t="s">
        <v>210</v>
      </c>
      <c r="M402" s="68">
        <v>0.14000000000000001</v>
      </c>
      <c r="N402" s="94">
        <f>+VLOOKUP(L402,'PRECIO PROVEEDORES'!$A$2:$B$716,2,0)</f>
        <v>1352</v>
      </c>
      <c r="O402" s="12">
        <f t="shared" si="43"/>
        <v>189.28000000000003</v>
      </c>
    </row>
    <row r="403" spans="2:15" ht="15.75" customHeight="1" x14ac:dyDescent="0.2">
      <c r="B403" s="66" t="s">
        <v>367</v>
      </c>
      <c r="C403" s="68">
        <v>0.2</v>
      </c>
      <c r="D403" s="94">
        <f>+VLOOKUP(B403,'PRECIO PROVEEDORES'!$A$2:$B$716,2,0)</f>
        <v>0</v>
      </c>
      <c r="E403" s="12">
        <f t="shared" si="41"/>
        <v>0</v>
      </c>
      <c r="G403" s="66" t="s">
        <v>367</v>
      </c>
      <c r="H403" s="68">
        <v>0.62</v>
      </c>
      <c r="I403" s="94">
        <f>+VLOOKUP(G403,'PRECIO PROVEEDORES'!$A$2:$B$716,2,0)</f>
        <v>0</v>
      </c>
      <c r="J403" s="12">
        <f t="shared" si="42"/>
        <v>0</v>
      </c>
      <c r="L403" s="66" t="s">
        <v>367</v>
      </c>
      <c r="M403" s="68">
        <v>0.32500000000000001</v>
      </c>
      <c r="N403" s="94">
        <f>+VLOOKUP(L403,'PRECIO PROVEEDORES'!$A$2:$B$716,2,0)</f>
        <v>0</v>
      </c>
      <c r="O403" s="12">
        <f t="shared" si="43"/>
        <v>0</v>
      </c>
    </row>
    <row r="404" spans="2:15" ht="15.75" customHeight="1" x14ac:dyDescent="0.2">
      <c r="B404" s="66" t="s">
        <v>552</v>
      </c>
      <c r="C404" s="68">
        <v>0.05</v>
      </c>
      <c r="D404" s="94">
        <f>+VLOOKUP(B404,'PRECIO PROVEEDORES'!$A$2:$B$716,2,0)</f>
        <v>4299.01</v>
      </c>
      <c r="E404" s="12">
        <f t="shared" si="41"/>
        <v>214.95050000000003</v>
      </c>
      <c r="G404" s="66"/>
      <c r="H404" s="68"/>
      <c r="I404" s="94"/>
      <c r="J404" s="12"/>
      <c r="L404" s="71" t="s">
        <v>49</v>
      </c>
      <c r="M404" s="68">
        <v>1.4E-2</v>
      </c>
      <c r="N404" s="94">
        <f>+VLOOKUP(L404,'PRECIO PROVEEDORES'!$A$2:$B$716,2,0)</f>
        <v>1633</v>
      </c>
      <c r="O404" s="12">
        <f t="shared" si="43"/>
        <v>22.862000000000002</v>
      </c>
    </row>
    <row r="405" spans="2:15" ht="15.75" customHeight="1" x14ac:dyDescent="0.2">
      <c r="B405" s="66" t="s">
        <v>17</v>
      </c>
      <c r="C405" s="68">
        <v>1</v>
      </c>
      <c r="D405" s="94">
        <f>+VLOOKUP(B405,'PRECIO PROVEEDORES'!$A$2:$B$716,2,0)</f>
        <v>192</v>
      </c>
      <c r="E405" s="12">
        <f t="shared" si="41"/>
        <v>192</v>
      </c>
      <c r="G405" s="66"/>
      <c r="H405" s="68"/>
      <c r="I405" s="94"/>
      <c r="J405" s="12"/>
      <c r="L405" s="66"/>
      <c r="M405" s="68"/>
      <c r="N405" s="94" t="e">
        <f>+VLOOKUP(L405,'PRECIO PROVEEDORES'!$A$2:$B$716,2,0)</f>
        <v>#N/A</v>
      </c>
      <c r="O405" s="12" t="e">
        <f t="shared" si="43"/>
        <v>#N/A</v>
      </c>
    </row>
    <row r="406" spans="2:15" ht="15.75" customHeight="1" x14ac:dyDescent="0.2">
      <c r="B406" s="66" t="s">
        <v>559</v>
      </c>
      <c r="C406" s="68">
        <v>0.01</v>
      </c>
      <c r="D406" s="94">
        <f>+VLOOKUP(B406,'PRECIO PROVEEDORES'!$A$2:$B$716,2,0)</f>
        <v>1633</v>
      </c>
      <c r="E406" s="12">
        <f t="shared" si="41"/>
        <v>16.330000000000002</v>
      </c>
      <c r="G406" s="66" t="s">
        <v>560</v>
      </c>
      <c r="H406" s="68"/>
      <c r="I406" s="94"/>
      <c r="J406" s="12"/>
      <c r="L406" s="66"/>
      <c r="M406" s="68"/>
      <c r="N406" s="94" t="e">
        <f>+VLOOKUP(L406,'PRECIO PROVEEDORES'!$A$2:$B$716,2,0)</f>
        <v>#N/A</v>
      </c>
      <c r="O406" s="12" t="e">
        <f t="shared" si="43"/>
        <v>#N/A</v>
      </c>
    </row>
    <row r="407" spans="2:15" ht="15.75" customHeight="1" x14ac:dyDescent="0.2">
      <c r="B407" s="7" t="s">
        <v>100</v>
      </c>
      <c r="C407" s="68">
        <v>5.0000000000000001E-3</v>
      </c>
      <c r="D407" s="94">
        <f>+VLOOKUP(B407,'PRECIO PROVEEDORES'!$A$2:$B$716,2,0)</f>
        <v>1690.4949999999999</v>
      </c>
      <c r="E407" s="12">
        <f t="shared" si="41"/>
        <v>8.4524749999999997</v>
      </c>
      <c r="G407" s="64"/>
      <c r="H407" s="68"/>
      <c r="I407" s="94"/>
      <c r="J407" s="12"/>
      <c r="L407" s="64"/>
      <c r="M407" s="68"/>
      <c r="N407" s="94" t="e">
        <f>+VLOOKUP(L407,'PRECIO PROVEEDORES'!$A$2:$B$716,2,0)</f>
        <v>#N/A</v>
      </c>
      <c r="O407" s="12" t="e">
        <f t="shared" si="43"/>
        <v>#N/A</v>
      </c>
    </row>
    <row r="408" spans="2:15" ht="15.75" customHeight="1" x14ac:dyDescent="0.2">
      <c r="B408" s="71"/>
      <c r="C408" s="68"/>
      <c r="D408" s="94"/>
      <c r="E408" s="12"/>
      <c r="G408" s="71"/>
      <c r="H408" s="68"/>
      <c r="I408" s="94"/>
      <c r="J408" s="12"/>
      <c r="L408" s="71"/>
      <c r="M408" s="68"/>
      <c r="N408" s="94" t="e">
        <f>+VLOOKUP(L408,'PRECIO PROVEEDORES'!$A$2:$B$716,2,0)</f>
        <v>#N/A</v>
      </c>
      <c r="O408" s="12" t="e">
        <f t="shared" si="43"/>
        <v>#N/A</v>
      </c>
    </row>
    <row r="409" spans="2:15" ht="15.75" customHeight="1" x14ac:dyDescent="0.2">
      <c r="B409" s="71"/>
      <c r="C409" s="68"/>
      <c r="D409" s="94"/>
      <c r="E409" s="12"/>
      <c r="G409" s="71"/>
      <c r="H409" s="68"/>
      <c r="I409" s="94"/>
      <c r="J409" s="12"/>
      <c r="L409" s="71"/>
      <c r="M409" s="68"/>
      <c r="N409" s="94"/>
      <c r="O409" s="12"/>
    </row>
    <row r="410" spans="2:15" ht="15.75" customHeight="1" x14ac:dyDescent="0.15">
      <c r="B410" s="71"/>
      <c r="C410" s="66"/>
      <c r="D410" s="69"/>
      <c r="E410" s="70"/>
      <c r="G410" s="71"/>
      <c r="H410" s="66"/>
      <c r="I410" s="69"/>
      <c r="J410" s="70"/>
      <c r="L410" s="71"/>
      <c r="M410" s="66"/>
      <c r="N410" s="69"/>
      <c r="O410" s="70"/>
    </row>
    <row r="411" spans="2:15" ht="15.75" customHeight="1" x14ac:dyDescent="0.15">
      <c r="B411" s="71"/>
      <c r="C411" s="66"/>
      <c r="D411" s="69"/>
      <c r="E411" s="70"/>
      <c r="G411" s="71"/>
      <c r="H411" s="66"/>
      <c r="I411" s="69"/>
      <c r="J411" s="70"/>
      <c r="L411" s="71"/>
      <c r="M411" s="66"/>
      <c r="N411" s="69"/>
      <c r="O411" s="70"/>
    </row>
    <row r="412" spans="2:15" ht="15.75" customHeight="1" x14ac:dyDescent="0.15">
      <c r="B412" s="64"/>
      <c r="C412" s="66"/>
      <c r="D412" s="69"/>
      <c r="E412" s="70"/>
      <c r="G412" s="64"/>
      <c r="H412" s="66"/>
      <c r="I412" s="69"/>
      <c r="J412" s="70"/>
      <c r="L412" s="64"/>
      <c r="M412" s="66"/>
      <c r="N412" s="69"/>
      <c r="O412" s="70"/>
    </row>
    <row r="413" spans="2:15" ht="15.75" customHeight="1" x14ac:dyDescent="0.15">
      <c r="B413" s="64"/>
      <c r="C413" s="66"/>
      <c r="D413" s="69"/>
      <c r="E413" s="70"/>
      <c r="G413" s="64"/>
      <c r="H413" s="66"/>
      <c r="I413" s="69"/>
      <c r="J413" s="70"/>
      <c r="L413" s="64"/>
      <c r="M413" s="66"/>
      <c r="N413" s="69"/>
      <c r="O413" s="70"/>
    </row>
    <row r="414" spans="2:15" ht="15.75" customHeight="1" x14ac:dyDescent="0.15">
      <c r="B414" s="64"/>
      <c r="C414" s="66"/>
      <c r="D414" s="69"/>
      <c r="E414" s="70"/>
      <c r="G414" s="64"/>
      <c r="H414" s="66"/>
      <c r="I414" s="69"/>
      <c r="J414" s="70"/>
      <c r="L414" s="64"/>
      <c r="M414" s="66"/>
      <c r="N414" s="69"/>
      <c r="O414" s="70"/>
    </row>
    <row r="415" spans="2:15" ht="15.75" customHeight="1" x14ac:dyDescent="0.2">
      <c r="B415" s="72" t="s">
        <v>52</v>
      </c>
      <c r="C415" s="73"/>
      <c r="D415" s="74"/>
      <c r="E415" s="95">
        <f>SUM(E400:E414)</f>
        <v>1238.775975</v>
      </c>
      <c r="G415" s="72" t="s">
        <v>52</v>
      </c>
      <c r="H415" s="73"/>
      <c r="I415" s="74"/>
      <c r="J415" s="95">
        <f>SUM(J400:J414)</f>
        <v>1278.26</v>
      </c>
      <c r="L415" s="72" t="s">
        <v>52</v>
      </c>
      <c r="M415" s="73"/>
      <c r="N415" s="74"/>
      <c r="O415" s="95" t="e">
        <f>SUM(O400:O414)</f>
        <v>#N/A</v>
      </c>
    </row>
    <row r="416" spans="2:15" ht="15.75" customHeight="1" x14ac:dyDescent="0.2">
      <c r="B416" s="76" t="s">
        <v>53</v>
      </c>
      <c r="C416" s="77"/>
      <c r="D416" s="78"/>
      <c r="E416" s="96">
        <f>SUM(E415)</f>
        <v>1238.775975</v>
      </c>
      <c r="G416" s="76" t="s">
        <v>53</v>
      </c>
      <c r="H416" s="77"/>
      <c r="I416" s="78"/>
      <c r="J416" s="96">
        <f>SUM(J415)</f>
        <v>1278.26</v>
      </c>
      <c r="L416" s="76" t="s">
        <v>53</v>
      </c>
      <c r="M416" s="77"/>
      <c r="N416" s="78"/>
      <c r="O416" s="96" t="e">
        <f>SUM(O415)</f>
        <v>#N/A</v>
      </c>
    </row>
    <row r="417" spans="2:16" ht="15.75" customHeight="1" x14ac:dyDescent="0.2">
      <c r="B417" s="76" t="s">
        <v>54</v>
      </c>
      <c r="C417" s="77"/>
      <c r="D417" s="78"/>
      <c r="E417" s="96">
        <f>+E416/7</f>
        <v>176.96799642857144</v>
      </c>
      <c r="G417" s="76" t="s">
        <v>54</v>
      </c>
      <c r="H417" s="77"/>
      <c r="I417" s="78"/>
      <c r="J417" s="96">
        <f>+J416/6</f>
        <v>213.04333333333332</v>
      </c>
      <c r="L417" s="76" t="s">
        <v>54</v>
      </c>
      <c r="M417" s="77"/>
      <c r="N417" s="78"/>
      <c r="O417" s="96" t="e">
        <f>+O416</f>
        <v>#N/A</v>
      </c>
    </row>
    <row r="418" spans="2:16" ht="15.75" customHeight="1" x14ac:dyDescent="0.2">
      <c r="B418" s="76" t="s">
        <v>55</v>
      </c>
      <c r="C418" s="77"/>
      <c r="D418" s="80">
        <v>0.3</v>
      </c>
      <c r="E418" s="81"/>
      <c r="F418" s="124">
        <f>E419-(E419*5%)</f>
        <v>560.39865535714227</v>
      </c>
      <c r="G418" s="76" t="s">
        <v>55</v>
      </c>
      <c r="H418" s="77"/>
      <c r="I418" s="80">
        <v>0.3</v>
      </c>
      <c r="J418" s="81"/>
      <c r="K418" s="124">
        <f>J419-(J419*5%)</f>
        <v>674.63722222222157</v>
      </c>
      <c r="L418" s="76" t="s">
        <v>55</v>
      </c>
      <c r="M418" s="77"/>
      <c r="N418" s="80">
        <v>0.3</v>
      </c>
      <c r="O418" s="81"/>
      <c r="P418" s="124" t="e">
        <f>O419-(O419*5%)</f>
        <v>#N/A</v>
      </c>
    </row>
    <row r="419" spans="2:16" ht="15.75" customHeight="1" x14ac:dyDescent="0.2">
      <c r="B419" s="76" t="s">
        <v>56</v>
      </c>
      <c r="C419" s="77"/>
      <c r="D419" s="82"/>
      <c r="E419" s="96">
        <f>+E417*3.33333333333333</f>
        <v>589.89332142857086</v>
      </c>
      <c r="F419" s="124">
        <f>E419-(E419*10%)</f>
        <v>530.90398928571381</v>
      </c>
      <c r="G419" s="76" t="s">
        <v>56</v>
      </c>
      <c r="H419" s="77"/>
      <c r="I419" s="82"/>
      <c r="J419" s="96">
        <f>+J417*3.33333333333333</f>
        <v>710.14444444444371</v>
      </c>
      <c r="K419" s="124">
        <f>J419-(J419*10%)</f>
        <v>639.12999999999931</v>
      </c>
      <c r="L419" s="76" t="s">
        <v>56</v>
      </c>
      <c r="M419" s="77"/>
      <c r="N419" s="82"/>
      <c r="O419" s="96" t="e">
        <f>+O417*3.33333333333333</f>
        <v>#N/A</v>
      </c>
      <c r="P419" s="124" t="e">
        <f>O419-(O419*10%)</f>
        <v>#N/A</v>
      </c>
    </row>
    <row r="420" spans="2:16" ht="15.75" customHeight="1" x14ac:dyDescent="0.2">
      <c r="B420" s="76" t="s">
        <v>250</v>
      </c>
      <c r="C420" s="77"/>
      <c r="D420" s="78"/>
      <c r="E420" s="96">
        <v>531</v>
      </c>
      <c r="F420" s="124">
        <f>E419-(E419*15%)</f>
        <v>501.40932321428522</v>
      </c>
      <c r="G420" s="76" t="s">
        <v>250</v>
      </c>
      <c r="H420" s="77"/>
      <c r="I420" s="78"/>
      <c r="J420" s="96">
        <v>639</v>
      </c>
      <c r="K420" s="124">
        <f>J419-(J419*15%)</f>
        <v>603.62277777777717</v>
      </c>
      <c r="L420" s="76" t="s">
        <v>250</v>
      </c>
      <c r="M420" s="77"/>
      <c r="N420" s="78"/>
      <c r="O420" s="96"/>
      <c r="P420" s="124" t="e">
        <f>O419-(O419*15%)</f>
        <v>#N/A</v>
      </c>
    </row>
    <row r="421" spans="2:16" ht="15.75" customHeight="1" x14ac:dyDescent="0.2">
      <c r="B421" s="71"/>
      <c r="C421" s="77"/>
      <c r="D421" s="78"/>
      <c r="E421" s="95">
        <f>+E420-E419</f>
        <v>-58.893321428570857</v>
      </c>
      <c r="G421" s="71"/>
      <c r="H421" s="77"/>
      <c r="I421" s="78"/>
      <c r="J421" s="95">
        <f>+J420-J419</f>
        <v>-71.144444444443707</v>
      </c>
      <c r="L421" s="71"/>
      <c r="M421" s="77"/>
      <c r="N421" s="78"/>
      <c r="O421" s="95" t="e">
        <f>+O420-O419</f>
        <v>#N/A</v>
      </c>
    </row>
    <row r="422" spans="2:16" ht="15.75" customHeight="1" x14ac:dyDescent="0.2">
      <c r="B422" s="32" t="s">
        <v>58</v>
      </c>
      <c r="C422" s="83"/>
      <c r="D422" s="110"/>
      <c r="E422" s="98">
        <f>E417/E420</f>
        <v>0.33327306295399517</v>
      </c>
      <c r="G422" s="32" t="s">
        <v>58</v>
      </c>
      <c r="H422" s="83"/>
      <c r="I422" s="110"/>
      <c r="J422" s="98">
        <f>J417/J420</f>
        <v>0.33340114762649969</v>
      </c>
      <c r="L422" s="32" t="s">
        <v>58</v>
      </c>
      <c r="M422" s="83"/>
      <c r="N422" s="110"/>
      <c r="O422" s="98" t="e">
        <f>O417/O420</f>
        <v>#N/A</v>
      </c>
    </row>
    <row r="423" spans="2:16" ht="15.75" customHeight="1" x14ac:dyDescent="0.15"/>
    <row r="424" spans="2:16" ht="15.75" customHeight="1" x14ac:dyDescent="0.15"/>
    <row r="425" spans="2:16" ht="15.75" customHeight="1" x14ac:dyDescent="0.2">
      <c r="B425" s="218" t="s">
        <v>561</v>
      </c>
      <c r="C425" s="213"/>
      <c r="D425" s="213"/>
      <c r="E425" s="214"/>
      <c r="G425" s="218" t="s">
        <v>562</v>
      </c>
      <c r="H425" s="213"/>
      <c r="I425" s="213"/>
      <c r="J425" s="214"/>
      <c r="L425" s="218" t="s">
        <v>563</v>
      </c>
      <c r="M425" s="213"/>
      <c r="N425" s="213"/>
      <c r="O425" s="214"/>
    </row>
    <row r="426" spans="2:16" ht="15.75" customHeight="1" x14ac:dyDescent="0.2">
      <c r="B426" s="64"/>
      <c r="C426" s="65" t="s">
        <v>8</v>
      </c>
      <c r="D426" s="7" t="s">
        <v>9</v>
      </c>
      <c r="E426" s="8" t="s">
        <v>10</v>
      </c>
      <c r="G426" s="64"/>
      <c r="H426" s="65" t="s">
        <v>8</v>
      </c>
      <c r="I426" s="7" t="s">
        <v>9</v>
      </c>
      <c r="J426" s="8" t="s">
        <v>10</v>
      </c>
      <c r="L426" s="64"/>
      <c r="M426" s="65" t="s">
        <v>8</v>
      </c>
      <c r="N426" s="7" t="s">
        <v>9</v>
      </c>
      <c r="O426" s="8" t="s">
        <v>10</v>
      </c>
    </row>
    <row r="427" spans="2:16" ht="15.75" customHeight="1" x14ac:dyDescent="0.2">
      <c r="B427" s="107" t="s">
        <v>238</v>
      </c>
      <c r="C427" s="68">
        <v>0.13500000000000001</v>
      </c>
      <c r="D427" s="94">
        <f>+VLOOKUP(B427,'PRECIO PROVEEDORES'!$A$2:$B$716,2,0)</f>
        <v>36068</v>
      </c>
      <c r="E427" s="12">
        <f t="shared" ref="E427:E435" si="44">+C427*D427</f>
        <v>4869.18</v>
      </c>
      <c r="G427" s="66" t="s">
        <v>237</v>
      </c>
      <c r="H427" s="68">
        <v>0.53</v>
      </c>
      <c r="I427" s="94">
        <f>+VLOOKUP(G427,'PRECIO PROVEEDORES'!$A$2:$B$716,2,0)</f>
        <v>1043.22</v>
      </c>
      <c r="J427" s="12">
        <f t="shared" ref="J427:J436" si="45">+H427*I427</f>
        <v>552.90660000000003</v>
      </c>
      <c r="L427" s="66" t="s">
        <v>247</v>
      </c>
      <c r="M427" s="68">
        <v>0.125</v>
      </c>
      <c r="N427" s="94">
        <f>+VLOOKUP(L427,'PRECIO PROVEEDORES'!$A$2:$B$716,2,0)</f>
        <v>12000</v>
      </c>
      <c r="O427" s="12">
        <f t="shared" ref="O427:O437" si="46">+M427*N427</f>
        <v>1500</v>
      </c>
    </row>
    <row r="428" spans="2:16" ht="15.75" customHeight="1" x14ac:dyDescent="0.2">
      <c r="B428" s="7" t="s">
        <v>500</v>
      </c>
      <c r="C428" s="68">
        <v>0.13500000000000001</v>
      </c>
      <c r="D428" s="94">
        <f>+VLOOKUP(B428,'PRECIO PROVEEDORES'!$A$2:$B$716,2,0)</f>
        <v>10030</v>
      </c>
      <c r="E428" s="12">
        <f t="shared" si="44"/>
        <v>1354.0500000000002</v>
      </c>
      <c r="G428" s="64" t="s">
        <v>273</v>
      </c>
      <c r="H428" s="68">
        <v>9.5000000000000001E-2</v>
      </c>
      <c r="I428" s="94">
        <f>+VLOOKUP(G428,'PRECIO PROVEEDORES'!$A$2:$B$716,2,0)</f>
        <v>2191</v>
      </c>
      <c r="J428" s="12">
        <f t="shared" si="45"/>
        <v>208.14500000000001</v>
      </c>
      <c r="L428" s="64" t="s">
        <v>564</v>
      </c>
      <c r="M428" s="68">
        <v>0.33</v>
      </c>
      <c r="N428" s="94">
        <f>+VLOOKUP(L428,'PRECIO PROVEEDORES'!$A$2:$B$716,2,0)</f>
        <v>1911</v>
      </c>
      <c r="O428" s="12">
        <f t="shared" si="46"/>
        <v>630.63</v>
      </c>
    </row>
    <row r="429" spans="2:16" ht="15.75" customHeight="1" x14ac:dyDescent="0.2">
      <c r="B429" s="71" t="s">
        <v>247</v>
      </c>
      <c r="C429" s="126">
        <v>0.155</v>
      </c>
      <c r="D429" s="94">
        <f>+VLOOKUP(B429,'PRECIO PROVEEDORES'!$A$2:$B$716,2,0)</f>
        <v>12000</v>
      </c>
      <c r="E429" s="12">
        <f t="shared" si="44"/>
        <v>1860</v>
      </c>
      <c r="G429" s="71" t="s">
        <v>210</v>
      </c>
      <c r="H429" s="126">
        <v>0.105</v>
      </c>
      <c r="I429" s="94">
        <f>+VLOOKUP(G429,'PRECIO PROVEEDORES'!$A$2:$B$716,2,0)</f>
        <v>1352</v>
      </c>
      <c r="J429" s="12">
        <f t="shared" si="45"/>
        <v>141.96</v>
      </c>
      <c r="L429" s="71" t="s">
        <v>274</v>
      </c>
      <c r="M429" s="126">
        <v>0.26</v>
      </c>
      <c r="N429" s="94">
        <f>+VLOOKUP(L429,'PRECIO PROVEEDORES'!$A$2:$B$716,2,0)</f>
        <v>5987</v>
      </c>
      <c r="O429" s="12">
        <f t="shared" si="46"/>
        <v>1556.6200000000001</v>
      </c>
    </row>
    <row r="430" spans="2:16" ht="15.75" customHeight="1" x14ac:dyDescent="0.2">
      <c r="B430" s="66" t="s">
        <v>564</v>
      </c>
      <c r="C430" s="68">
        <v>0.33500000000000002</v>
      </c>
      <c r="D430" s="94">
        <f>+VLOOKUP(B430,'PRECIO PROVEEDORES'!$A$2:$B$716,2,0)</f>
        <v>1911</v>
      </c>
      <c r="E430" s="12">
        <f t="shared" si="44"/>
        <v>640.18500000000006</v>
      </c>
      <c r="G430" s="66" t="s">
        <v>49</v>
      </c>
      <c r="H430" s="68">
        <v>5.0000000000000001E-3</v>
      </c>
      <c r="I430" s="94">
        <f>+VLOOKUP(G430,'PRECIO PROVEEDORES'!$A$2:$B$716,2,0)</f>
        <v>1633</v>
      </c>
      <c r="J430" s="12">
        <f t="shared" si="45"/>
        <v>8.1650000000000009</v>
      </c>
      <c r="L430" s="66" t="s">
        <v>17</v>
      </c>
      <c r="M430" s="68">
        <v>2</v>
      </c>
      <c r="N430" s="94">
        <f>+VLOOKUP(L430,'PRECIO PROVEEDORES'!$A$2:$B$716,2,0)</f>
        <v>192</v>
      </c>
      <c r="O430" s="12">
        <f t="shared" si="46"/>
        <v>384</v>
      </c>
    </row>
    <row r="431" spans="2:16" ht="15.75" customHeight="1" x14ac:dyDescent="0.2">
      <c r="B431" s="66" t="s">
        <v>17</v>
      </c>
      <c r="C431" s="68">
        <v>4</v>
      </c>
      <c r="D431" s="94">
        <f>+VLOOKUP(B431,'PRECIO PROVEEDORES'!$A$2:$B$716,2,0)</f>
        <v>192</v>
      </c>
      <c r="E431" s="12">
        <f t="shared" si="44"/>
        <v>768</v>
      </c>
      <c r="G431" s="66" t="s">
        <v>245</v>
      </c>
      <c r="H431" s="68">
        <v>8.0000000000000002E-3</v>
      </c>
      <c r="I431" s="94">
        <f>+VLOOKUP(G431,'PRECIO PROVEEDORES'!$A$2:$B$716,2,0)</f>
        <v>2517</v>
      </c>
      <c r="J431" s="12">
        <f t="shared" si="45"/>
        <v>20.135999999999999</v>
      </c>
      <c r="L431" s="66" t="s">
        <v>239</v>
      </c>
      <c r="M431" s="68">
        <v>0.27</v>
      </c>
      <c r="N431" s="94">
        <f>+VLOOKUP(L431,'PRECIO PROVEEDORES'!$A$2:$B$716,2,0)</f>
        <v>890</v>
      </c>
      <c r="O431" s="12">
        <f t="shared" si="46"/>
        <v>240.3</v>
      </c>
    </row>
    <row r="432" spans="2:16" ht="15.75" customHeight="1" x14ac:dyDescent="0.2">
      <c r="B432" s="66" t="s">
        <v>239</v>
      </c>
      <c r="C432" s="68">
        <v>0.09</v>
      </c>
      <c r="D432" s="94">
        <f>+VLOOKUP(B432,'PRECIO PROVEEDORES'!$A$2:$B$716,2,0)</f>
        <v>890</v>
      </c>
      <c r="E432" s="12">
        <f t="shared" si="44"/>
        <v>80.099999999999994</v>
      </c>
      <c r="G432" s="66" t="s">
        <v>266</v>
      </c>
      <c r="H432" s="68">
        <v>0.02</v>
      </c>
      <c r="I432" s="94">
        <f>+VLOOKUP(G432,'PRECIO PROVEEDORES'!$A$2:$B$716,2,0)</f>
        <v>6040</v>
      </c>
      <c r="J432" s="12">
        <f t="shared" si="45"/>
        <v>120.8</v>
      </c>
      <c r="L432" s="66" t="s">
        <v>266</v>
      </c>
      <c r="M432" s="68">
        <v>2E-3</v>
      </c>
      <c r="N432" s="94">
        <f>+VLOOKUP(L432,'PRECIO PROVEEDORES'!$A$2:$B$716,2,0)</f>
        <v>6040</v>
      </c>
      <c r="O432" s="12">
        <f t="shared" si="46"/>
        <v>12.08</v>
      </c>
    </row>
    <row r="433" spans="2:15" ht="15.75" customHeight="1" x14ac:dyDescent="0.2">
      <c r="B433" s="66" t="s">
        <v>275</v>
      </c>
      <c r="C433" s="68">
        <v>3.5000000000000003E-2</v>
      </c>
      <c r="D433" s="94">
        <f>+VLOOKUP(B433,'PRECIO PROVEEDORES'!$A$2:$B$716,2,0)</f>
        <v>13205</v>
      </c>
      <c r="E433" s="12">
        <f t="shared" si="44"/>
        <v>462.17500000000007</v>
      </c>
      <c r="G433" s="66" t="s">
        <v>247</v>
      </c>
      <c r="H433" s="68">
        <v>0.22500000000000001</v>
      </c>
      <c r="I433" s="94">
        <f>+VLOOKUP(G433,'PRECIO PROVEEDORES'!$A$2:$B$716,2,0)</f>
        <v>12000</v>
      </c>
      <c r="J433" s="12">
        <f t="shared" si="45"/>
        <v>2700</v>
      </c>
      <c r="L433" s="66" t="s">
        <v>245</v>
      </c>
      <c r="M433" s="68">
        <v>2E-3</v>
      </c>
      <c r="N433" s="94">
        <f>+VLOOKUP(L433,'PRECIO PROVEEDORES'!$A$2:$B$716,2,0)</f>
        <v>2517</v>
      </c>
      <c r="O433" s="12">
        <f t="shared" si="46"/>
        <v>5.0339999999999998</v>
      </c>
    </row>
    <row r="434" spans="2:15" ht="15.75" customHeight="1" x14ac:dyDescent="0.2">
      <c r="B434" s="64" t="s">
        <v>259</v>
      </c>
      <c r="C434" s="68">
        <v>0.05</v>
      </c>
      <c r="D434" s="94">
        <f>+VLOOKUP(B434,'PRECIO PROVEEDORES'!$A$2:$B$716,2,0)</f>
        <v>25872</v>
      </c>
      <c r="E434" s="12">
        <f t="shared" si="44"/>
        <v>1293.6000000000001</v>
      </c>
      <c r="G434" s="64" t="s">
        <v>17</v>
      </c>
      <c r="H434" s="68">
        <v>3</v>
      </c>
      <c r="I434" s="94">
        <f>+VLOOKUP(G434,'PRECIO PROVEEDORES'!$A$2:$B$716,2,0)</f>
        <v>192</v>
      </c>
      <c r="J434" s="12">
        <f t="shared" si="45"/>
        <v>576</v>
      </c>
      <c r="L434" s="64" t="s">
        <v>49</v>
      </c>
      <c r="M434" s="68">
        <v>5.0000000000000001E-3</v>
      </c>
      <c r="N434" s="94">
        <f>+VLOOKUP(L434,'PRECIO PROVEEDORES'!$A$2:$B$716,2,0)</f>
        <v>1633</v>
      </c>
      <c r="O434" s="12">
        <f t="shared" si="46"/>
        <v>8.1650000000000009</v>
      </c>
    </row>
    <row r="435" spans="2:15" ht="15.75" customHeight="1" x14ac:dyDescent="0.2">
      <c r="B435" s="71" t="s">
        <v>244</v>
      </c>
      <c r="C435" s="68">
        <v>0.05</v>
      </c>
      <c r="D435" s="94">
        <f>+VLOOKUP(B435,'PRECIO PROVEEDORES'!$A$2:$B$716,2,0)</f>
        <v>24829</v>
      </c>
      <c r="E435" s="12">
        <f t="shared" si="44"/>
        <v>1241.45</v>
      </c>
      <c r="G435" s="71" t="s">
        <v>241</v>
      </c>
      <c r="H435" s="68">
        <v>0.215</v>
      </c>
      <c r="I435" s="94">
        <f>+VLOOKUP(G435,'PRECIO PROVEEDORES'!$A$2:$B$716,2,0)</f>
        <v>10203</v>
      </c>
      <c r="J435" s="12">
        <f t="shared" si="45"/>
        <v>2193.645</v>
      </c>
      <c r="L435" s="71" t="s">
        <v>241</v>
      </c>
      <c r="M435" s="68">
        <v>0.16500000000000001</v>
      </c>
      <c r="N435" s="94">
        <f>+VLOOKUP(L435,'PRECIO PROVEEDORES'!$A$2:$B$716,2,0)</f>
        <v>10203</v>
      </c>
      <c r="O435" s="12">
        <f t="shared" si="46"/>
        <v>1683.4950000000001</v>
      </c>
    </row>
    <row r="436" spans="2:15" ht="15.75" customHeight="1" x14ac:dyDescent="0.2">
      <c r="B436" s="71"/>
      <c r="C436" s="68"/>
      <c r="D436" s="94"/>
      <c r="E436" s="12"/>
      <c r="G436" s="71" t="s">
        <v>548</v>
      </c>
      <c r="H436" s="68">
        <v>0.12</v>
      </c>
      <c r="I436" s="94">
        <f>+VLOOKUP(G436,'PRECIO PROVEEDORES'!$A$2:$B$716,2,0)</f>
        <v>9500</v>
      </c>
      <c r="J436" s="12">
        <f t="shared" si="45"/>
        <v>1140</v>
      </c>
      <c r="L436" s="71" t="s">
        <v>242</v>
      </c>
      <c r="M436" s="68">
        <v>0.03</v>
      </c>
      <c r="N436" s="94">
        <f>+VLOOKUP(L436,'PRECIO PROVEEDORES'!$A$2:$B$716,2,0)</f>
        <v>6062</v>
      </c>
      <c r="O436" s="12">
        <f t="shared" si="46"/>
        <v>181.85999999999999</v>
      </c>
    </row>
    <row r="437" spans="2:15" ht="15.75" customHeight="1" x14ac:dyDescent="0.2">
      <c r="B437" s="71"/>
      <c r="C437" s="66"/>
      <c r="D437" s="69"/>
      <c r="E437" s="70"/>
      <c r="G437" s="71"/>
      <c r="H437" s="66"/>
      <c r="I437" s="69"/>
      <c r="J437" s="70"/>
      <c r="L437" s="7" t="s">
        <v>500</v>
      </c>
      <c r="M437" s="66">
        <v>0.14000000000000001</v>
      </c>
      <c r="N437" s="94">
        <f>+VLOOKUP(L437,'PRECIO PROVEEDORES'!$A$2:$B$716,2,0)</f>
        <v>10030</v>
      </c>
      <c r="O437" s="12">
        <f t="shared" si="46"/>
        <v>1404.2</v>
      </c>
    </row>
    <row r="438" spans="2:15" ht="15.75" customHeight="1" x14ac:dyDescent="0.15">
      <c r="B438" s="71"/>
      <c r="C438" s="66"/>
      <c r="D438" s="69"/>
      <c r="E438" s="70"/>
      <c r="G438" s="71"/>
      <c r="H438" s="66"/>
      <c r="I438" s="69"/>
      <c r="J438" s="70"/>
      <c r="L438" s="71"/>
      <c r="M438" s="66"/>
      <c r="N438" s="69"/>
      <c r="O438" s="70"/>
    </row>
    <row r="439" spans="2:15" ht="15.75" customHeight="1" x14ac:dyDescent="0.15">
      <c r="B439" s="64"/>
      <c r="C439" s="66"/>
      <c r="D439" s="69"/>
      <c r="E439" s="70"/>
      <c r="G439" s="64"/>
      <c r="H439" s="66"/>
      <c r="I439" s="69"/>
      <c r="J439" s="70"/>
      <c r="L439" s="64"/>
      <c r="M439" s="66"/>
      <c r="N439" s="69"/>
      <c r="O439" s="70"/>
    </row>
    <row r="440" spans="2:15" ht="15.75" customHeight="1" x14ac:dyDescent="0.15">
      <c r="B440" s="64"/>
      <c r="C440" s="66"/>
      <c r="D440" s="69"/>
      <c r="E440" s="70"/>
      <c r="G440" s="64"/>
      <c r="H440" s="66"/>
      <c r="I440" s="69"/>
      <c r="J440" s="70"/>
      <c r="L440" s="64"/>
      <c r="M440" s="66"/>
      <c r="N440" s="69"/>
      <c r="O440" s="70"/>
    </row>
    <row r="441" spans="2:15" ht="15.75" customHeight="1" x14ac:dyDescent="0.15">
      <c r="B441" s="64"/>
      <c r="C441" s="66"/>
      <c r="D441" s="69"/>
      <c r="E441" s="70"/>
      <c r="G441" s="64"/>
      <c r="H441" s="66"/>
      <c r="I441" s="69"/>
      <c r="J441" s="70"/>
      <c r="L441" s="64"/>
      <c r="M441" s="66"/>
      <c r="N441" s="69"/>
      <c r="O441" s="70"/>
    </row>
    <row r="442" spans="2:15" ht="15.75" customHeight="1" x14ac:dyDescent="0.2">
      <c r="B442" s="72" t="s">
        <v>52</v>
      </c>
      <c r="C442" s="73"/>
      <c r="D442" s="74"/>
      <c r="E442" s="95">
        <f>SUM(E427:E441)</f>
        <v>12568.740000000002</v>
      </c>
      <c r="G442" s="72" t="s">
        <v>52</v>
      </c>
      <c r="H442" s="73"/>
      <c r="I442" s="74"/>
      <c r="J442" s="95">
        <f>SUM(J427:J441)</f>
        <v>7661.7576000000008</v>
      </c>
      <c r="L442" s="72" t="s">
        <v>52</v>
      </c>
      <c r="M442" s="73"/>
      <c r="N442" s="74"/>
      <c r="O442" s="95">
        <f>SUM(O427:O441)</f>
        <v>7606.3839999999991</v>
      </c>
    </row>
    <row r="443" spans="2:15" ht="15.75" customHeight="1" x14ac:dyDescent="0.2">
      <c r="B443" s="76" t="s">
        <v>53</v>
      </c>
      <c r="C443" s="77"/>
      <c r="D443" s="78"/>
      <c r="E443" s="96">
        <f>SUM(E442)</f>
        <v>12568.740000000002</v>
      </c>
      <c r="G443" s="76" t="s">
        <v>53</v>
      </c>
      <c r="H443" s="77"/>
      <c r="I443" s="78"/>
      <c r="J443" s="96">
        <f>SUM(J442)</f>
        <v>7661.7576000000008</v>
      </c>
      <c r="L443" s="76" t="s">
        <v>53</v>
      </c>
      <c r="M443" s="77"/>
      <c r="N443" s="78"/>
      <c r="O443" s="96">
        <f>SUM(O442)</f>
        <v>7606.3839999999991</v>
      </c>
    </row>
    <row r="444" spans="2:15" ht="15.75" customHeight="1" x14ac:dyDescent="0.2">
      <c r="B444" s="76" t="s">
        <v>54</v>
      </c>
      <c r="C444" s="77"/>
      <c r="D444" s="78"/>
      <c r="E444" s="96">
        <f>+E443/8</f>
        <v>1571.0925000000002</v>
      </c>
      <c r="G444" s="76" t="s">
        <v>54</v>
      </c>
      <c r="H444" s="77"/>
      <c r="I444" s="78"/>
      <c r="J444" s="96">
        <f>+J443/8</f>
        <v>957.7197000000001</v>
      </c>
      <c r="L444" s="76" t="s">
        <v>54</v>
      </c>
      <c r="M444" s="77"/>
      <c r="N444" s="78"/>
      <c r="O444" s="96">
        <f>+O443/10</f>
        <v>760.63839999999993</v>
      </c>
    </row>
    <row r="445" spans="2:15" ht="15.75" customHeight="1" x14ac:dyDescent="0.2">
      <c r="B445" s="76" t="s">
        <v>55</v>
      </c>
      <c r="C445" s="77"/>
      <c r="D445" s="80">
        <v>0.3</v>
      </c>
      <c r="E445" s="81"/>
      <c r="G445" s="76" t="s">
        <v>55</v>
      </c>
      <c r="H445" s="77"/>
      <c r="I445" s="80">
        <v>0.3</v>
      </c>
      <c r="J445" s="81"/>
      <c r="L445" s="76" t="s">
        <v>55</v>
      </c>
      <c r="M445" s="77"/>
      <c r="N445" s="80">
        <v>0.3</v>
      </c>
      <c r="O445" s="81"/>
    </row>
    <row r="446" spans="2:15" ht="15.75" customHeight="1" x14ac:dyDescent="0.2">
      <c r="B446" s="76" t="s">
        <v>56</v>
      </c>
      <c r="C446" s="77"/>
      <c r="D446" s="82"/>
      <c r="E446" s="96">
        <f>+E444*3.33333333333333</f>
        <v>5236.9749999999949</v>
      </c>
      <c r="G446" s="76" t="s">
        <v>56</v>
      </c>
      <c r="H446" s="77"/>
      <c r="I446" s="82"/>
      <c r="J446" s="96">
        <f>+J444*3.33333333333333</f>
        <v>3192.3989999999972</v>
      </c>
      <c r="L446" s="76" t="s">
        <v>56</v>
      </c>
      <c r="M446" s="77"/>
      <c r="N446" s="82"/>
      <c r="O446" s="96">
        <f>+O444*3.33333333333333</f>
        <v>2535.4613333333305</v>
      </c>
    </row>
    <row r="447" spans="2:15" ht="15.75" customHeight="1" x14ac:dyDescent="0.2">
      <c r="B447" s="76" t="s">
        <v>250</v>
      </c>
      <c r="C447" s="77"/>
      <c r="D447" s="78"/>
      <c r="E447" s="96">
        <v>4452</v>
      </c>
      <c r="G447" s="76" t="s">
        <v>250</v>
      </c>
      <c r="H447" s="77"/>
      <c r="I447" s="78"/>
      <c r="J447" s="96">
        <v>2546</v>
      </c>
      <c r="L447" s="76" t="s">
        <v>250</v>
      </c>
      <c r="M447" s="77"/>
      <c r="N447" s="78"/>
      <c r="O447" s="96">
        <v>1831</v>
      </c>
    </row>
    <row r="448" spans="2:15" ht="15.75" customHeight="1" x14ac:dyDescent="0.2">
      <c r="B448" s="71"/>
      <c r="C448" s="77"/>
      <c r="D448" s="78"/>
      <c r="E448" s="95">
        <f>+E447-E446</f>
        <v>-784.97499999999491</v>
      </c>
      <c r="G448" s="71"/>
      <c r="H448" s="77"/>
      <c r="I448" s="78"/>
      <c r="J448" s="95">
        <f>+J447-J446</f>
        <v>-646.39899999999716</v>
      </c>
      <c r="L448" s="71"/>
      <c r="M448" s="77"/>
      <c r="N448" s="78"/>
      <c r="O448" s="95">
        <f>+O447-O446</f>
        <v>-704.46133333333046</v>
      </c>
    </row>
    <row r="449" spans="2:15" ht="15.75" customHeight="1" x14ac:dyDescent="0.2">
      <c r="B449" s="32" t="s">
        <v>58</v>
      </c>
      <c r="C449" s="83"/>
      <c r="D449" s="110"/>
      <c r="E449" s="98">
        <f>E444/E447</f>
        <v>0.35289588948787065</v>
      </c>
      <c r="G449" s="32" t="s">
        <v>58</v>
      </c>
      <c r="H449" s="83"/>
      <c r="I449" s="110"/>
      <c r="J449" s="98">
        <f>J444/J447</f>
        <v>0.3761664179104478</v>
      </c>
      <c r="L449" s="32" t="s">
        <v>58</v>
      </c>
      <c r="M449" s="83"/>
      <c r="N449" s="110"/>
      <c r="O449" s="98">
        <f>O444/O447</f>
        <v>0.41542239213544507</v>
      </c>
    </row>
    <row r="450" spans="2:15" ht="15.75" customHeight="1" x14ac:dyDescent="0.15"/>
    <row r="451" spans="2:15" ht="15.75" customHeight="1" x14ac:dyDescent="0.15"/>
    <row r="452" spans="2:15" ht="15.75" customHeight="1" x14ac:dyDescent="0.2">
      <c r="B452" s="218" t="s">
        <v>565</v>
      </c>
      <c r="C452" s="213"/>
      <c r="D452" s="213"/>
      <c r="E452" s="214"/>
      <c r="G452" s="218" t="s">
        <v>566</v>
      </c>
      <c r="H452" s="213"/>
      <c r="I452" s="213"/>
      <c r="J452" s="214"/>
      <c r="L452" s="218" t="s">
        <v>567</v>
      </c>
      <c r="M452" s="213"/>
      <c r="N452" s="213"/>
      <c r="O452" s="214"/>
    </row>
    <row r="453" spans="2:15" ht="15.75" customHeight="1" x14ac:dyDescent="0.2">
      <c r="B453" s="64"/>
      <c r="C453" s="65" t="s">
        <v>8</v>
      </c>
      <c r="D453" s="7" t="s">
        <v>9</v>
      </c>
      <c r="E453" s="8" t="s">
        <v>10</v>
      </c>
      <c r="G453" s="64"/>
      <c r="H453" s="65" t="s">
        <v>8</v>
      </c>
      <c r="I453" s="7" t="s">
        <v>9</v>
      </c>
      <c r="J453" s="8" t="s">
        <v>10</v>
      </c>
      <c r="L453" s="64"/>
      <c r="M453" s="65" t="s">
        <v>8</v>
      </c>
      <c r="N453" s="7" t="s">
        <v>9</v>
      </c>
      <c r="O453" s="8" t="s">
        <v>10</v>
      </c>
    </row>
    <row r="454" spans="2:15" ht="15.75" customHeight="1" x14ac:dyDescent="0.2">
      <c r="B454" s="66" t="s">
        <v>247</v>
      </c>
      <c r="C454" s="68">
        <v>0.16500000000000001</v>
      </c>
      <c r="D454" s="94">
        <f>+VLOOKUP(B454,'PRECIO PROVEEDORES'!$A$2:$B$716,2,0)</f>
        <v>12000</v>
      </c>
      <c r="E454" s="12">
        <f t="shared" ref="E454:E459" si="47">+C454*D454</f>
        <v>1980</v>
      </c>
      <c r="G454" s="66" t="s">
        <v>568</v>
      </c>
      <c r="H454" s="68">
        <v>1</v>
      </c>
      <c r="I454" s="94">
        <f>+VLOOKUP(G454,'PRECIO PROVEEDORES'!$A$2:$B$716,2,0)</f>
        <v>7173</v>
      </c>
      <c r="J454" s="12">
        <f t="shared" ref="J454:J456" si="48">+H454*I454</f>
        <v>7173</v>
      </c>
      <c r="L454" s="13" t="s">
        <v>247</v>
      </c>
      <c r="M454" s="10">
        <v>0.22500000000000001</v>
      </c>
      <c r="N454" s="94">
        <f>+VLOOKUP(L454,'PRECIO PROVEEDORES'!$A$2:$B$716,2,0)</f>
        <v>12000</v>
      </c>
      <c r="O454" s="12">
        <f t="shared" ref="O454:O467" si="49">+M454*N454</f>
        <v>2700</v>
      </c>
    </row>
    <row r="455" spans="2:15" ht="15.75" customHeight="1" x14ac:dyDescent="0.2">
      <c r="B455" s="64" t="s">
        <v>210</v>
      </c>
      <c r="C455" s="68">
        <v>0.22500000000000001</v>
      </c>
      <c r="D455" s="94">
        <f>+VLOOKUP(B455,'PRECIO PROVEEDORES'!$A$2:$B$716,2,0)</f>
        <v>1352</v>
      </c>
      <c r="E455" s="12">
        <f t="shared" si="47"/>
        <v>304.2</v>
      </c>
      <c r="G455" s="66" t="s">
        <v>210</v>
      </c>
      <c r="H455" s="68">
        <v>0.5</v>
      </c>
      <c r="I455" s="94">
        <f>+VLOOKUP(G455,'PRECIO PROVEEDORES'!$A$2:$B$716,2,0)</f>
        <v>1352</v>
      </c>
      <c r="J455" s="12">
        <f t="shared" si="48"/>
        <v>676</v>
      </c>
      <c r="L455" s="13" t="s">
        <v>210</v>
      </c>
      <c r="M455" s="10">
        <v>0.2</v>
      </c>
      <c r="N455" s="94">
        <f>+VLOOKUP(L455,'PRECIO PROVEEDORES'!$A$2:$B$716,2,0)</f>
        <v>1352</v>
      </c>
      <c r="O455" s="12">
        <f t="shared" si="49"/>
        <v>270.40000000000003</v>
      </c>
    </row>
    <row r="456" spans="2:15" ht="15.75" customHeight="1" x14ac:dyDescent="0.2">
      <c r="B456" s="71" t="s">
        <v>17</v>
      </c>
      <c r="C456" s="126">
        <v>6</v>
      </c>
      <c r="D456" s="94">
        <f>+VLOOKUP(B456,'PRECIO PROVEEDORES'!$A$2:$B$716,2,0)</f>
        <v>192</v>
      </c>
      <c r="E456" s="12">
        <f t="shared" si="47"/>
        <v>1152</v>
      </c>
      <c r="G456" s="66" t="s">
        <v>393</v>
      </c>
      <c r="H456" s="68">
        <v>4.0000000000000001E-3</v>
      </c>
      <c r="I456" s="94">
        <f>+VLOOKUP(G456,'PRECIO PROVEEDORES'!$A$2:$B$716,2,0)</f>
        <v>64600</v>
      </c>
      <c r="J456" s="12">
        <f t="shared" si="48"/>
        <v>258.39999999999998</v>
      </c>
      <c r="L456" s="7" t="s">
        <v>240</v>
      </c>
      <c r="M456" s="10">
        <v>0.2</v>
      </c>
      <c r="N456" s="94">
        <f>+VLOOKUP(L456,'PRECIO PROVEEDORES'!$A$2:$B$716,2,0)</f>
        <v>1624.77</v>
      </c>
      <c r="O456" s="12">
        <f t="shared" si="49"/>
        <v>324.95400000000001</v>
      </c>
    </row>
    <row r="457" spans="2:15" ht="15.75" customHeight="1" x14ac:dyDescent="0.2">
      <c r="B457" s="66" t="s">
        <v>239</v>
      </c>
      <c r="C457" s="68">
        <v>0.27500000000000002</v>
      </c>
      <c r="D457" s="94">
        <f>+VLOOKUP(B457,'PRECIO PROVEEDORES'!$A$2:$B$716,2,0)</f>
        <v>890</v>
      </c>
      <c r="E457" s="12">
        <f t="shared" si="47"/>
        <v>244.75000000000003</v>
      </c>
      <c r="G457" s="66"/>
      <c r="H457" s="68"/>
      <c r="I457" s="94"/>
      <c r="J457" s="12"/>
      <c r="L457" s="7" t="s">
        <v>506</v>
      </c>
      <c r="M457" s="126">
        <v>4.0000000000000001E-3</v>
      </c>
      <c r="N457" s="94">
        <f>+VLOOKUP(L457,'PRECIO PROVEEDORES'!$A$2:$B$716,2,0)</f>
        <v>93400</v>
      </c>
      <c r="O457" s="12">
        <f t="shared" si="49"/>
        <v>373.6</v>
      </c>
    </row>
    <row r="458" spans="2:15" ht="15.75" customHeight="1" x14ac:dyDescent="0.2">
      <c r="B458" s="66" t="s">
        <v>266</v>
      </c>
      <c r="C458" s="68">
        <v>1.7999999999999999E-2</v>
      </c>
      <c r="D458" s="94">
        <f>+VLOOKUP(B458,'PRECIO PROVEEDORES'!$A$2:$B$716,2,0)</f>
        <v>6040</v>
      </c>
      <c r="E458" s="12">
        <f t="shared" si="47"/>
        <v>108.72</v>
      </c>
      <c r="G458" s="66"/>
      <c r="H458" s="103"/>
      <c r="I458" s="94"/>
      <c r="J458" s="12"/>
      <c r="L458" s="13" t="s">
        <v>265</v>
      </c>
      <c r="M458" s="10">
        <v>5.0000000000000001E-3</v>
      </c>
      <c r="N458" s="94">
        <f>+VLOOKUP(L458,'PRECIO PROVEEDORES'!$A$2:$B$716,2,0)</f>
        <v>2118</v>
      </c>
      <c r="O458" s="12">
        <f t="shared" si="49"/>
        <v>10.59</v>
      </c>
    </row>
    <row r="459" spans="2:15" ht="15.75" customHeight="1" x14ac:dyDescent="0.2">
      <c r="B459" s="66" t="s">
        <v>30</v>
      </c>
      <c r="C459" s="68">
        <v>0.125</v>
      </c>
      <c r="D459" s="94">
        <f>+VLOOKUP(B459,'PRECIO PROVEEDORES'!$A$2:$B$716,2,0)</f>
        <v>26000</v>
      </c>
      <c r="E459" s="12">
        <f t="shared" si="47"/>
        <v>3250</v>
      </c>
      <c r="G459" s="66"/>
      <c r="H459" s="68"/>
      <c r="I459" s="94"/>
      <c r="J459" s="12"/>
      <c r="L459" s="13" t="s">
        <v>237</v>
      </c>
      <c r="M459" s="10">
        <v>0.42</v>
      </c>
      <c r="N459" s="94">
        <f>+VLOOKUP(L459,'PRECIO PROVEEDORES'!$A$2:$B$716,2,0)</f>
        <v>1043.22</v>
      </c>
      <c r="O459" s="12">
        <f t="shared" si="49"/>
        <v>438.1524</v>
      </c>
    </row>
    <row r="460" spans="2:15" ht="15.75" customHeight="1" x14ac:dyDescent="0.2">
      <c r="B460" s="66"/>
      <c r="C460" s="68"/>
      <c r="D460" s="94"/>
      <c r="E460" s="12"/>
      <c r="G460" s="66"/>
      <c r="H460" s="103"/>
      <c r="I460" s="94"/>
      <c r="J460" s="12"/>
      <c r="L460" s="7" t="s">
        <v>267</v>
      </c>
      <c r="M460" s="10">
        <v>0.02</v>
      </c>
      <c r="N460" s="94">
        <f>+VLOOKUP(L460,'PRECIO PROVEEDORES'!$A$2:$B$716,2,0)</f>
        <v>13205</v>
      </c>
      <c r="O460" s="12">
        <f t="shared" si="49"/>
        <v>264.10000000000002</v>
      </c>
    </row>
    <row r="461" spans="2:15" ht="15.75" customHeight="1" x14ac:dyDescent="0.2">
      <c r="B461" s="64" t="s">
        <v>244</v>
      </c>
      <c r="C461" s="68">
        <v>0.125</v>
      </c>
      <c r="D461" s="94">
        <f>+VLOOKUP(B461,'PRECIO PROVEEDORES'!$A$2:$B$716,2,0)</f>
        <v>24829</v>
      </c>
      <c r="E461" s="12">
        <f t="shared" ref="E461:E462" si="50">+C461*D461</f>
        <v>3103.625</v>
      </c>
      <c r="G461" s="66"/>
      <c r="H461" s="66"/>
      <c r="I461" s="69"/>
      <c r="J461" s="70"/>
      <c r="L461" s="13" t="s">
        <v>245</v>
      </c>
      <c r="M461" s="36">
        <v>4.0000000000000001E-3</v>
      </c>
      <c r="N461" s="94">
        <f>+VLOOKUP(L461,'PRECIO PROVEEDORES'!$A$2:$B$716,2,0)</f>
        <v>2517</v>
      </c>
      <c r="O461" s="12">
        <f t="shared" si="49"/>
        <v>10.068</v>
      </c>
    </row>
    <row r="462" spans="2:15" ht="15.75" customHeight="1" x14ac:dyDescent="0.2">
      <c r="B462" s="7" t="s">
        <v>299</v>
      </c>
      <c r="C462" s="68">
        <v>5.0000000000000001E-3</v>
      </c>
      <c r="D462" s="94">
        <f>+VLOOKUP(B462,'PRECIO PROVEEDORES'!$A$2:$B$716,2,0)</f>
        <v>18329</v>
      </c>
      <c r="E462" s="12">
        <f t="shared" si="50"/>
        <v>91.644999999999996</v>
      </c>
      <c r="G462" s="128"/>
      <c r="H462" s="66"/>
      <c r="I462" s="69"/>
      <c r="J462" s="70"/>
      <c r="L462" s="13" t="s">
        <v>273</v>
      </c>
      <c r="M462" s="36">
        <v>7.0000000000000001E-3</v>
      </c>
      <c r="N462" s="94">
        <f>+VLOOKUP(L462,'PRECIO PROVEEDORES'!$A$2:$B$716,2,0)</f>
        <v>2191</v>
      </c>
      <c r="O462" s="12">
        <f t="shared" si="49"/>
        <v>15.337</v>
      </c>
    </row>
    <row r="463" spans="2:15" ht="15.75" customHeight="1" x14ac:dyDescent="0.2">
      <c r="B463" s="7"/>
      <c r="C463" s="68"/>
      <c r="D463" s="94"/>
      <c r="E463" s="12"/>
      <c r="G463" s="128"/>
      <c r="H463" s="66"/>
      <c r="I463" s="69"/>
      <c r="J463" s="70"/>
      <c r="L463" s="13" t="s">
        <v>17</v>
      </c>
      <c r="M463" s="36">
        <v>2</v>
      </c>
      <c r="N463" s="94">
        <f>+VLOOKUP(L463,'PRECIO PROVEEDORES'!$A$2:$B$716,2,0)</f>
        <v>192</v>
      </c>
      <c r="O463" s="12">
        <f t="shared" si="49"/>
        <v>384</v>
      </c>
    </row>
    <row r="464" spans="2:15" ht="15.75" customHeight="1" x14ac:dyDescent="0.2">
      <c r="B464" s="71"/>
      <c r="C464" s="66"/>
      <c r="D464" s="69"/>
      <c r="E464" s="70"/>
      <c r="G464" s="128"/>
      <c r="H464" s="66"/>
      <c r="I464" s="69"/>
      <c r="J464" s="70"/>
      <c r="L464" s="108" t="s">
        <v>256</v>
      </c>
      <c r="M464" s="36">
        <v>0.15</v>
      </c>
      <c r="N464" s="94">
        <f>+VLOOKUP(L464,'PRECIO PROVEEDORES'!$A$2:$B$716,2,0)</f>
        <v>34892</v>
      </c>
      <c r="O464" s="12">
        <f t="shared" si="49"/>
        <v>5233.8</v>
      </c>
    </row>
    <row r="465" spans="2:15" ht="15.75" customHeight="1" x14ac:dyDescent="0.2">
      <c r="B465" s="71"/>
      <c r="C465" s="66"/>
      <c r="D465" s="69"/>
      <c r="E465" s="70"/>
      <c r="G465" s="128"/>
      <c r="H465" s="66"/>
      <c r="I465" s="69"/>
      <c r="J465" s="70"/>
      <c r="L465" s="13" t="s">
        <v>166</v>
      </c>
      <c r="M465" s="36">
        <v>0.02</v>
      </c>
      <c r="N465" s="94">
        <f>+VLOOKUP(L465,'PRECIO PROVEEDORES'!$A$2:$B$716,2,0)</f>
        <v>1940</v>
      </c>
      <c r="O465" s="12">
        <f t="shared" si="49"/>
        <v>38.800000000000004</v>
      </c>
    </row>
    <row r="466" spans="2:15" ht="15.75" customHeight="1" x14ac:dyDescent="0.2">
      <c r="B466" s="64"/>
      <c r="C466" s="66"/>
      <c r="D466" s="69"/>
      <c r="E466" s="70"/>
      <c r="G466" s="128"/>
      <c r="H466" s="66"/>
      <c r="I466" s="69"/>
      <c r="J466" s="70"/>
      <c r="L466" s="13" t="s">
        <v>266</v>
      </c>
      <c r="M466" s="36">
        <v>8.0000000000000002E-3</v>
      </c>
      <c r="N466" s="94">
        <f>+VLOOKUP(L466,'PRECIO PROVEEDORES'!$A$2:$B$716,2,0)</f>
        <v>6040</v>
      </c>
      <c r="O466" s="12">
        <f t="shared" si="49"/>
        <v>48.32</v>
      </c>
    </row>
    <row r="467" spans="2:15" ht="15.75" customHeight="1" x14ac:dyDescent="0.2">
      <c r="B467" s="64"/>
      <c r="C467" s="66"/>
      <c r="D467" s="69"/>
      <c r="E467" s="70"/>
      <c r="G467" s="128"/>
      <c r="H467" s="66"/>
      <c r="I467" s="69"/>
      <c r="J467" s="70"/>
      <c r="L467" s="121" t="s">
        <v>444</v>
      </c>
      <c r="M467" s="66">
        <v>0.15</v>
      </c>
      <c r="N467" s="94">
        <f>+VLOOKUP(L467,'PRECIO PROVEEDORES'!$A$2:$B$716,2,0)</f>
        <v>9506</v>
      </c>
      <c r="O467" s="12">
        <f t="shared" si="49"/>
        <v>1425.8999999999999</v>
      </c>
    </row>
    <row r="468" spans="2:15" ht="15.75" customHeight="1" x14ac:dyDescent="0.2">
      <c r="B468" s="64"/>
      <c r="C468" s="66"/>
      <c r="D468" s="69"/>
      <c r="E468" s="70"/>
      <c r="G468" s="66"/>
      <c r="H468" s="66"/>
      <c r="I468" s="69"/>
      <c r="J468" s="70"/>
      <c r="L468" s="13"/>
      <c r="M468" s="36"/>
      <c r="N468" s="94"/>
      <c r="O468" s="12"/>
    </row>
    <row r="469" spans="2:15" ht="15.75" customHeight="1" x14ac:dyDescent="0.2">
      <c r="B469" s="72" t="s">
        <v>52</v>
      </c>
      <c r="C469" s="73"/>
      <c r="D469" s="74"/>
      <c r="E469" s="95">
        <f>SUM(E454:E468)</f>
        <v>10234.94</v>
      </c>
      <c r="G469" s="64"/>
      <c r="H469" s="66"/>
      <c r="I469" s="69"/>
      <c r="J469" s="70"/>
      <c r="L469" s="121"/>
      <c r="M469" s="66"/>
      <c r="N469" s="94"/>
      <c r="O469" s="12"/>
    </row>
    <row r="470" spans="2:15" ht="15.75" customHeight="1" x14ac:dyDescent="0.2">
      <c r="B470" s="76" t="s">
        <v>53</v>
      </c>
      <c r="C470" s="77"/>
      <c r="D470" s="78"/>
      <c r="E470" s="96">
        <f>SUM(E469)</f>
        <v>10234.94</v>
      </c>
      <c r="G470" s="64"/>
      <c r="H470" s="66"/>
      <c r="I470" s="69"/>
      <c r="J470" s="70"/>
      <c r="L470" s="13"/>
      <c r="M470" s="66"/>
      <c r="N470" s="69"/>
      <c r="O470" s="70"/>
    </row>
    <row r="471" spans="2:15" ht="15.75" customHeight="1" x14ac:dyDescent="0.2">
      <c r="B471" s="76" t="s">
        <v>54</v>
      </c>
      <c r="C471" s="77"/>
      <c r="D471" s="78"/>
      <c r="E471" s="96">
        <f>+E470/7</f>
        <v>1462.1342857142859</v>
      </c>
      <c r="G471" s="72" t="s">
        <v>52</v>
      </c>
      <c r="H471" s="73"/>
      <c r="I471" s="74"/>
      <c r="J471" s="95">
        <f>SUM(J454:J470)</f>
        <v>8107.4</v>
      </c>
      <c r="L471" s="72" t="s">
        <v>52</v>
      </c>
      <c r="M471" s="73"/>
      <c r="N471" s="74"/>
      <c r="O471" s="95">
        <f>SUM(O454:O468)</f>
        <v>11538.0214</v>
      </c>
    </row>
    <row r="472" spans="2:15" ht="15.75" customHeight="1" x14ac:dyDescent="0.2">
      <c r="B472" s="76" t="s">
        <v>55</v>
      </c>
      <c r="C472" s="77"/>
      <c r="D472" s="80">
        <v>0.3</v>
      </c>
      <c r="E472" s="81"/>
      <c r="G472" s="76" t="s">
        <v>53</v>
      </c>
      <c r="H472" s="77"/>
      <c r="I472" s="78"/>
      <c r="J472" s="96">
        <f>SUM(J471)</f>
        <v>8107.4</v>
      </c>
      <c r="L472" s="76" t="s">
        <v>53</v>
      </c>
      <c r="M472" s="77"/>
      <c r="N472" s="78"/>
      <c r="O472" s="96">
        <f>SUM(O471)</f>
        <v>11538.0214</v>
      </c>
    </row>
    <row r="473" spans="2:15" ht="15.75" customHeight="1" x14ac:dyDescent="0.2">
      <c r="B473" s="76" t="s">
        <v>56</v>
      </c>
      <c r="C473" s="77"/>
      <c r="D473" s="82"/>
      <c r="E473" s="96">
        <f>+E471*3.33333333333333</f>
        <v>4873.7809523809483</v>
      </c>
      <c r="G473" s="76" t="s">
        <v>54</v>
      </c>
      <c r="H473" s="77"/>
      <c r="I473" s="78"/>
      <c r="J473" s="96">
        <f>+J472*1000/1500</f>
        <v>5404.9333333333334</v>
      </c>
      <c r="L473" s="76" t="s">
        <v>54</v>
      </c>
      <c r="M473" s="77"/>
      <c r="N473" s="78"/>
      <c r="O473" s="96">
        <f>+O472/14</f>
        <v>824.1443857142857</v>
      </c>
    </row>
    <row r="474" spans="2:15" ht="15.75" customHeight="1" x14ac:dyDescent="0.2">
      <c r="B474" s="76" t="s">
        <v>250</v>
      </c>
      <c r="C474" s="77"/>
      <c r="D474" s="78"/>
      <c r="E474" s="96">
        <v>2395</v>
      </c>
      <c r="G474" s="76" t="s">
        <v>55</v>
      </c>
      <c r="H474" s="77"/>
      <c r="I474" s="80">
        <v>0.3</v>
      </c>
      <c r="J474" s="81"/>
      <c r="L474" s="76" t="s">
        <v>55</v>
      </c>
      <c r="M474" s="77"/>
      <c r="N474" s="80">
        <v>0.3</v>
      </c>
      <c r="O474" s="81"/>
    </row>
    <row r="475" spans="2:15" ht="15.75" customHeight="1" x14ac:dyDescent="0.2">
      <c r="B475" s="71"/>
      <c r="C475" s="77"/>
      <c r="D475" s="78"/>
      <c r="E475" s="95">
        <f>+E474-E473</f>
        <v>-2478.7809523809483</v>
      </c>
      <c r="G475" s="76" t="s">
        <v>56</v>
      </c>
      <c r="H475" s="77"/>
      <c r="I475" s="82"/>
      <c r="J475" s="96">
        <f>+J473*3.33333333333333</f>
        <v>18016.444444444427</v>
      </c>
      <c r="L475" s="76" t="s">
        <v>56</v>
      </c>
      <c r="M475" s="77"/>
      <c r="N475" s="82"/>
      <c r="O475" s="96">
        <f>+O473*3.33333333333333</f>
        <v>2747.1479523809494</v>
      </c>
    </row>
    <row r="476" spans="2:15" ht="15.75" customHeight="1" x14ac:dyDescent="0.2">
      <c r="B476" s="32" t="s">
        <v>58</v>
      </c>
      <c r="C476" s="83"/>
      <c r="D476" s="110"/>
      <c r="E476" s="98">
        <f>E471/E474</f>
        <v>0.6104944825529377</v>
      </c>
      <c r="G476" s="76" t="s">
        <v>250</v>
      </c>
      <c r="H476" s="77"/>
      <c r="I476" s="78"/>
      <c r="J476" s="96">
        <v>14000</v>
      </c>
      <c r="L476" s="76" t="s">
        <v>569</v>
      </c>
      <c r="M476" s="77"/>
      <c r="N476" s="77">
        <v>2473</v>
      </c>
      <c r="O476" s="96">
        <v>2500</v>
      </c>
    </row>
    <row r="477" spans="2:15" ht="15.75" customHeight="1" x14ac:dyDescent="0.2">
      <c r="G477" s="71"/>
      <c r="H477" s="77"/>
      <c r="I477" s="78"/>
      <c r="J477" s="95">
        <f>+J476-J475</f>
        <v>-4016.4444444444271</v>
      </c>
      <c r="L477" s="71"/>
      <c r="M477" s="77"/>
      <c r="N477" s="78"/>
      <c r="O477" s="95">
        <f>+O476-O475</f>
        <v>-247.14795238094939</v>
      </c>
    </row>
    <row r="478" spans="2:15" ht="15.75" customHeight="1" x14ac:dyDescent="0.2">
      <c r="G478" s="32" t="s">
        <v>58</v>
      </c>
      <c r="H478" s="83"/>
      <c r="I478" s="110"/>
      <c r="J478" s="98">
        <f>J473/J476</f>
        <v>0.38606666666666667</v>
      </c>
      <c r="L478" s="32" t="s">
        <v>58</v>
      </c>
      <c r="M478" s="83"/>
      <c r="N478" s="83"/>
      <c r="O478" s="98">
        <f>O473/O476</f>
        <v>0.32965775428571426</v>
      </c>
    </row>
    <row r="479" spans="2:15" ht="15.75" customHeight="1" x14ac:dyDescent="0.15"/>
    <row r="480" spans="2:15" ht="15.75" customHeight="1" x14ac:dyDescent="0.15"/>
    <row r="481" spans="2:15" ht="15.75" customHeight="1" x14ac:dyDescent="0.2">
      <c r="B481" s="218" t="s">
        <v>570</v>
      </c>
      <c r="C481" s="213"/>
      <c r="D481" s="213"/>
      <c r="E481" s="214"/>
      <c r="G481" s="218" t="s">
        <v>571</v>
      </c>
      <c r="H481" s="213"/>
      <c r="I481" s="213"/>
      <c r="J481" s="214"/>
      <c r="L481" s="218" t="s">
        <v>572</v>
      </c>
      <c r="M481" s="213"/>
      <c r="N481" s="213"/>
      <c r="O481" s="214"/>
    </row>
    <row r="482" spans="2:15" ht="15.75" customHeight="1" x14ac:dyDescent="0.2">
      <c r="B482" s="64"/>
      <c r="C482" s="65" t="s">
        <v>8</v>
      </c>
      <c r="D482" s="7" t="s">
        <v>9</v>
      </c>
      <c r="E482" s="8" t="s">
        <v>10</v>
      </c>
      <c r="G482" s="64"/>
      <c r="H482" s="65" t="s">
        <v>8</v>
      </c>
      <c r="I482" s="7" t="s">
        <v>9</v>
      </c>
      <c r="J482" s="8" t="s">
        <v>10</v>
      </c>
      <c r="L482" s="64"/>
      <c r="M482" s="65" t="s">
        <v>8</v>
      </c>
      <c r="N482" s="7" t="s">
        <v>9</v>
      </c>
      <c r="O482" s="8" t="s">
        <v>10</v>
      </c>
    </row>
    <row r="483" spans="2:15" ht="15.75" customHeight="1" x14ac:dyDescent="0.2">
      <c r="B483" s="13" t="s">
        <v>247</v>
      </c>
      <c r="C483" s="10">
        <v>0.25</v>
      </c>
      <c r="D483" s="94">
        <f>+VLOOKUP(B483,'PRECIO PROVEEDORES'!$A$2:$B$716,2,0)</f>
        <v>12000</v>
      </c>
      <c r="E483" s="12">
        <f t="shared" ref="E483:E489" si="51">+C483*D483</f>
        <v>3000</v>
      </c>
      <c r="G483" s="66" t="s">
        <v>239</v>
      </c>
      <c r="H483" s="126">
        <v>0.36</v>
      </c>
      <c r="I483" s="94">
        <f>+VLOOKUP(G483,'PRECIO PROVEEDORES'!$A$2:$B$716,2,0)</f>
        <v>890</v>
      </c>
      <c r="J483" s="12">
        <f t="shared" ref="J483:J492" si="52">+H483*I483</f>
        <v>320.39999999999998</v>
      </c>
      <c r="L483" s="66" t="s">
        <v>239</v>
      </c>
      <c r="M483" s="126">
        <v>3.1349999999999998</v>
      </c>
      <c r="N483" s="94">
        <f>+VLOOKUP(L483,'PRECIO PROVEEDORES'!$A$2:$B$716,2,0)</f>
        <v>890</v>
      </c>
      <c r="O483" s="12">
        <f t="shared" ref="O483:O488" si="53">+M483*N483</f>
        <v>2790.1499999999996</v>
      </c>
    </row>
    <row r="484" spans="2:15" ht="15.75" customHeight="1" x14ac:dyDescent="0.2">
      <c r="B484" s="13" t="s">
        <v>573</v>
      </c>
      <c r="C484" s="10">
        <v>0.15</v>
      </c>
      <c r="D484" s="94">
        <f>+VLOOKUP(B484,'PRECIO PROVEEDORES'!$A$2:$B$716,2,0)</f>
        <v>1684</v>
      </c>
      <c r="E484" s="12">
        <f t="shared" si="51"/>
        <v>252.6</v>
      </c>
      <c r="G484" s="66" t="s">
        <v>237</v>
      </c>
      <c r="H484" s="126">
        <v>0.95</v>
      </c>
      <c r="I484" s="94">
        <f>+VLOOKUP(G484,'PRECIO PROVEEDORES'!$A$2:$B$716,2,0)</f>
        <v>1043.22</v>
      </c>
      <c r="J484" s="12">
        <f t="shared" si="52"/>
        <v>991.05899999999997</v>
      </c>
      <c r="L484" s="66" t="s">
        <v>367</v>
      </c>
      <c r="M484" s="126">
        <v>1.885</v>
      </c>
      <c r="N484" s="94">
        <f>+VLOOKUP(L484,'PRECIO PROVEEDORES'!$A$2:$B$716,2,0)</f>
        <v>0</v>
      </c>
      <c r="O484" s="12">
        <f t="shared" si="53"/>
        <v>0</v>
      </c>
    </row>
    <row r="485" spans="2:15" ht="15.75" customHeight="1" x14ac:dyDescent="0.2">
      <c r="B485" s="7" t="s">
        <v>273</v>
      </c>
      <c r="C485" s="10">
        <v>0.45</v>
      </c>
      <c r="D485" s="94">
        <f>+VLOOKUP(B485,'PRECIO PROVEEDORES'!$A$2:$B$716,2,0)</f>
        <v>2191</v>
      </c>
      <c r="E485" s="12">
        <f t="shared" si="51"/>
        <v>985.95</v>
      </c>
      <c r="G485" s="66" t="s">
        <v>210</v>
      </c>
      <c r="H485" s="126">
        <v>0.14000000000000001</v>
      </c>
      <c r="I485" s="94">
        <f>+VLOOKUP(G485,'PRECIO PROVEEDORES'!$A$2:$B$716,2,0)</f>
        <v>1352</v>
      </c>
      <c r="J485" s="12">
        <f t="shared" si="52"/>
        <v>189.28000000000003</v>
      </c>
      <c r="L485" s="64" t="s">
        <v>317</v>
      </c>
      <c r="M485" s="126">
        <v>0.04</v>
      </c>
      <c r="N485" s="94">
        <f>+VLOOKUP(L485,'PRECIO PROVEEDORES'!$A$2:$B$716,2,0)</f>
        <v>17780</v>
      </c>
      <c r="O485" s="12">
        <f t="shared" si="53"/>
        <v>711.2</v>
      </c>
    </row>
    <row r="486" spans="2:15" ht="15.75" customHeight="1" x14ac:dyDescent="0.2">
      <c r="B486" s="7" t="s">
        <v>239</v>
      </c>
      <c r="C486" s="126">
        <v>0.25</v>
      </c>
      <c r="D486" s="94">
        <f>+VLOOKUP(B486,'PRECIO PROVEEDORES'!$A$2:$B$716,2,0)</f>
        <v>890</v>
      </c>
      <c r="E486" s="12">
        <f t="shared" si="51"/>
        <v>222.5</v>
      </c>
      <c r="G486" s="66" t="s">
        <v>367</v>
      </c>
      <c r="H486" s="126">
        <v>0.28000000000000003</v>
      </c>
      <c r="I486" s="94">
        <f>+VLOOKUP(G486,'PRECIO PROVEEDORES'!$A$2:$B$716,2,0)</f>
        <v>0</v>
      </c>
      <c r="J486" s="12">
        <f t="shared" si="52"/>
        <v>0</v>
      </c>
      <c r="L486" s="71" t="s">
        <v>49</v>
      </c>
      <c r="M486" s="126">
        <v>0.06</v>
      </c>
      <c r="N486" s="94">
        <f>+VLOOKUP(L486,'PRECIO PROVEEDORES'!$A$2:$B$716,2,0)</f>
        <v>1633</v>
      </c>
      <c r="O486" s="12">
        <f t="shared" si="53"/>
        <v>97.97999999999999</v>
      </c>
    </row>
    <row r="487" spans="2:15" ht="15.75" customHeight="1" x14ac:dyDescent="0.2">
      <c r="B487" s="13" t="s">
        <v>17</v>
      </c>
      <c r="C487" s="10">
        <v>3</v>
      </c>
      <c r="D487" s="94">
        <f>+VLOOKUP(B487,'PRECIO PROVEEDORES'!$A$2:$B$716,2,0)</f>
        <v>192</v>
      </c>
      <c r="E487" s="12">
        <f t="shared" si="51"/>
        <v>576</v>
      </c>
      <c r="G487" s="66" t="s">
        <v>166</v>
      </c>
      <c r="H487" s="126">
        <v>0.2</v>
      </c>
      <c r="I487" s="94">
        <f>+VLOOKUP(G487,'PRECIO PROVEEDORES'!$A$2:$B$716,2,0)</f>
        <v>1940</v>
      </c>
      <c r="J487" s="12">
        <f t="shared" si="52"/>
        <v>388</v>
      </c>
      <c r="L487" s="66" t="s">
        <v>552</v>
      </c>
      <c r="M487" s="126">
        <v>5.5E-2</v>
      </c>
      <c r="N487" s="94">
        <f>+VLOOKUP(L487,'PRECIO PROVEEDORES'!$A$2:$B$716,2,0)</f>
        <v>4299.01</v>
      </c>
      <c r="O487" s="12">
        <f t="shared" si="53"/>
        <v>236.44555000000003</v>
      </c>
    </row>
    <row r="488" spans="2:15" ht="15.75" customHeight="1" x14ac:dyDescent="0.2">
      <c r="B488" s="13" t="s">
        <v>220</v>
      </c>
      <c r="C488" s="10">
        <v>0.05</v>
      </c>
      <c r="D488" s="94">
        <f>+VLOOKUP(B488,'PRECIO PROVEEDORES'!$A$2:$B$716,2,0)</f>
        <v>3000</v>
      </c>
      <c r="E488" s="12">
        <f t="shared" si="51"/>
        <v>150</v>
      </c>
      <c r="G488" s="66" t="s">
        <v>17</v>
      </c>
      <c r="H488" s="126">
        <v>4</v>
      </c>
      <c r="I488" s="94">
        <f>+VLOOKUP(G488,'PRECIO PROVEEDORES'!$A$2:$B$716,2,0)</f>
        <v>192</v>
      </c>
      <c r="J488" s="12">
        <f t="shared" si="52"/>
        <v>768</v>
      </c>
      <c r="L488" s="66" t="s">
        <v>553</v>
      </c>
      <c r="M488" s="126">
        <v>0.03</v>
      </c>
      <c r="N488" s="94">
        <f>+VLOOKUP(L488,'PRECIO PROVEEDORES'!$A$2:$B$716,2,0)</f>
        <v>1352</v>
      </c>
      <c r="O488" s="12">
        <f t="shared" si="53"/>
        <v>40.559999999999995</v>
      </c>
    </row>
    <row r="489" spans="2:15" ht="15.75" customHeight="1" x14ac:dyDescent="0.2">
      <c r="B489" s="7" t="s">
        <v>280</v>
      </c>
      <c r="C489" s="10">
        <v>0.5</v>
      </c>
      <c r="D489" s="94">
        <f>+VLOOKUP(B489,'PRECIO PROVEEDORES'!$A$2:$B$716,2,0)</f>
        <v>3356</v>
      </c>
      <c r="E489" s="12">
        <f t="shared" si="51"/>
        <v>1678</v>
      </c>
      <c r="G489" s="66" t="s">
        <v>242</v>
      </c>
      <c r="H489" s="126">
        <v>0.04</v>
      </c>
      <c r="I489" s="94">
        <f>+VLOOKUP(G489,'PRECIO PROVEEDORES'!$A$2:$B$716,2,0)</f>
        <v>6062</v>
      </c>
      <c r="J489" s="12">
        <f t="shared" si="52"/>
        <v>242.48000000000002</v>
      </c>
      <c r="L489" s="66"/>
      <c r="M489" s="68"/>
      <c r="N489" s="69"/>
      <c r="O489" s="70"/>
    </row>
    <row r="490" spans="2:15" ht="15.75" customHeight="1" x14ac:dyDescent="0.2">
      <c r="B490" s="13"/>
      <c r="C490" s="36"/>
      <c r="D490" s="94"/>
      <c r="E490" s="12"/>
      <c r="G490" s="64" t="s">
        <v>243</v>
      </c>
      <c r="H490" s="126">
        <v>0.02</v>
      </c>
      <c r="I490" s="94">
        <f>+VLOOKUP(G490,'PRECIO PROVEEDORES'!$A$2:$B$716,2,0)</f>
        <v>17780</v>
      </c>
      <c r="J490" s="12">
        <f t="shared" si="52"/>
        <v>355.6</v>
      </c>
      <c r="L490" s="64"/>
      <c r="M490" s="68"/>
      <c r="N490" s="69"/>
      <c r="O490" s="70"/>
    </row>
    <row r="491" spans="2:15" ht="15.75" customHeight="1" x14ac:dyDescent="0.2">
      <c r="B491" s="13"/>
      <c r="C491" s="36"/>
      <c r="D491" s="94"/>
      <c r="E491" s="12"/>
      <c r="G491" s="71" t="s">
        <v>247</v>
      </c>
      <c r="H491" s="126">
        <v>0.62</v>
      </c>
      <c r="I491" s="94">
        <f>+VLOOKUP(G491,'PRECIO PROVEEDORES'!$A$2:$B$716,2,0)</f>
        <v>12000</v>
      </c>
      <c r="J491" s="12">
        <f t="shared" si="52"/>
        <v>7440</v>
      </c>
      <c r="L491" s="71"/>
      <c r="M491" s="68"/>
      <c r="N491" s="69"/>
      <c r="O491" s="70"/>
    </row>
    <row r="492" spans="2:15" ht="15.75" customHeight="1" x14ac:dyDescent="0.2">
      <c r="B492" s="13"/>
      <c r="C492" s="36"/>
      <c r="D492" s="94"/>
      <c r="E492" s="12"/>
      <c r="G492" s="71" t="s">
        <v>49</v>
      </c>
      <c r="H492" s="126">
        <v>0.02</v>
      </c>
      <c r="I492" s="94">
        <f>+VLOOKUP(G492,'PRECIO PROVEEDORES'!$A$2:$B$716,2,0)</f>
        <v>1633</v>
      </c>
      <c r="J492" s="12">
        <f t="shared" si="52"/>
        <v>32.660000000000004</v>
      </c>
      <c r="L492" s="71"/>
      <c r="M492" s="68"/>
      <c r="N492" s="69"/>
      <c r="O492" s="70"/>
    </row>
    <row r="493" spans="2:15" ht="15.75" customHeight="1" x14ac:dyDescent="0.2">
      <c r="B493" s="108"/>
      <c r="C493" s="36"/>
      <c r="D493" s="94"/>
      <c r="E493" s="12"/>
      <c r="G493" s="71"/>
      <c r="H493" s="66"/>
      <c r="I493" s="69"/>
      <c r="J493" s="70"/>
      <c r="L493" s="71"/>
      <c r="M493" s="66"/>
      <c r="N493" s="69"/>
      <c r="O493" s="70"/>
    </row>
    <row r="494" spans="2:15" ht="15.75" customHeight="1" x14ac:dyDescent="0.2">
      <c r="B494" s="13"/>
      <c r="C494" s="36"/>
      <c r="D494" s="94"/>
      <c r="E494" s="12"/>
      <c r="G494" s="71"/>
      <c r="H494" s="66"/>
      <c r="I494" s="69"/>
      <c r="J494" s="70"/>
      <c r="L494" s="71"/>
      <c r="M494" s="66"/>
      <c r="N494" s="69"/>
      <c r="O494" s="70"/>
    </row>
    <row r="495" spans="2:15" ht="15.75" customHeight="1" x14ac:dyDescent="0.2">
      <c r="B495" s="13"/>
      <c r="C495" s="36"/>
      <c r="D495" s="94"/>
      <c r="E495" s="12"/>
      <c r="G495" s="64"/>
      <c r="H495" s="66"/>
      <c r="I495" s="69"/>
      <c r="J495" s="70"/>
      <c r="L495" s="64"/>
      <c r="M495" s="66"/>
      <c r="N495" s="69"/>
      <c r="O495" s="70"/>
    </row>
    <row r="496" spans="2:15" ht="15.75" customHeight="1" x14ac:dyDescent="0.2">
      <c r="B496" s="121"/>
      <c r="C496" s="66"/>
      <c r="D496" s="94"/>
      <c r="E496" s="12"/>
      <c r="G496" s="64"/>
      <c r="H496" s="66"/>
      <c r="I496" s="69"/>
      <c r="J496" s="70"/>
      <c r="L496" s="64"/>
      <c r="M496" s="66"/>
      <c r="N496" s="69"/>
      <c r="O496" s="70"/>
    </row>
    <row r="497" spans="2:16" ht="15.75" customHeight="1" x14ac:dyDescent="0.2">
      <c r="B497" s="13"/>
      <c r="C497" s="36"/>
      <c r="D497" s="94"/>
      <c r="E497" s="12"/>
      <c r="G497" s="64"/>
      <c r="H497" s="66"/>
      <c r="I497" s="69"/>
      <c r="J497" s="70"/>
      <c r="L497" s="64"/>
      <c r="M497" s="66"/>
      <c r="N497" s="69"/>
      <c r="O497" s="70"/>
    </row>
    <row r="498" spans="2:16" ht="15.75" customHeight="1" x14ac:dyDescent="0.2">
      <c r="B498" s="121"/>
      <c r="C498" s="66"/>
      <c r="D498" s="94"/>
      <c r="E498" s="12"/>
      <c r="G498" s="72" t="s">
        <v>52</v>
      </c>
      <c r="H498" s="73"/>
      <c r="I498" s="74"/>
      <c r="J498" s="95">
        <f>SUM(J483:J497)</f>
        <v>10727.478999999999</v>
      </c>
      <c r="L498" s="72" t="s">
        <v>52</v>
      </c>
      <c r="M498" s="73"/>
      <c r="N498" s="74"/>
      <c r="O498" s="95">
        <f>SUM(O483:O497)</f>
        <v>3876.3355499999993</v>
      </c>
    </row>
    <row r="499" spans="2:16" ht="15.75" customHeight="1" x14ac:dyDescent="0.2">
      <c r="B499" s="13"/>
      <c r="C499" s="66"/>
      <c r="D499" s="69"/>
      <c r="E499" s="70"/>
      <c r="G499" s="76" t="s">
        <v>53</v>
      </c>
      <c r="H499" s="77"/>
      <c r="I499" s="78"/>
      <c r="J499" s="96">
        <f>SUM(J498)</f>
        <v>10727.478999999999</v>
      </c>
      <c r="L499" s="76" t="s">
        <v>53</v>
      </c>
      <c r="M499" s="77"/>
      <c r="N499" s="78"/>
      <c r="O499" s="96">
        <f>SUM(O498)</f>
        <v>3876.3355499999993</v>
      </c>
    </row>
    <row r="500" spans="2:16" ht="15.75" customHeight="1" x14ac:dyDescent="0.2">
      <c r="B500" s="72" t="s">
        <v>52</v>
      </c>
      <c r="C500" s="73"/>
      <c r="D500" s="74"/>
      <c r="E500" s="95">
        <f>SUM(E483:E497)</f>
        <v>6865.05</v>
      </c>
      <c r="G500" s="76" t="s">
        <v>54</v>
      </c>
      <c r="H500" s="77"/>
      <c r="I500" s="78"/>
      <c r="J500" s="96">
        <f>+J499/29</f>
        <v>369.9130689655172</v>
      </c>
      <c r="L500" s="76" t="s">
        <v>54</v>
      </c>
      <c r="M500" s="77"/>
      <c r="N500" s="78"/>
      <c r="O500" s="96">
        <f>+O499/17</f>
        <v>228.01973823529408</v>
      </c>
    </row>
    <row r="501" spans="2:16" ht="15.75" customHeight="1" x14ac:dyDescent="0.2">
      <c r="B501" s="76" t="s">
        <v>53</v>
      </c>
      <c r="C501" s="77"/>
      <c r="D501" s="78"/>
      <c r="E501" s="96">
        <f>SUM(E500)</f>
        <v>6865.05</v>
      </c>
      <c r="G501" s="76" t="s">
        <v>55</v>
      </c>
      <c r="H501" s="77"/>
      <c r="I501" s="80">
        <v>0.3</v>
      </c>
      <c r="J501" s="81"/>
      <c r="L501" s="76" t="s">
        <v>55</v>
      </c>
      <c r="M501" s="77"/>
      <c r="N501" s="80">
        <v>0.3</v>
      </c>
      <c r="O501" s="81"/>
      <c r="P501" s="124">
        <f>O502-(O502*5%)</f>
        <v>722.06250441176394</v>
      </c>
    </row>
    <row r="502" spans="2:16" ht="15.75" customHeight="1" x14ac:dyDescent="0.2">
      <c r="B502" s="76" t="s">
        <v>54</v>
      </c>
      <c r="C502" s="77"/>
      <c r="D502" s="78"/>
      <c r="E502" s="96">
        <f>+E501/50</f>
        <v>137.30100000000002</v>
      </c>
      <c r="G502" s="76" t="s">
        <v>56</v>
      </c>
      <c r="H502" s="77"/>
      <c r="I502" s="82"/>
      <c r="J502" s="96">
        <f>+J500*3.33333333333333</f>
        <v>1233.0435632183894</v>
      </c>
      <c r="L502" s="76" t="s">
        <v>56</v>
      </c>
      <c r="M502" s="77"/>
      <c r="N502" s="82"/>
      <c r="O502" s="96">
        <f>+O500*3.33333333333333</f>
        <v>760.06579411764619</v>
      </c>
      <c r="P502" s="124">
        <f>O502-(O502*10%)</f>
        <v>684.05921470588157</v>
      </c>
    </row>
    <row r="503" spans="2:16" ht="15.75" customHeight="1" x14ac:dyDescent="0.2">
      <c r="B503" s="76" t="s">
        <v>55</v>
      </c>
      <c r="C503" s="77"/>
      <c r="D503" s="80">
        <v>0.3</v>
      </c>
      <c r="E503" s="81"/>
      <c r="G503" s="76" t="s">
        <v>250</v>
      </c>
      <c r="H503" s="77"/>
      <c r="I503" s="78"/>
      <c r="J503" s="96">
        <v>1208</v>
      </c>
      <c r="L503" s="76" t="s">
        <v>250</v>
      </c>
      <c r="M503" s="77"/>
      <c r="N503" s="129">
        <v>735</v>
      </c>
      <c r="O503" s="96">
        <v>2792</v>
      </c>
      <c r="P503" s="124">
        <f>O502-(O502*15%)</f>
        <v>646.05592499999921</v>
      </c>
    </row>
    <row r="504" spans="2:16" ht="15.75" customHeight="1" x14ac:dyDescent="0.2">
      <c r="B504" s="76" t="s">
        <v>56</v>
      </c>
      <c r="C504" s="77"/>
      <c r="D504" s="82"/>
      <c r="E504" s="96">
        <f>+E502*3.33333333333333</f>
        <v>457.66999999999956</v>
      </c>
      <c r="G504" s="71"/>
      <c r="H504" s="77"/>
      <c r="I504" s="78"/>
      <c r="J504" s="95">
        <f>+J503-J502</f>
        <v>-25.043563218389409</v>
      </c>
      <c r="L504" s="71"/>
      <c r="M504" s="77"/>
      <c r="N504" s="78"/>
      <c r="O504" s="95">
        <f>+O503-O502</f>
        <v>2031.9342058823538</v>
      </c>
    </row>
    <row r="505" spans="2:16" ht="15.75" customHeight="1" x14ac:dyDescent="0.2">
      <c r="B505" s="76" t="s">
        <v>569</v>
      </c>
      <c r="C505" s="77"/>
      <c r="D505" s="77"/>
      <c r="E505" s="96">
        <v>5000</v>
      </c>
      <c r="G505" s="32" t="s">
        <v>58</v>
      </c>
      <c r="H505" s="83"/>
      <c r="I505" s="110"/>
      <c r="J505" s="98">
        <f>J500/J503</f>
        <v>0.30621942795158708</v>
      </c>
      <c r="L505" s="32" t="s">
        <v>58</v>
      </c>
      <c r="M505" s="83"/>
      <c r="N505" s="110"/>
      <c r="O505" s="98">
        <f>O500/O503</f>
        <v>8.166896068599358E-2</v>
      </c>
    </row>
    <row r="506" spans="2:16" ht="15.75" customHeight="1" x14ac:dyDescent="0.2">
      <c r="B506" s="71"/>
      <c r="C506" s="77"/>
      <c r="D506" s="78"/>
      <c r="E506" s="95">
        <f>+E505-E504</f>
        <v>4542.3300000000008</v>
      </c>
    </row>
    <row r="507" spans="2:16" ht="15.75" customHeight="1" x14ac:dyDescent="0.2">
      <c r="B507" s="32" t="s">
        <v>58</v>
      </c>
      <c r="C507" s="83"/>
      <c r="D507" s="83"/>
      <c r="E507" s="98">
        <f>E502/E505</f>
        <v>2.7460200000000004E-2</v>
      </c>
    </row>
    <row r="508" spans="2:16" ht="15.75" customHeight="1" x14ac:dyDescent="0.15"/>
    <row r="509" spans="2:16" ht="15.75" customHeight="1" x14ac:dyDescent="0.15"/>
    <row r="510" spans="2:16" ht="15.75" customHeight="1" x14ac:dyDescent="0.2">
      <c r="B510" s="218" t="s">
        <v>574</v>
      </c>
      <c r="C510" s="213"/>
      <c r="D510" s="213"/>
      <c r="E510" s="214"/>
      <c r="G510" s="218" t="s">
        <v>575</v>
      </c>
      <c r="H510" s="213"/>
      <c r="I510" s="213"/>
      <c r="J510" s="214"/>
      <c r="K510" s="119"/>
      <c r="L510" s="218" t="s">
        <v>576</v>
      </c>
      <c r="M510" s="213"/>
      <c r="N510" s="213"/>
      <c r="O510" s="214"/>
    </row>
    <row r="511" spans="2:16" ht="15.75" customHeight="1" x14ac:dyDescent="0.2">
      <c r="B511" s="64"/>
      <c r="C511" s="65" t="s">
        <v>8</v>
      </c>
      <c r="D511" s="7" t="s">
        <v>9</v>
      </c>
      <c r="E511" s="8" t="s">
        <v>10</v>
      </c>
      <c r="G511" s="64"/>
      <c r="H511" s="65" t="s">
        <v>8</v>
      </c>
      <c r="I511" s="7" t="s">
        <v>9</v>
      </c>
      <c r="J511" s="8" t="s">
        <v>10</v>
      </c>
      <c r="K511" s="119"/>
      <c r="L511" s="64"/>
      <c r="M511" s="65" t="s">
        <v>8</v>
      </c>
      <c r="N511" s="7" t="s">
        <v>9</v>
      </c>
      <c r="O511" s="8" t="s">
        <v>10</v>
      </c>
    </row>
    <row r="512" spans="2:16" ht="15.75" customHeight="1" x14ac:dyDescent="0.2">
      <c r="B512" s="66" t="s">
        <v>239</v>
      </c>
      <c r="C512" s="126">
        <v>0.5</v>
      </c>
      <c r="D512" s="94">
        <f>+VLOOKUP(B512,'PRECIO PROVEEDORES'!$A$2:$B$716,2,0)</f>
        <v>890</v>
      </c>
      <c r="E512" s="12">
        <f t="shared" ref="E512:E517" si="54">+C512*D512</f>
        <v>445</v>
      </c>
      <c r="G512" s="66" t="s">
        <v>239</v>
      </c>
      <c r="H512" s="126">
        <v>0.5</v>
      </c>
      <c r="I512" s="94">
        <f>+VLOOKUP(G512,'PRECIO PROVEEDORES'!$A$2:$B$716,2,0)</f>
        <v>890</v>
      </c>
      <c r="J512" s="12">
        <f t="shared" ref="J512:J517" si="55">+H512*I512</f>
        <v>445</v>
      </c>
      <c r="K512" s="119"/>
      <c r="L512" s="66" t="s">
        <v>239</v>
      </c>
      <c r="M512" s="126">
        <v>0.5</v>
      </c>
      <c r="N512" s="94">
        <f>+VLOOKUP(L512,'PRECIO PROVEEDORES'!$A$2:$B$716,2,0)</f>
        <v>890</v>
      </c>
      <c r="O512" s="12">
        <f t="shared" ref="O512:O514" si="56">+M512*N512</f>
        <v>445</v>
      </c>
    </row>
    <row r="513" spans="2:15" ht="15.75" customHeight="1" x14ac:dyDescent="0.2">
      <c r="B513" s="66" t="s">
        <v>316</v>
      </c>
      <c r="C513" s="126">
        <v>0.3</v>
      </c>
      <c r="D513" s="94">
        <f>+VLOOKUP(B513,'PRECIO PROVEEDORES'!$A$2:$B$716,2,0)</f>
        <v>1940</v>
      </c>
      <c r="E513" s="12">
        <f t="shared" si="54"/>
        <v>582</v>
      </c>
      <c r="G513" s="66" t="s">
        <v>219</v>
      </c>
      <c r="H513" s="126">
        <v>0.3</v>
      </c>
      <c r="I513" s="94">
        <f>+VLOOKUP(G513,'PRECIO PROVEEDORES'!$A$2:$B$716,2,0)</f>
        <v>2017.07</v>
      </c>
      <c r="J513" s="12">
        <f t="shared" si="55"/>
        <v>605.12099999999998</v>
      </c>
      <c r="K513" s="119"/>
      <c r="L513" s="66" t="s">
        <v>49</v>
      </c>
      <c r="M513" s="126">
        <v>0.01</v>
      </c>
      <c r="N513" s="94">
        <f>+VLOOKUP(L513,'PRECIO PROVEEDORES'!$A$2:$B$716,2,0)</f>
        <v>1633</v>
      </c>
      <c r="O513" s="12">
        <f t="shared" si="56"/>
        <v>16.330000000000002</v>
      </c>
    </row>
    <row r="514" spans="2:15" ht="15.75" customHeight="1" x14ac:dyDescent="0.2">
      <c r="B514" s="64" t="s">
        <v>243</v>
      </c>
      <c r="C514" s="126">
        <v>8.0000000000000002E-3</v>
      </c>
      <c r="D514" s="94">
        <f>+VLOOKUP(B514,'PRECIO PROVEEDORES'!$A$2:$B$716,2,0)</f>
        <v>17780</v>
      </c>
      <c r="E514" s="12">
        <f t="shared" si="54"/>
        <v>142.24</v>
      </c>
      <c r="G514" s="64" t="s">
        <v>243</v>
      </c>
      <c r="H514" s="126">
        <v>8.0000000000000002E-3</v>
      </c>
      <c r="I514" s="94">
        <f>+VLOOKUP(G514,'PRECIO PROVEEDORES'!$A$2:$B$716,2,0)</f>
        <v>17780</v>
      </c>
      <c r="J514" s="12">
        <f t="shared" si="55"/>
        <v>142.24</v>
      </c>
      <c r="K514" s="119"/>
      <c r="L514" s="64" t="s">
        <v>243</v>
      </c>
      <c r="M514" s="126">
        <v>5.0000000000000001E-3</v>
      </c>
      <c r="N514" s="94">
        <f>+VLOOKUP(L514,'PRECIO PROVEEDORES'!$A$2:$B$716,2,0)</f>
        <v>17780</v>
      </c>
      <c r="O514" s="12">
        <f t="shared" si="56"/>
        <v>88.9</v>
      </c>
    </row>
    <row r="515" spans="2:15" ht="15.75" customHeight="1" x14ac:dyDescent="0.2">
      <c r="B515" s="71" t="s">
        <v>49</v>
      </c>
      <c r="C515" s="126">
        <v>0.01</v>
      </c>
      <c r="D515" s="94">
        <f>+VLOOKUP(B515,'PRECIO PROVEEDORES'!$A$2:$B$716,2,0)</f>
        <v>1633</v>
      </c>
      <c r="E515" s="12">
        <f t="shared" si="54"/>
        <v>16.330000000000002</v>
      </c>
      <c r="G515" s="71" t="s">
        <v>49</v>
      </c>
      <c r="H515" s="126">
        <v>0.01</v>
      </c>
      <c r="I515" s="94">
        <f>+VLOOKUP(G515,'PRECIO PROVEEDORES'!$A$2:$B$716,2,0)</f>
        <v>1633</v>
      </c>
      <c r="J515" s="12">
        <f t="shared" si="55"/>
        <v>16.330000000000002</v>
      </c>
      <c r="K515" s="119"/>
      <c r="L515" s="71" t="s">
        <v>367</v>
      </c>
      <c r="M515" s="126">
        <v>0.32500000000000001</v>
      </c>
      <c r="N515" s="94"/>
      <c r="O515" s="12"/>
    </row>
    <row r="516" spans="2:15" ht="15.75" customHeight="1" x14ac:dyDescent="0.2">
      <c r="B516" s="66" t="s">
        <v>493</v>
      </c>
      <c r="C516" s="126">
        <v>0.03</v>
      </c>
      <c r="D516" s="94">
        <f>+VLOOKUP(B516,'PRECIO PROVEEDORES'!$A$2:$B$716,2,0)</f>
        <v>12000</v>
      </c>
      <c r="E516" s="12">
        <f t="shared" si="54"/>
        <v>360</v>
      </c>
      <c r="G516" s="66" t="s">
        <v>493</v>
      </c>
      <c r="H516" s="126">
        <v>0.03</v>
      </c>
      <c r="I516" s="94">
        <f>+VLOOKUP(G516,'PRECIO PROVEEDORES'!$A$2:$B$716,2,0)</f>
        <v>12000</v>
      </c>
      <c r="J516" s="12">
        <f t="shared" si="55"/>
        <v>360</v>
      </c>
      <c r="K516" s="119"/>
      <c r="L516" s="66"/>
      <c r="M516" s="126"/>
      <c r="N516" s="94"/>
      <c r="O516" s="12"/>
    </row>
    <row r="517" spans="2:15" ht="15.75" customHeight="1" x14ac:dyDescent="0.2">
      <c r="B517" s="66" t="s">
        <v>553</v>
      </c>
      <c r="C517" s="126">
        <v>0.02</v>
      </c>
      <c r="D517" s="94">
        <f>+VLOOKUP(B517,'PRECIO PROVEEDORES'!$A$2:$B$716,2,0)</f>
        <v>1352</v>
      </c>
      <c r="E517" s="12">
        <f t="shared" si="54"/>
        <v>27.04</v>
      </c>
      <c r="G517" s="66" t="s">
        <v>553</v>
      </c>
      <c r="H517" s="126">
        <v>0.02</v>
      </c>
      <c r="I517" s="94">
        <f>+VLOOKUP(G517,'PRECIO PROVEEDORES'!$A$2:$B$716,2,0)</f>
        <v>1352</v>
      </c>
      <c r="J517" s="12">
        <f t="shared" si="55"/>
        <v>27.04</v>
      </c>
      <c r="K517" s="119"/>
      <c r="L517" s="66"/>
      <c r="M517" s="126"/>
      <c r="N517" s="94"/>
      <c r="O517" s="12"/>
    </row>
    <row r="518" spans="2:15" ht="15.75" customHeight="1" x14ac:dyDescent="0.15">
      <c r="B518" s="66"/>
      <c r="C518" s="68"/>
      <c r="D518" s="69"/>
      <c r="E518" s="70"/>
      <c r="G518" s="66"/>
      <c r="H518" s="68"/>
      <c r="I518" s="69"/>
      <c r="J518" s="70"/>
      <c r="K518" s="119"/>
      <c r="L518" s="66"/>
      <c r="M518" s="68"/>
      <c r="N518" s="69"/>
      <c r="O518" s="70"/>
    </row>
    <row r="519" spans="2:15" ht="15.75" customHeight="1" x14ac:dyDescent="0.15">
      <c r="B519" s="64"/>
      <c r="C519" s="68"/>
      <c r="D519" s="69"/>
      <c r="E519" s="70"/>
      <c r="G519" s="64"/>
      <c r="H519" s="68"/>
      <c r="I519" s="69"/>
      <c r="J519" s="70"/>
      <c r="K519" s="119"/>
      <c r="L519" s="64"/>
      <c r="M519" s="68"/>
      <c r="N519" s="69"/>
      <c r="O519" s="70"/>
    </row>
    <row r="520" spans="2:15" ht="15.75" customHeight="1" x14ac:dyDescent="0.15">
      <c r="B520" s="71"/>
      <c r="C520" s="68"/>
      <c r="D520" s="69"/>
      <c r="E520" s="70"/>
      <c r="G520" s="71"/>
      <c r="H520" s="68"/>
      <c r="I520" s="69"/>
      <c r="J520" s="70"/>
      <c r="K520" s="119"/>
      <c r="L520" s="71"/>
      <c r="M520" s="68"/>
      <c r="N520" s="69"/>
      <c r="O520" s="70"/>
    </row>
    <row r="521" spans="2:15" ht="15.75" customHeight="1" x14ac:dyDescent="0.15">
      <c r="B521" s="71"/>
      <c r="C521" s="68"/>
      <c r="D521" s="69"/>
      <c r="E521" s="70"/>
      <c r="G521" s="71"/>
      <c r="H521" s="68"/>
      <c r="I521" s="69"/>
      <c r="J521" s="70"/>
      <c r="K521" s="119"/>
      <c r="L521" s="71"/>
      <c r="M521" s="68"/>
      <c r="N521" s="69"/>
      <c r="O521" s="70"/>
    </row>
    <row r="522" spans="2:15" ht="15.75" customHeight="1" x14ac:dyDescent="0.15">
      <c r="B522" s="71"/>
      <c r="C522" s="66"/>
      <c r="D522" s="69"/>
      <c r="E522" s="70"/>
      <c r="G522" s="71"/>
      <c r="H522" s="66"/>
      <c r="I522" s="69"/>
      <c r="J522" s="70"/>
      <c r="K522" s="119"/>
      <c r="L522" s="71"/>
      <c r="M522" s="66"/>
      <c r="N522" s="69"/>
      <c r="O522" s="70"/>
    </row>
    <row r="523" spans="2:15" ht="15.75" customHeight="1" x14ac:dyDescent="0.15">
      <c r="B523" s="71"/>
      <c r="C523" s="66"/>
      <c r="D523" s="69"/>
      <c r="E523" s="70"/>
      <c r="G523" s="71"/>
      <c r="H523" s="66"/>
      <c r="I523" s="69"/>
      <c r="J523" s="70"/>
      <c r="K523" s="119"/>
      <c r="L523" s="71"/>
      <c r="M523" s="66"/>
      <c r="N523" s="69"/>
      <c r="O523" s="70"/>
    </row>
    <row r="524" spans="2:15" ht="15.75" customHeight="1" x14ac:dyDescent="0.15">
      <c r="B524" s="64"/>
      <c r="C524" s="66"/>
      <c r="D524" s="69"/>
      <c r="E524" s="70"/>
      <c r="G524" s="64"/>
      <c r="H524" s="66"/>
      <c r="I524" s="69"/>
      <c r="J524" s="70"/>
      <c r="K524" s="119"/>
      <c r="L524" s="64"/>
      <c r="M524" s="66"/>
      <c r="N524" s="69"/>
      <c r="O524" s="70"/>
    </row>
    <row r="525" spans="2:15" ht="15.75" customHeight="1" x14ac:dyDescent="0.15">
      <c r="B525" s="64"/>
      <c r="C525" s="66"/>
      <c r="D525" s="69"/>
      <c r="E525" s="70"/>
      <c r="G525" s="64"/>
      <c r="H525" s="66"/>
      <c r="I525" s="69"/>
      <c r="J525" s="70"/>
      <c r="K525" s="119"/>
      <c r="L525" s="64"/>
      <c r="M525" s="66"/>
      <c r="N525" s="69"/>
      <c r="O525" s="70"/>
    </row>
    <row r="526" spans="2:15" ht="15.75" customHeight="1" x14ac:dyDescent="0.15">
      <c r="B526" s="64"/>
      <c r="C526" s="66"/>
      <c r="D526" s="69"/>
      <c r="E526" s="70"/>
      <c r="G526" s="64"/>
      <c r="H526" s="66"/>
      <c r="I526" s="69"/>
      <c r="J526" s="70"/>
      <c r="K526" s="119"/>
      <c r="L526" s="64"/>
      <c r="M526" s="66"/>
      <c r="N526" s="69"/>
      <c r="O526" s="70"/>
    </row>
    <row r="527" spans="2:15" ht="15.75" customHeight="1" x14ac:dyDescent="0.2">
      <c r="B527" s="72" t="s">
        <v>52</v>
      </c>
      <c r="C527" s="73"/>
      <c r="D527" s="74"/>
      <c r="E527" s="95">
        <f>SUM(E512:E526)</f>
        <v>1572.61</v>
      </c>
      <c r="G527" s="72" t="s">
        <v>52</v>
      </c>
      <c r="H527" s="73"/>
      <c r="I527" s="74"/>
      <c r="J527" s="95">
        <f>SUM(J512:J526)</f>
        <v>1595.731</v>
      </c>
      <c r="K527" s="119"/>
      <c r="L527" s="72" t="s">
        <v>52</v>
      </c>
      <c r="M527" s="73"/>
      <c r="N527" s="74"/>
      <c r="O527" s="95">
        <f>SUM(O512:O526)</f>
        <v>550.23</v>
      </c>
    </row>
    <row r="528" spans="2:15" ht="15.75" customHeight="1" x14ac:dyDescent="0.2">
      <c r="B528" s="76" t="s">
        <v>53</v>
      </c>
      <c r="C528" s="77"/>
      <c r="D528" s="78"/>
      <c r="E528" s="96">
        <f>SUM(E527)</f>
        <v>1572.61</v>
      </c>
      <c r="G528" s="76" t="s">
        <v>53</v>
      </c>
      <c r="H528" s="77"/>
      <c r="I528" s="78"/>
      <c r="J528" s="96">
        <f>SUM(J527)</f>
        <v>1595.731</v>
      </c>
      <c r="K528" s="119"/>
      <c r="L528" s="76" t="s">
        <v>53</v>
      </c>
      <c r="M528" s="77"/>
      <c r="N528" s="78"/>
      <c r="O528" s="96">
        <f>SUM(O527)</f>
        <v>550.23</v>
      </c>
    </row>
    <row r="529" spans="1:16" ht="15.75" customHeight="1" x14ac:dyDescent="0.2">
      <c r="B529" s="76" t="s">
        <v>54</v>
      </c>
      <c r="C529" s="77"/>
      <c r="D529" s="78"/>
      <c r="E529" s="96">
        <f>+E528/3</f>
        <v>524.20333333333326</v>
      </c>
      <c r="G529" s="76" t="s">
        <v>54</v>
      </c>
      <c r="H529" s="77"/>
      <c r="I529" s="78"/>
      <c r="J529" s="96">
        <f>+J528/7</f>
        <v>227.96157142857143</v>
      </c>
      <c r="K529" s="119"/>
      <c r="L529" s="76" t="s">
        <v>54</v>
      </c>
      <c r="M529" s="77"/>
      <c r="N529" s="78"/>
      <c r="O529" s="96">
        <f>+O528/2</f>
        <v>275.11500000000001</v>
      </c>
    </row>
    <row r="530" spans="1:16" ht="15.75" customHeight="1" x14ac:dyDescent="0.2">
      <c r="B530" s="76" t="s">
        <v>55</v>
      </c>
      <c r="C530" s="77"/>
      <c r="D530" s="80">
        <v>0.3</v>
      </c>
      <c r="E530" s="81"/>
      <c r="F530" s="124">
        <f>E531-(E531*5%)</f>
        <v>1659.9772222222202</v>
      </c>
      <c r="G530" s="76" t="s">
        <v>55</v>
      </c>
      <c r="H530" s="77"/>
      <c r="I530" s="80">
        <v>0.3</v>
      </c>
      <c r="J530" s="81"/>
      <c r="K530" s="124">
        <f>J531-(J531*5%)</f>
        <v>721.87830952380887</v>
      </c>
      <c r="L530" s="76" t="s">
        <v>55</v>
      </c>
      <c r="M530" s="77"/>
      <c r="N530" s="80">
        <v>0.3</v>
      </c>
      <c r="O530" s="81"/>
      <c r="P530" s="124">
        <f>O531-(O531*5%)</f>
        <v>871.19749999999908</v>
      </c>
    </row>
    <row r="531" spans="1:16" ht="15.75" customHeight="1" x14ac:dyDescent="0.2">
      <c r="B531" s="76" t="s">
        <v>56</v>
      </c>
      <c r="C531" s="77"/>
      <c r="D531" s="82"/>
      <c r="E531" s="96">
        <f>+E529*3.33333333333333</f>
        <v>1747.3444444444424</v>
      </c>
      <c r="F531" s="124">
        <f>E531-(E531*10%)</f>
        <v>1572.6099999999981</v>
      </c>
      <c r="G531" s="76" t="s">
        <v>56</v>
      </c>
      <c r="H531" s="77"/>
      <c r="I531" s="82"/>
      <c r="J531" s="96">
        <f>+J529*3.33333333333333</f>
        <v>759.87190476190403</v>
      </c>
      <c r="K531" s="124">
        <f>J531-(J531*10%)</f>
        <v>683.88471428571359</v>
      </c>
      <c r="L531" s="76" t="s">
        <v>56</v>
      </c>
      <c r="M531" s="77"/>
      <c r="N531" s="82"/>
      <c r="O531" s="96">
        <f>+O529*3.33333333333333</f>
        <v>917.04999999999905</v>
      </c>
      <c r="P531" s="124">
        <f>O531-(O531*10%)</f>
        <v>825.34499999999912</v>
      </c>
    </row>
    <row r="532" spans="1:16" ht="15.75" customHeight="1" x14ac:dyDescent="0.2">
      <c r="B532" s="76" t="s">
        <v>250</v>
      </c>
      <c r="C532" s="77"/>
      <c r="D532" s="129">
        <v>1573</v>
      </c>
      <c r="E532" s="96">
        <v>1800</v>
      </c>
      <c r="F532" s="124">
        <f>E531-(E531*15%)</f>
        <v>1485.2427777777762</v>
      </c>
      <c r="G532" s="76" t="s">
        <v>250</v>
      </c>
      <c r="H532" s="77"/>
      <c r="I532" s="129"/>
      <c r="J532" s="96">
        <v>675</v>
      </c>
      <c r="K532" s="124">
        <f>J531-(J531*15%)</f>
        <v>645.89111904761842</v>
      </c>
      <c r="L532" s="76" t="s">
        <v>250</v>
      </c>
      <c r="M532" s="77"/>
      <c r="N532" s="129"/>
      <c r="O532" s="96">
        <v>1800</v>
      </c>
      <c r="P532" s="124">
        <f>O531-(O531*15%)</f>
        <v>779.49249999999915</v>
      </c>
    </row>
    <row r="533" spans="1:16" ht="15.75" customHeight="1" x14ac:dyDescent="0.2">
      <c r="B533" s="71"/>
      <c r="C533" s="77"/>
      <c r="D533" s="78"/>
      <c r="E533" s="95">
        <f>+E532-E531</f>
        <v>52.655555555557612</v>
      </c>
      <c r="G533" s="71"/>
      <c r="H533" s="77"/>
      <c r="I533" s="78"/>
      <c r="J533" s="95">
        <f>+J532-J531</f>
        <v>-84.871904761904034</v>
      </c>
      <c r="K533" s="119"/>
      <c r="L533" s="71"/>
      <c r="M533" s="77"/>
      <c r="N533" s="78"/>
      <c r="O533" s="95">
        <f>+O532-O531</f>
        <v>882.95000000000095</v>
      </c>
    </row>
    <row r="534" spans="1:16" ht="15.75" customHeight="1" x14ac:dyDescent="0.2">
      <c r="B534" s="32" t="s">
        <v>58</v>
      </c>
      <c r="C534" s="83"/>
      <c r="D534" s="110"/>
      <c r="E534" s="98">
        <f>E529/E532</f>
        <v>0.29122407407407402</v>
      </c>
      <c r="G534" s="32" t="s">
        <v>58</v>
      </c>
      <c r="H534" s="83"/>
      <c r="I534" s="110"/>
      <c r="J534" s="98">
        <f>J529/J532</f>
        <v>0.33772084656084655</v>
      </c>
      <c r="K534" s="119"/>
      <c r="L534" s="32" t="s">
        <v>58</v>
      </c>
      <c r="M534" s="83"/>
      <c r="N534" s="110"/>
      <c r="O534" s="98">
        <f>O529/O532</f>
        <v>0.15284166666666668</v>
      </c>
    </row>
    <row r="535" spans="1:16" ht="15.75" customHeight="1" x14ac:dyDescent="0.15"/>
    <row r="536" spans="1:16" ht="15.75" customHeight="1" x14ac:dyDescent="0.15"/>
    <row r="537" spans="1:16" ht="15.75" customHeight="1" x14ac:dyDescent="0.15"/>
    <row r="538" spans="1:16" ht="15.75" customHeight="1" x14ac:dyDescent="0.2">
      <c r="A538" s="119"/>
      <c r="B538" s="218" t="s">
        <v>577</v>
      </c>
      <c r="C538" s="213"/>
      <c r="D538" s="213"/>
      <c r="E538" s="214"/>
      <c r="F538" s="119"/>
      <c r="G538" s="218" t="s">
        <v>578</v>
      </c>
      <c r="H538" s="213"/>
      <c r="I538" s="213"/>
      <c r="J538" s="214"/>
      <c r="L538" s="218" t="s">
        <v>579</v>
      </c>
      <c r="M538" s="213"/>
      <c r="N538" s="213"/>
      <c r="O538" s="214"/>
    </row>
    <row r="539" spans="1:16" ht="15.75" customHeight="1" x14ac:dyDescent="0.2">
      <c r="A539" s="119"/>
      <c r="B539" s="64"/>
      <c r="C539" s="65" t="s">
        <v>8</v>
      </c>
      <c r="D539" s="7" t="s">
        <v>9</v>
      </c>
      <c r="E539" s="8" t="s">
        <v>10</v>
      </c>
      <c r="F539" s="119"/>
      <c r="G539" s="64"/>
      <c r="H539" s="65" t="s">
        <v>8</v>
      </c>
      <c r="I539" s="7" t="s">
        <v>9</v>
      </c>
      <c r="J539" s="8" t="s">
        <v>10</v>
      </c>
      <c r="L539" s="64"/>
      <c r="M539" s="65" t="s">
        <v>8</v>
      </c>
      <c r="N539" s="7" t="s">
        <v>9</v>
      </c>
      <c r="O539" s="8" t="s">
        <v>10</v>
      </c>
    </row>
    <row r="540" spans="1:16" ht="15.75" customHeight="1" x14ac:dyDescent="0.2">
      <c r="A540" s="119"/>
      <c r="B540" s="66" t="s">
        <v>239</v>
      </c>
      <c r="C540" s="126">
        <v>0.5</v>
      </c>
      <c r="D540" s="94">
        <f>+VLOOKUP(B540,'PRECIO PROVEEDORES'!$A$2:$B$716,2,0)</f>
        <v>890</v>
      </c>
      <c r="E540" s="12">
        <f t="shared" ref="E540:E542" si="57">+C540*D540</f>
        <v>445</v>
      </c>
      <c r="F540" s="119"/>
      <c r="G540" s="66" t="s">
        <v>239</v>
      </c>
      <c r="H540" s="126">
        <v>1</v>
      </c>
      <c r="I540" s="94">
        <f>+VLOOKUP(G540,'PRECIO PROVEEDORES'!$A$2:$B$716,2,0)</f>
        <v>890</v>
      </c>
      <c r="J540" s="12">
        <f t="shared" ref="J540:J546" si="58">+H540*I540</f>
        <v>890</v>
      </c>
      <c r="L540" s="66" t="s">
        <v>580</v>
      </c>
      <c r="M540" s="126">
        <v>0.32500000000000001</v>
      </c>
      <c r="N540" s="94">
        <f>+VLOOKUP(L540,'PRECIO PROVEEDORES'!$A$2:$B$716,2,0)</f>
        <v>5004.437777777779</v>
      </c>
      <c r="O540" s="12">
        <f t="shared" ref="O540:O545" si="59">+M540*N540</f>
        <v>1626.4422777777781</v>
      </c>
    </row>
    <row r="541" spans="1:16" ht="15.75" customHeight="1" x14ac:dyDescent="0.2">
      <c r="A541" s="119"/>
      <c r="B541" s="66" t="s">
        <v>49</v>
      </c>
      <c r="C541" s="126">
        <v>0.01</v>
      </c>
      <c r="D541" s="94">
        <f>+VLOOKUP(B541,'PRECIO PROVEEDORES'!$A$2:$B$716,2,0)</f>
        <v>1633</v>
      </c>
      <c r="E541" s="12">
        <f t="shared" si="57"/>
        <v>16.330000000000002</v>
      </c>
      <c r="F541" s="119"/>
      <c r="G541" s="66" t="s">
        <v>237</v>
      </c>
      <c r="H541" s="126">
        <v>9</v>
      </c>
      <c r="I541" s="94">
        <f>+VLOOKUP(G541,'PRECIO PROVEEDORES'!$A$2:$B$716,2,0)</f>
        <v>1043.22</v>
      </c>
      <c r="J541" s="12">
        <f t="shared" si="58"/>
        <v>9388.98</v>
      </c>
      <c r="L541" s="7" t="s">
        <v>305</v>
      </c>
      <c r="M541" s="126">
        <v>0.05</v>
      </c>
      <c r="N541" s="94">
        <f>+VLOOKUP(L541,'PRECIO PROVEEDORES'!$A$2:$B$716,2,0)</f>
        <v>12959</v>
      </c>
      <c r="O541" s="12">
        <f t="shared" si="59"/>
        <v>647.95000000000005</v>
      </c>
    </row>
    <row r="542" spans="1:16" ht="15.75" customHeight="1" x14ac:dyDescent="0.2">
      <c r="A542" s="119"/>
      <c r="B542" s="64" t="s">
        <v>115</v>
      </c>
      <c r="C542" s="126">
        <v>0.05</v>
      </c>
      <c r="D542" s="94">
        <f>+VLOOKUP(B542,'PRECIO PROVEEDORES'!$A$2:$B$716,2,0)</f>
        <v>4299.01</v>
      </c>
      <c r="E542" s="12">
        <f t="shared" si="57"/>
        <v>214.95050000000003</v>
      </c>
      <c r="F542" s="119"/>
      <c r="G542" s="64" t="s">
        <v>49</v>
      </c>
      <c r="H542" s="126">
        <v>0.2</v>
      </c>
      <c r="I542" s="94">
        <f>+VLOOKUP(G542,'PRECIO PROVEEDORES'!$A$2:$B$716,2,0)</f>
        <v>1633</v>
      </c>
      <c r="J542" s="12">
        <f t="shared" si="58"/>
        <v>326.60000000000002</v>
      </c>
      <c r="L542" s="64" t="s">
        <v>280</v>
      </c>
      <c r="M542" s="126">
        <v>0.05</v>
      </c>
      <c r="N542" s="94">
        <f>+VLOOKUP(L542,'PRECIO PROVEEDORES'!$A$2:$B$716,2,0)</f>
        <v>3356</v>
      </c>
      <c r="O542" s="12">
        <f t="shared" si="59"/>
        <v>167.8</v>
      </c>
    </row>
    <row r="543" spans="1:16" ht="15.75" customHeight="1" x14ac:dyDescent="0.2">
      <c r="A543" s="119"/>
      <c r="B543" s="71" t="s">
        <v>581</v>
      </c>
      <c r="C543" s="126">
        <v>0.25</v>
      </c>
      <c r="D543" s="94"/>
      <c r="E543" s="12"/>
      <c r="F543" s="119"/>
      <c r="G543" s="71" t="s">
        <v>370</v>
      </c>
      <c r="H543" s="126">
        <v>0.34</v>
      </c>
      <c r="I543" s="94">
        <f>+VLOOKUP(G543,'PRECIO PROVEEDORES'!$A$2:$B$716,2,0)</f>
        <v>1037</v>
      </c>
      <c r="J543" s="12">
        <f t="shared" si="58"/>
        <v>352.58000000000004</v>
      </c>
      <c r="L543" s="71" t="s">
        <v>314</v>
      </c>
      <c r="M543" s="126">
        <v>0.12</v>
      </c>
      <c r="N543" s="94">
        <f>+VLOOKUP(L543,'PRECIO PROVEEDORES'!$A$2:$B$716,2,0)</f>
        <v>6236.3440000000001</v>
      </c>
      <c r="O543" s="12">
        <f t="shared" si="59"/>
        <v>748.36127999999997</v>
      </c>
    </row>
    <row r="544" spans="1:16" ht="15.75" customHeight="1" x14ac:dyDescent="0.2">
      <c r="A544" s="119"/>
      <c r="B544" s="66"/>
      <c r="C544" s="126"/>
      <c r="D544" s="94"/>
      <c r="E544" s="12"/>
      <c r="F544" s="119"/>
      <c r="G544" s="66" t="s">
        <v>493</v>
      </c>
      <c r="H544" s="126">
        <v>6</v>
      </c>
      <c r="I544" s="94">
        <f>+VLOOKUP(G544,'PRECIO PROVEEDORES'!$A$2:$B$716,2,0)</f>
        <v>12000</v>
      </c>
      <c r="J544" s="12">
        <f t="shared" si="58"/>
        <v>72000</v>
      </c>
      <c r="L544" s="66" t="s">
        <v>221</v>
      </c>
      <c r="M544" s="126">
        <v>0.02</v>
      </c>
      <c r="N544" s="94">
        <f>+VLOOKUP(L544,'PRECIO PROVEEDORES'!$A$2:$B$716,2,0)</f>
        <v>1440</v>
      </c>
      <c r="O544" s="12">
        <f t="shared" si="59"/>
        <v>28.8</v>
      </c>
    </row>
    <row r="545" spans="1:15" ht="15.75" customHeight="1" x14ac:dyDescent="0.2">
      <c r="A545" s="119"/>
      <c r="B545" s="66"/>
      <c r="C545" s="126"/>
      <c r="D545" s="94"/>
      <c r="E545" s="12"/>
      <c r="F545" s="119"/>
      <c r="G545" s="66" t="s">
        <v>367</v>
      </c>
      <c r="H545" s="126">
        <v>4.5</v>
      </c>
      <c r="I545" s="94">
        <f>+VLOOKUP(G545,'PRECIO PROVEEDORES'!$A$2:$B$716,2,0)</f>
        <v>0</v>
      </c>
      <c r="J545" s="12">
        <f t="shared" si="58"/>
        <v>0</v>
      </c>
      <c r="L545" s="7" t="s">
        <v>500</v>
      </c>
      <c r="M545" s="126">
        <v>2.5000000000000001E-2</v>
      </c>
      <c r="N545" s="94">
        <f>+VLOOKUP(L545,'PRECIO PROVEEDORES'!$A$2:$B$716,2,0)</f>
        <v>10030</v>
      </c>
      <c r="O545" s="12">
        <f t="shared" si="59"/>
        <v>250.75</v>
      </c>
    </row>
    <row r="546" spans="1:15" ht="15.75" customHeight="1" x14ac:dyDescent="0.2">
      <c r="A546" s="119"/>
      <c r="B546" s="66"/>
      <c r="C546" s="68"/>
      <c r="D546" s="69"/>
      <c r="E546" s="70"/>
      <c r="F546" s="119"/>
      <c r="G546" s="66" t="s">
        <v>511</v>
      </c>
      <c r="H546" s="68">
        <v>1.3</v>
      </c>
      <c r="I546" s="94">
        <f>+VLOOKUP(G546,'PRECIO PROVEEDORES'!$A$2:$B$716,2,0)</f>
        <v>5067.2</v>
      </c>
      <c r="J546" s="12">
        <f t="shared" si="58"/>
        <v>6587.36</v>
      </c>
      <c r="L546" s="66"/>
      <c r="M546" s="68"/>
      <c r="N546" s="94"/>
      <c r="O546" s="12"/>
    </row>
    <row r="547" spans="1:15" ht="15.75" customHeight="1" x14ac:dyDescent="0.15">
      <c r="A547" s="119"/>
      <c r="B547" s="64"/>
      <c r="C547" s="68"/>
      <c r="D547" s="69"/>
      <c r="E547" s="70"/>
      <c r="F547" s="119"/>
      <c r="G547" s="64"/>
      <c r="H547" s="68"/>
      <c r="I547" s="69"/>
      <c r="J547" s="70"/>
      <c r="L547" s="64"/>
      <c r="M547" s="68"/>
      <c r="N547" s="69"/>
      <c r="O547" s="70"/>
    </row>
    <row r="548" spans="1:15" ht="15.75" customHeight="1" x14ac:dyDescent="0.15">
      <c r="A548" s="119"/>
      <c r="B548" s="71"/>
      <c r="C548" s="68"/>
      <c r="D548" s="69"/>
      <c r="E548" s="70"/>
      <c r="F548" s="119"/>
      <c r="G548" s="71"/>
      <c r="H548" s="68"/>
      <c r="I548" s="69"/>
      <c r="J548" s="70"/>
      <c r="L548" s="71"/>
      <c r="M548" s="68"/>
      <c r="N548" s="69"/>
      <c r="O548" s="70"/>
    </row>
    <row r="549" spans="1:15" ht="15.75" customHeight="1" x14ac:dyDescent="0.15">
      <c r="A549" s="119"/>
      <c r="B549" s="71"/>
      <c r="C549" s="68"/>
      <c r="D549" s="69"/>
      <c r="E549" s="70"/>
      <c r="F549" s="119"/>
      <c r="G549" s="71"/>
      <c r="H549" s="68"/>
      <c r="I549" s="69"/>
      <c r="J549" s="70"/>
      <c r="L549" s="71"/>
      <c r="M549" s="68"/>
      <c r="N549" s="69"/>
      <c r="O549" s="70"/>
    </row>
    <row r="550" spans="1:15" ht="15.75" customHeight="1" x14ac:dyDescent="0.15">
      <c r="A550" s="119"/>
      <c r="B550" s="71"/>
      <c r="C550" s="66"/>
      <c r="D550" s="69"/>
      <c r="E550" s="70"/>
      <c r="F550" s="119"/>
      <c r="G550" s="71"/>
      <c r="H550" s="66"/>
      <c r="I550" s="69"/>
      <c r="J550" s="70"/>
      <c r="L550" s="71"/>
      <c r="M550" s="66"/>
      <c r="N550" s="69"/>
      <c r="O550" s="70"/>
    </row>
    <row r="551" spans="1:15" ht="15.75" customHeight="1" x14ac:dyDescent="0.15">
      <c r="A551" s="119"/>
      <c r="B551" s="71"/>
      <c r="C551" s="66"/>
      <c r="D551" s="69"/>
      <c r="E551" s="70"/>
      <c r="F551" s="119"/>
      <c r="G551" s="71"/>
      <c r="H551" s="66"/>
      <c r="I551" s="69"/>
      <c r="J551" s="70"/>
      <c r="L551" s="71"/>
      <c r="M551" s="66"/>
      <c r="N551" s="69"/>
      <c r="O551" s="70"/>
    </row>
    <row r="552" spans="1:15" ht="15.75" customHeight="1" x14ac:dyDescent="0.15">
      <c r="A552" s="119"/>
      <c r="B552" s="64"/>
      <c r="C552" s="66"/>
      <c r="D552" s="69"/>
      <c r="E552" s="70"/>
      <c r="F552" s="119"/>
      <c r="G552" s="64"/>
      <c r="H552" s="66"/>
      <c r="I552" s="69"/>
      <c r="J552" s="70"/>
      <c r="L552" s="64"/>
      <c r="M552" s="66"/>
      <c r="N552" s="69"/>
      <c r="O552" s="70"/>
    </row>
    <row r="553" spans="1:15" ht="15.75" customHeight="1" x14ac:dyDescent="0.15">
      <c r="A553" s="119"/>
      <c r="B553" s="64"/>
      <c r="C553" s="66"/>
      <c r="D553" s="69"/>
      <c r="E553" s="70"/>
      <c r="F553" s="119"/>
      <c r="G553" s="64"/>
      <c r="H553" s="66"/>
      <c r="I553" s="69"/>
      <c r="J553" s="70"/>
      <c r="L553" s="64"/>
      <c r="M553" s="66"/>
      <c r="N553" s="69"/>
      <c r="O553" s="70"/>
    </row>
    <row r="554" spans="1:15" ht="15.75" customHeight="1" x14ac:dyDescent="0.15">
      <c r="A554" s="119"/>
      <c r="B554" s="64"/>
      <c r="C554" s="66"/>
      <c r="D554" s="69"/>
      <c r="E554" s="70"/>
      <c r="F554" s="119"/>
      <c r="G554" s="64"/>
      <c r="H554" s="66"/>
      <c r="I554" s="69"/>
      <c r="J554" s="70"/>
      <c r="L554" s="64"/>
      <c r="M554" s="66"/>
      <c r="N554" s="69"/>
      <c r="O554" s="70"/>
    </row>
    <row r="555" spans="1:15" ht="15.75" customHeight="1" x14ac:dyDescent="0.2">
      <c r="A555" s="119"/>
      <c r="B555" s="72" t="s">
        <v>52</v>
      </c>
      <c r="C555" s="73"/>
      <c r="D555" s="74"/>
      <c r="E555" s="95">
        <f>SUM(E540:E554)</f>
        <v>676.28050000000007</v>
      </c>
      <c r="F555" s="119"/>
      <c r="G555" s="72" t="s">
        <v>52</v>
      </c>
      <c r="H555" s="73"/>
      <c r="I555" s="74"/>
      <c r="J555" s="95">
        <f>SUM(J540:J554)</f>
        <v>89545.52</v>
      </c>
      <c r="L555" s="72" t="s">
        <v>52</v>
      </c>
      <c r="M555" s="73"/>
      <c r="N555" s="74"/>
      <c r="O555" s="95">
        <f>SUM(O540:O554)</f>
        <v>3470.1035577777784</v>
      </c>
    </row>
    <row r="556" spans="1:15" ht="15.75" customHeight="1" x14ac:dyDescent="0.2">
      <c r="A556" s="119"/>
      <c r="B556" s="76" t="s">
        <v>53</v>
      </c>
      <c r="C556" s="77"/>
      <c r="D556" s="78"/>
      <c r="E556" s="96">
        <f>SUM(E555)</f>
        <v>676.28050000000007</v>
      </c>
      <c r="F556" s="119"/>
      <c r="G556" s="76" t="s">
        <v>53</v>
      </c>
      <c r="H556" s="77"/>
      <c r="I556" s="78"/>
      <c r="J556" s="96">
        <f>SUM(J555)</f>
        <v>89545.52</v>
      </c>
      <c r="L556" s="76" t="s">
        <v>53</v>
      </c>
      <c r="M556" s="77"/>
      <c r="N556" s="78"/>
      <c r="O556" s="96">
        <f>SUM(O555)</f>
        <v>3470.1035577777784</v>
      </c>
    </row>
    <row r="557" spans="1:15" ht="15.75" customHeight="1" x14ac:dyDescent="0.2">
      <c r="A557" s="119"/>
      <c r="B557" s="76" t="s">
        <v>54</v>
      </c>
      <c r="C557" s="77"/>
      <c r="D557" s="78"/>
      <c r="E557" s="96">
        <f>+E556/8</f>
        <v>84.535062500000009</v>
      </c>
      <c r="F557" s="119"/>
      <c r="G557" s="76" t="s">
        <v>54</v>
      </c>
      <c r="H557" s="77"/>
      <c r="I557" s="78"/>
      <c r="J557" s="96">
        <f>+J556/200</f>
        <v>447.7276</v>
      </c>
      <c r="L557" s="76" t="s">
        <v>54</v>
      </c>
      <c r="M557" s="77"/>
      <c r="N557" s="78"/>
      <c r="O557" s="96">
        <f>+O556</f>
        <v>3470.1035577777784</v>
      </c>
    </row>
    <row r="558" spans="1:15" ht="15.75" customHeight="1" x14ac:dyDescent="0.2">
      <c r="A558" s="119"/>
      <c r="B558" s="76" t="s">
        <v>55</v>
      </c>
      <c r="C558" s="77"/>
      <c r="D558" s="80">
        <v>0.3</v>
      </c>
      <c r="E558" s="81"/>
      <c r="F558" s="119"/>
      <c r="G558" s="76" t="s">
        <v>55</v>
      </c>
      <c r="H558" s="77"/>
      <c r="I558" s="80">
        <v>0.3</v>
      </c>
      <c r="J558" s="81"/>
      <c r="L558" s="76" t="s">
        <v>55</v>
      </c>
      <c r="M558" s="77"/>
      <c r="N558" s="80">
        <v>0.3</v>
      </c>
      <c r="O558" s="81"/>
    </row>
    <row r="559" spans="1:15" ht="15.75" customHeight="1" x14ac:dyDescent="0.2">
      <c r="A559" s="119"/>
      <c r="B559" s="76" t="s">
        <v>56</v>
      </c>
      <c r="C559" s="77"/>
      <c r="D559" s="82"/>
      <c r="E559" s="96">
        <f>+E557*3.33333333333333</f>
        <v>281.78354166666639</v>
      </c>
      <c r="F559" s="119"/>
      <c r="G559" s="76" t="s">
        <v>56</v>
      </c>
      <c r="H559" s="77"/>
      <c r="I559" s="82"/>
      <c r="J559" s="96">
        <f>+J557*3.33333333333333</f>
        <v>1492.4253333333318</v>
      </c>
      <c r="L559" s="76" t="s">
        <v>56</v>
      </c>
      <c r="M559" s="77"/>
      <c r="N559" s="82"/>
      <c r="O559" s="96">
        <f>+O557*3.33333333333333</f>
        <v>11567.01185925925</v>
      </c>
    </row>
    <row r="560" spans="1:15" ht="15.75" customHeight="1" x14ac:dyDescent="0.2">
      <c r="A560" s="119"/>
      <c r="B560" s="76" t="s">
        <v>250</v>
      </c>
      <c r="C560" s="77"/>
      <c r="D560" s="129"/>
      <c r="E560" s="96">
        <v>253</v>
      </c>
      <c r="F560" s="119"/>
      <c r="G560" s="76" t="s">
        <v>250</v>
      </c>
      <c r="H560" s="77"/>
      <c r="I560" s="129"/>
      <c r="J560" s="96">
        <v>1342</v>
      </c>
      <c r="L560" s="76" t="s">
        <v>250</v>
      </c>
      <c r="M560" s="77"/>
      <c r="N560" s="129"/>
      <c r="O560" s="96">
        <v>18000</v>
      </c>
    </row>
    <row r="561" spans="1:20" ht="15.75" customHeight="1" x14ac:dyDescent="0.2">
      <c r="A561" s="119"/>
      <c r="B561" s="71"/>
      <c r="C561" s="77"/>
      <c r="D561" s="78"/>
      <c r="E561" s="95">
        <f>+E560-E559</f>
        <v>-28.783541666666395</v>
      </c>
      <c r="F561" s="119"/>
      <c r="G561" s="71"/>
      <c r="H561" s="77"/>
      <c r="I561" s="78"/>
      <c r="J561" s="95">
        <f>+J560-J559</f>
        <v>-150.42533333333176</v>
      </c>
      <c r="L561" s="71"/>
      <c r="M561" s="77"/>
      <c r="N561" s="78"/>
      <c r="O561" s="95">
        <f>+O560-O559</f>
        <v>6432.9881407407502</v>
      </c>
    </row>
    <row r="562" spans="1:20" ht="15.75" customHeight="1" x14ac:dyDescent="0.2">
      <c r="A562" s="119"/>
      <c r="B562" s="32" t="s">
        <v>58</v>
      </c>
      <c r="C562" s="83"/>
      <c r="D562" s="110"/>
      <c r="E562" s="98">
        <f>E557/E560</f>
        <v>0.33413068181818184</v>
      </c>
      <c r="F562" s="119"/>
      <c r="G562" s="32" t="s">
        <v>58</v>
      </c>
      <c r="H562" s="83"/>
      <c r="I562" s="110"/>
      <c r="J562" s="98">
        <f>J557/J560</f>
        <v>0.33362712369597614</v>
      </c>
      <c r="L562" s="32" t="s">
        <v>58</v>
      </c>
      <c r="M562" s="83"/>
      <c r="N562" s="110"/>
      <c r="O562" s="98">
        <f>O557/O560</f>
        <v>0.19278353098765436</v>
      </c>
    </row>
    <row r="563" spans="1:20" ht="15.75" customHeight="1" x14ac:dyDescent="0.15"/>
    <row r="564" spans="1:20" ht="15.75" customHeight="1" x14ac:dyDescent="0.15"/>
    <row r="565" spans="1:20" ht="15.75" customHeight="1" x14ac:dyDescent="0.2">
      <c r="B565" s="218" t="s">
        <v>582</v>
      </c>
      <c r="C565" s="213"/>
      <c r="D565" s="213"/>
      <c r="E565" s="214"/>
      <c r="G565" s="212" t="s">
        <v>583</v>
      </c>
      <c r="H565" s="213"/>
      <c r="I565" s="213"/>
      <c r="J565" s="214"/>
    </row>
    <row r="566" spans="1:20" ht="15.75" customHeight="1" x14ac:dyDescent="0.2">
      <c r="B566" s="64"/>
      <c r="C566" s="65" t="s">
        <v>8</v>
      </c>
      <c r="D566" s="7" t="s">
        <v>9</v>
      </c>
      <c r="E566" s="8" t="s">
        <v>10</v>
      </c>
      <c r="G566" s="5"/>
      <c r="H566" s="6" t="s">
        <v>8</v>
      </c>
      <c r="I566" s="7" t="s">
        <v>9</v>
      </c>
      <c r="J566" s="8" t="s">
        <v>10</v>
      </c>
      <c r="L566" s="218" t="s">
        <v>584</v>
      </c>
      <c r="M566" s="213"/>
      <c r="N566" s="213"/>
      <c r="O566" s="214"/>
      <c r="Q566" s="218" t="s">
        <v>585</v>
      </c>
      <c r="R566" s="213"/>
      <c r="S566" s="213"/>
      <c r="T566" s="214"/>
    </row>
    <row r="567" spans="1:20" ht="15.75" customHeight="1" x14ac:dyDescent="0.2">
      <c r="B567" s="66" t="s">
        <v>239</v>
      </c>
      <c r="C567" s="126">
        <v>1</v>
      </c>
      <c r="D567" s="94">
        <f>+VLOOKUP(B567,'PRECIO PROVEEDORES'!$A$2:$B$716,2,0)</f>
        <v>890</v>
      </c>
      <c r="E567" s="12">
        <f t="shared" ref="E567:E574" si="60">+C567*D567</f>
        <v>890</v>
      </c>
      <c r="G567" s="13" t="s">
        <v>247</v>
      </c>
      <c r="H567" s="10">
        <v>0.22500000000000001</v>
      </c>
      <c r="I567" s="11">
        <f>+VLOOKUP(G567,'PRECIO PROVEEDORES'!$A$2:$B$716,2,0)</f>
        <v>12000</v>
      </c>
      <c r="J567" s="12">
        <f t="shared" ref="J567:J579" si="61">+H567*I567</f>
        <v>2700</v>
      </c>
      <c r="L567" s="64"/>
      <c r="M567" s="65" t="s">
        <v>8</v>
      </c>
      <c r="N567" s="7" t="s">
        <v>9</v>
      </c>
      <c r="O567" s="8" t="s">
        <v>10</v>
      </c>
      <c r="Q567" s="64"/>
      <c r="R567" s="65" t="s">
        <v>8</v>
      </c>
      <c r="S567" s="7" t="s">
        <v>9</v>
      </c>
      <c r="T567" s="8" t="s">
        <v>10</v>
      </c>
    </row>
    <row r="568" spans="1:20" ht="15.75" customHeight="1" x14ac:dyDescent="0.2">
      <c r="B568" s="66" t="s">
        <v>210</v>
      </c>
      <c r="C568" s="126">
        <v>0.02</v>
      </c>
      <c r="D568" s="94">
        <f>+VLOOKUP(B568,'PRECIO PROVEEDORES'!$A$2:$B$716,2,0)</f>
        <v>1352</v>
      </c>
      <c r="E568" s="12">
        <f t="shared" si="60"/>
        <v>27.04</v>
      </c>
      <c r="G568" s="13" t="s">
        <v>210</v>
      </c>
      <c r="H568" s="10">
        <v>0.2</v>
      </c>
      <c r="I568" s="11">
        <f>+VLOOKUP(G568,'PRECIO PROVEEDORES'!$A$2:$B$716,2,0)</f>
        <v>1352</v>
      </c>
      <c r="J568" s="12">
        <f t="shared" si="61"/>
        <v>270.40000000000003</v>
      </c>
      <c r="L568" s="13" t="s">
        <v>247</v>
      </c>
      <c r="M568" s="10">
        <v>0.32</v>
      </c>
      <c r="N568" s="94">
        <f>+VLOOKUP(L568,'PRECIO PROVEEDORES'!$A$2:$B$716,2,0)</f>
        <v>12000</v>
      </c>
      <c r="O568" s="12">
        <f t="shared" ref="O568:O578" si="62">+M568*N568</f>
        <v>3840</v>
      </c>
      <c r="Q568" s="71" t="s">
        <v>493</v>
      </c>
      <c r="R568" s="126">
        <v>0.32500000000000001</v>
      </c>
      <c r="S568" s="94">
        <f>+VLOOKUP(Q568,'PRECIO PROVEEDORES'!$A$2:$B$716,2,0)</f>
        <v>12000</v>
      </c>
      <c r="T568" s="12">
        <f t="shared" ref="T568:T579" si="63">+R568*S568</f>
        <v>3900</v>
      </c>
    </row>
    <row r="569" spans="1:20" ht="15.75" customHeight="1" x14ac:dyDescent="0.2">
      <c r="B569" s="64" t="s">
        <v>49</v>
      </c>
      <c r="C569" s="126">
        <v>0.02</v>
      </c>
      <c r="D569" s="94">
        <f>+VLOOKUP(B569,'PRECIO PROVEEDORES'!$A$2:$B$716,2,0)</f>
        <v>1633</v>
      </c>
      <c r="E569" s="12">
        <f t="shared" si="60"/>
        <v>32.660000000000004</v>
      </c>
      <c r="G569" s="7" t="s">
        <v>586</v>
      </c>
      <c r="H569" s="10">
        <v>0.2</v>
      </c>
      <c r="I569" s="11">
        <f>+VLOOKUP(G569,'PRECIO PROVEEDORES'!$A$2:$B$716,2,0)</f>
        <v>1911</v>
      </c>
      <c r="J569" s="12">
        <f t="shared" si="61"/>
        <v>382.20000000000005</v>
      </c>
      <c r="L569" s="13" t="s">
        <v>210</v>
      </c>
      <c r="M569" s="10">
        <v>0.4</v>
      </c>
      <c r="N569" s="94">
        <f>+VLOOKUP(L569,'PRECIO PROVEEDORES'!$A$2:$B$716,2,0)</f>
        <v>1352</v>
      </c>
      <c r="O569" s="12">
        <f t="shared" si="62"/>
        <v>540.80000000000007</v>
      </c>
      <c r="Q569" s="71" t="s">
        <v>586</v>
      </c>
      <c r="R569" s="126">
        <v>0.14499999999999999</v>
      </c>
      <c r="S569" s="94">
        <f>+VLOOKUP(Q569,'PRECIO PROVEEDORES'!$A$2:$B$716,2,0)</f>
        <v>1911</v>
      </c>
      <c r="T569" s="12">
        <f t="shared" si="63"/>
        <v>277.09499999999997</v>
      </c>
    </row>
    <row r="570" spans="1:20" ht="15.75" customHeight="1" x14ac:dyDescent="0.2">
      <c r="B570" s="71" t="s">
        <v>492</v>
      </c>
      <c r="C570" s="126">
        <v>2.5000000000000001E-2</v>
      </c>
      <c r="D570" s="94">
        <f>+VLOOKUP(B570,'PRECIO PROVEEDORES'!$A$2:$B$716,2,0)</f>
        <v>10373</v>
      </c>
      <c r="E570" s="12">
        <f t="shared" si="60"/>
        <v>259.32499999999999</v>
      </c>
      <c r="G570" s="7" t="s">
        <v>97</v>
      </c>
      <c r="H570" s="10">
        <v>2</v>
      </c>
      <c r="I570" s="11">
        <f>+VLOOKUP(G570,'PRECIO PROVEEDORES'!$A$2:$B$716,2,0)</f>
        <v>192</v>
      </c>
      <c r="J570" s="12">
        <f t="shared" si="61"/>
        <v>384</v>
      </c>
      <c r="L570" s="13" t="s">
        <v>17</v>
      </c>
      <c r="M570" s="10">
        <v>2</v>
      </c>
      <c r="N570" s="94">
        <f>+VLOOKUP(L570,'PRECIO PROVEEDORES'!$A$2:$B$716,2,0)</f>
        <v>192</v>
      </c>
      <c r="O570" s="12">
        <f t="shared" si="62"/>
        <v>384</v>
      </c>
      <c r="Q570" s="71" t="s">
        <v>97</v>
      </c>
      <c r="R570" s="126">
        <v>6</v>
      </c>
      <c r="S570" s="94">
        <f>+VLOOKUP(Q570,'PRECIO PROVEEDORES'!$A$2:$B$716,2,0)</f>
        <v>192</v>
      </c>
      <c r="T570" s="12">
        <f t="shared" si="63"/>
        <v>1152</v>
      </c>
    </row>
    <row r="571" spans="1:20" ht="15.75" customHeight="1" x14ac:dyDescent="0.2">
      <c r="B571" s="66" t="s">
        <v>337</v>
      </c>
      <c r="C571" s="126">
        <v>0.1</v>
      </c>
      <c r="D571" s="94">
        <f>+VLOOKUP(B571,'PRECIO PROVEEDORES'!$A$2:$B$716,2,0)</f>
        <v>16595</v>
      </c>
      <c r="E571" s="12">
        <f t="shared" si="60"/>
        <v>1659.5</v>
      </c>
      <c r="G571" s="13" t="s">
        <v>237</v>
      </c>
      <c r="H571" s="10">
        <v>0.46</v>
      </c>
      <c r="I571" s="11">
        <f>+VLOOKUP(G571,'PRECIO PROVEEDORES'!$A$2:$B$716,2,0)</f>
        <v>1043.22</v>
      </c>
      <c r="J571" s="12">
        <f t="shared" si="61"/>
        <v>479.88120000000004</v>
      </c>
      <c r="L571" s="13" t="s">
        <v>237</v>
      </c>
      <c r="M571" s="10">
        <v>0.53500000000000003</v>
      </c>
      <c r="N571" s="94">
        <f>+VLOOKUP(L571,'PRECIO PROVEEDORES'!$A$2:$B$716,2,0)</f>
        <v>1043.22</v>
      </c>
      <c r="O571" s="12">
        <f t="shared" si="62"/>
        <v>558.12270000000001</v>
      </c>
      <c r="Q571" s="71" t="s">
        <v>586</v>
      </c>
      <c r="R571" s="126">
        <v>0.18</v>
      </c>
      <c r="S571" s="94">
        <f>+VLOOKUP(Q571,'PRECIO PROVEEDORES'!$A$2:$B$716,2,0)</f>
        <v>1911</v>
      </c>
      <c r="T571" s="12">
        <f t="shared" si="63"/>
        <v>343.97999999999996</v>
      </c>
    </row>
    <row r="572" spans="1:20" ht="15.75" customHeight="1" x14ac:dyDescent="0.2">
      <c r="B572" s="66" t="s">
        <v>367</v>
      </c>
      <c r="C572" s="126">
        <v>0.7</v>
      </c>
      <c r="D572" s="94">
        <f>+VLOOKUP(B572,'PRECIO PROVEEDORES'!$A$2:$B$716,2,0)</f>
        <v>0</v>
      </c>
      <c r="E572" s="12">
        <f t="shared" si="60"/>
        <v>0</v>
      </c>
      <c r="G572" s="100" t="s">
        <v>245</v>
      </c>
      <c r="H572" s="10">
        <v>5.0000000000000001E-3</v>
      </c>
      <c r="I572" s="11">
        <f>+VLOOKUP(G572,'PRECIO PROVEEDORES'!$A$2:$B$716,2,0)</f>
        <v>2517</v>
      </c>
      <c r="J572" s="12">
        <f t="shared" si="61"/>
        <v>12.585000000000001</v>
      </c>
      <c r="L572" s="7" t="s">
        <v>246</v>
      </c>
      <c r="M572" s="10">
        <v>8.0000000000000002E-3</v>
      </c>
      <c r="N572" s="94">
        <f>+VLOOKUP(L572,'PRECIO PROVEEDORES'!$A$2:$B$716,2,0)</f>
        <v>6040</v>
      </c>
      <c r="O572" s="12">
        <f t="shared" si="62"/>
        <v>48.32</v>
      </c>
      <c r="Q572" s="71" t="s">
        <v>283</v>
      </c>
      <c r="R572" s="126">
        <v>0.05</v>
      </c>
      <c r="S572" s="94">
        <f>+VLOOKUP(Q572,'PRECIO PROVEEDORES'!$A$2:$B$716,2,0)</f>
        <v>36376.47</v>
      </c>
      <c r="T572" s="12">
        <f t="shared" si="63"/>
        <v>1818.8235000000002</v>
      </c>
    </row>
    <row r="573" spans="1:20" ht="15.75" customHeight="1" x14ac:dyDescent="0.2">
      <c r="B573" s="66" t="s">
        <v>384</v>
      </c>
      <c r="C573" s="126">
        <v>0.15</v>
      </c>
      <c r="D573" s="94">
        <f>+VLOOKUP(B573,'PRECIO PROVEEDORES'!$A$2:$B$716,2,0)</f>
        <v>2070</v>
      </c>
      <c r="E573" s="12">
        <f t="shared" si="60"/>
        <v>310.5</v>
      </c>
      <c r="G573" s="7" t="s">
        <v>246</v>
      </c>
      <c r="H573" s="10">
        <v>7.0000000000000001E-3</v>
      </c>
      <c r="I573" s="11">
        <f>+VLOOKUP(G573,'PRECIO PROVEEDORES'!$A$2:$B$716,2,0)</f>
        <v>6040</v>
      </c>
      <c r="J573" s="12">
        <f t="shared" si="61"/>
        <v>42.28</v>
      </c>
      <c r="L573" s="7" t="s">
        <v>249</v>
      </c>
      <c r="M573" s="10">
        <v>0.01</v>
      </c>
      <c r="N573" s="94">
        <f>+VLOOKUP(L573,'PRECIO PROVEEDORES'!$A$2:$B$716,2,0)</f>
        <v>2118</v>
      </c>
      <c r="O573" s="12">
        <f t="shared" si="62"/>
        <v>21.18</v>
      </c>
      <c r="Q573" s="71" t="s">
        <v>319</v>
      </c>
      <c r="R573" s="126">
        <v>0.32500000000000001</v>
      </c>
      <c r="S573" s="94">
        <f>+VLOOKUP(Q573,'PRECIO PROVEEDORES'!$A$2:$B$716,2,0)</f>
        <v>1043.22</v>
      </c>
      <c r="T573" s="12">
        <f t="shared" si="63"/>
        <v>339.04650000000004</v>
      </c>
    </row>
    <row r="574" spans="1:20" ht="15.75" customHeight="1" x14ac:dyDescent="0.2">
      <c r="B574" s="66" t="s">
        <v>587</v>
      </c>
      <c r="C574" s="126">
        <v>0.1</v>
      </c>
      <c r="D574" s="94">
        <f>+VLOOKUP(B574,'PRECIO PROVEEDORES'!$A$2:$B$716,2,0)</f>
        <v>4095</v>
      </c>
      <c r="E574" s="12">
        <f t="shared" si="60"/>
        <v>409.5</v>
      </c>
      <c r="G574" s="13" t="s">
        <v>49</v>
      </c>
      <c r="H574" s="36">
        <v>3.0000000000000001E-3</v>
      </c>
      <c r="I574" s="11">
        <f>+VLOOKUP(G574,'PRECIO PROVEEDORES'!$A$2:$B$716,2,0)</f>
        <v>1633</v>
      </c>
      <c r="J574" s="12">
        <f t="shared" si="61"/>
        <v>4.899</v>
      </c>
      <c r="L574" s="108" t="s">
        <v>256</v>
      </c>
      <c r="M574" s="10">
        <v>0.06</v>
      </c>
      <c r="N574" s="94">
        <f>+VLOOKUP(L574,'PRECIO PROVEEDORES'!$A$2:$B$716,2,0)</f>
        <v>34892</v>
      </c>
      <c r="O574" s="12">
        <f t="shared" si="62"/>
        <v>2093.52</v>
      </c>
      <c r="Q574" s="71" t="s">
        <v>246</v>
      </c>
      <c r="R574" s="68">
        <v>1.2E-2</v>
      </c>
      <c r="S574" s="94">
        <f>+VLOOKUP(Q574,'PRECIO PROVEEDORES'!$A$2:$B$716,2,0)</f>
        <v>6040</v>
      </c>
      <c r="T574" s="12">
        <f t="shared" si="63"/>
        <v>72.48</v>
      </c>
    </row>
    <row r="575" spans="1:20" ht="15.75" customHeight="1" x14ac:dyDescent="0.2">
      <c r="B575" s="66"/>
      <c r="C575" s="126"/>
      <c r="D575" s="94"/>
      <c r="E575" s="12"/>
      <c r="G575" s="107" t="s">
        <v>238</v>
      </c>
      <c r="H575" s="36">
        <v>6.5000000000000002E-2</v>
      </c>
      <c r="I575" s="11">
        <f>+VLOOKUP(G575,'PRECIO PROVEEDORES'!$A$2:$B$716,2,0)</f>
        <v>36068</v>
      </c>
      <c r="J575" s="12">
        <f t="shared" si="61"/>
        <v>2344.42</v>
      </c>
      <c r="L575" s="109" t="s">
        <v>244</v>
      </c>
      <c r="M575" s="10">
        <v>0.12</v>
      </c>
      <c r="N575" s="94">
        <f>+VLOOKUP(L575,'PRECIO PROVEEDORES'!$A$2:$B$716,2,0)</f>
        <v>24829</v>
      </c>
      <c r="O575" s="12">
        <f t="shared" si="62"/>
        <v>2979.48</v>
      </c>
      <c r="Q575" s="71" t="s">
        <v>500</v>
      </c>
      <c r="R575" s="68">
        <v>0.36</v>
      </c>
      <c r="S575" s="94">
        <f>+VLOOKUP(Q575,'PRECIO PROVEEDORES'!$A$2:$B$716,2,0)</f>
        <v>10030</v>
      </c>
      <c r="T575" s="12">
        <f t="shared" si="63"/>
        <v>3610.7999999999997</v>
      </c>
    </row>
    <row r="576" spans="1:20" ht="15.75" customHeight="1" x14ac:dyDescent="0.2">
      <c r="B576" s="71" t="s">
        <v>588</v>
      </c>
      <c r="C576" s="68">
        <v>0.15</v>
      </c>
      <c r="D576" s="94">
        <f>+VLOOKUP(B576,'PRECIO PROVEEDORES'!$A$2:$B$716,2,0)</f>
        <v>14881</v>
      </c>
      <c r="E576" s="12">
        <f>+C576*D576</f>
        <v>2232.15</v>
      </c>
      <c r="G576" s="108" t="s">
        <v>248</v>
      </c>
      <c r="H576" s="36">
        <v>6.5000000000000002E-2</v>
      </c>
      <c r="I576" s="11">
        <f>+VLOOKUP(G576,'PRECIO PROVEEDORES'!$A$2:$B$716,2,0)</f>
        <v>39988</v>
      </c>
      <c r="J576" s="12">
        <f t="shared" si="61"/>
        <v>2599.2200000000003</v>
      </c>
      <c r="L576" s="121" t="s">
        <v>444</v>
      </c>
      <c r="M576" s="66">
        <v>0.06</v>
      </c>
      <c r="N576" s="94">
        <f>+VLOOKUP(L576,'PRECIO PROVEEDORES'!$A$2:$B$716,2,0)</f>
        <v>9506</v>
      </c>
      <c r="O576" s="12">
        <f t="shared" si="62"/>
        <v>570.36</v>
      </c>
      <c r="Q576" s="71" t="s">
        <v>258</v>
      </c>
      <c r="R576" s="68">
        <v>0.45</v>
      </c>
      <c r="S576" s="94">
        <f>+VLOOKUP(Q576,'PRECIO PROVEEDORES'!$A$2:$B$716,2,0)</f>
        <v>10203</v>
      </c>
      <c r="T576" s="12">
        <f t="shared" si="63"/>
        <v>4591.3500000000004</v>
      </c>
    </row>
    <row r="577" spans="2:20" ht="15.75" customHeight="1" x14ac:dyDescent="0.2">
      <c r="B577" s="71"/>
      <c r="C577" s="66"/>
      <c r="D577" s="94"/>
      <c r="E577" s="12"/>
      <c r="G577" s="7" t="s">
        <v>249</v>
      </c>
      <c r="H577" s="36">
        <v>5.0000000000000001E-3</v>
      </c>
      <c r="I577" s="11">
        <f>+VLOOKUP(G577,'PRECIO PROVEEDORES'!$A$2:$B$716,2,0)</f>
        <v>2118</v>
      </c>
      <c r="J577" s="12">
        <f t="shared" si="61"/>
        <v>10.59</v>
      </c>
      <c r="L577" s="71" t="s">
        <v>292</v>
      </c>
      <c r="M577" s="66">
        <v>1.4999999999999999E-2</v>
      </c>
      <c r="N577" s="94">
        <f>+VLOOKUP(L577,'PRECIO PROVEEDORES'!$A$2:$B$716,2,0)</f>
        <v>8184</v>
      </c>
      <c r="O577" s="12">
        <f t="shared" si="62"/>
        <v>122.75999999999999</v>
      </c>
      <c r="Q577" s="71" t="s">
        <v>299</v>
      </c>
      <c r="R577" s="68">
        <v>0.08</v>
      </c>
      <c r="S577" s="94">
        <f>+VLOOKUP(Q577,'PRECIO PROVEEDORES'!$A$2:$B$716,2,0)</f>
        <v>18329</v>
      </c>
      <c r="T577" s="12">
        <f t="shared" si="63"/>
        <v>1466.32</v>
      </c>
    </row>
    <row r="578" spans="2:20" ht="15.75" customHeight="1" x14ac:dyDescent="0.2">
      <c r="B578" s="71"/>
      <c r="C578" s="66"/>
      <c r="D578" s="94"/>
      <c r="E578" s="12"/>
      <c r="G578" s="7" t="s">
        <v>500</v>
      </c>
      <c r="H578" s="130">
        <v>6.5000000000000002E-2</v>
      </c>
      <c r="I578" s="11">
        <f>+VLOOKUP(G578,'PRECIO PROVEEDORES'!$A$2:$B$716,2,0)</f>
        <v>10030</v>
      </c>
      <c r="J578" s="12">
        <f t="shared" si="61"/>
        <v>651.95000000000005</v>
      </c>
      <c r="L578" s="71" t="s">
        <v>503</v>
      </c>
      <c r="M578" s="66">
        <v>1.4999999999999999E-2</v>
      </c>
      <c r="N578" s="94">
        <f>+VLOOKUP(L578,'PRECIO PROVEEDORES'!$A$2:$B$716,2,0)</f>
        <v>7331</v>
      </c>
      <c r="O578" s="12">
        <f t="shared" si="62"/>
        <v>109.96499999999999</v>
      </c>
      <c r="Q578" s="71" t="s">
        <v>219</v>
      </c>
      <c r="R578" s="66">
        <v>8.0000000000000002E-3</v>
      </c>
      <c r="S578" s="94">
        <f>+VLOOKUP(Q578,'PRECIO PROVEEDORES'!$A$2:$B$716,2,0)</f>
        <v>2017.07</v>
      </c>
      <c r="T578" s="12">
        <f t="shared" si="63"/>
        <v>16.136559999999999</v>
      </c>
    </row>
    <row r="579" spans="2:20" ht="15.75" customHeight="1" x14ac:dyDescent="0.2">
      <c r="B579" s="64"/>
      <c r="C579" s="66"/>
      <c r="D579" s="69"/>
      <c r="E579" s="70"/>
      <c r="G579" s="7" t="s">
        <v>305</v>
      </c>
      <c r="H579" s="130">
        <v>6.5000000000000002E-2</v>
      </c>
      <c r="I579" s="11">
        <f>+VLOOKUP(G579,'PRECIO PROVEEDORES'!$A$2:$B$716,2,0)</f>
        <v>12959</v>
      </c>
      <c r="J579" s="12">
        <f t="shared" si="61"/>
        <v>842.33500000000004</v>
      </c>
      <c r="L579" s="71"/>
      <c r="M579" s="66"/>
      <c r="N579" s="69"/>
      <c r="O579" s="70"/>
      <c r="Q579" s="71" t="s">
        <v>367</v>
      </c>
      <c r="R579" s="66">
        <v>0.04</v>
      </c>
      <c r="S579" s="94">
        <f>+VLOOKUP(Q579,'PRECIO PROVEEDORES'!$A$2:$B$716,2,0)</f>
        <v>0</v>
      </c>
      <c r="T579" s="12">
        <f t="shared" si="63"/>
        <v>0</v>
      </c>
    </row>
    <row r="580" spans="2:20" ht="15.75" customHeight="1" x14ac:dyDescent="0.2">
      <c r="B580" s="64"/>
      <c r="C580" s="66"/>
      <c r="D580" s="69"/>
      <c r="E580" s="70"/>
      <c r="G580" s="5"/>
      <c r="H580" s="123"/>
      <c r="I580" s="11"/>
      <c r="J580" s="12"/>
      <c r="L580" s="64"/>
      <c r="M580" s="66"/>
      <c r="N580" s="69"/>
      <c r="O580" s="70"/>
      <c r="Q580" s="64"/>
      <c r="R580" s="66"/>
      <c r="S580" s="69"/>
      <c r="T580" s="70"/>
    </row>
    <row r="581" spans="2:20" ht="15.75" customHeight="1" x14ac:dyDescent="0.2">
      <c r="B581" s="64"/>
      <c r="C581" s="66"/>
      <c r="D581" s="69"/>
      <c r="E581" s="70"/>
      <c r="G581" s="5"/>
      <c r="H581" s="7"/>
      <c r="I581" s="11"/>
      <c r="J581" s="12"/>
      <c r="L581" s="64"/>
      <c r="M581" s="66"/>
      <c r="N581" s="69"/>
      <c r="O581" s="70"/>
      <c r="Q581" s="64"/>
      <c r="R581" s="66"/>
      <c r="S581" s="69"/>
      <c r="T581" s="70"/>
    </row>
    <row r="582" spans="2:20" ht="15.75" customHeight="1" x14ac:dyDescent="0.2">
      <c r="B582" s="72" t="s">
        <v>52</v>
      </c>
      <c r="C582" s="73"/>
      <c r="D582" s="74"/>
      <c r="E582" s="95">
        <f>SUM(E567:E581)</f>
        <v>5820.6749999999993</v>
      </c>
      <c r="G582" s="21" t="s">
        <v>52</v>
      </c>
      <c r="H582" s="22"/>
      <c r="I582" s="23"/>
      <c r="J582" s="24">
        <f>SUM(J567:J581)</f>
        <v>10724.760200000001</v>
      </c>
      <c r="L582" s="64"/>
      <c r="M582" s="66"/>
      <c r="N582" s="69"/>
      <c r="O582" s="70"/>
      <c r="Q582" s="64"/>
      <c r="R582" s="66"/>
      <c r="S582" s="69"/>
      <c r="T582" s="70"/>
    </row>
    <row r="583" spans="2:20" ht="15.75" customHeight="1" x14ac:dyDescent="0.2">
      <c r="B583" s="76" t="s">
        <v>53</v>
      </c>
      <c r="C583" s="77"/>
      <c r="D583" s="78"/>
      <c r="E583" s="96">
        <f>SUM(E582)</f>
        <v>5820.6749999999993</v>
      </c>
      <c r="G583" s="19" t="s">
        <v>53</v>
      </c>
      <c r="H583" s="27"/>
      <c r="I583" s="28"/>
      <c r="J583" s="29">
        <f>SUM(J582)</f>
        <v>10724.760200000001</v>
      </c>
      <c r="L583" s="72" t="s">
        <v>52</v>
      </c>
      <c r="M583" s="73"/>
      <c r="N583" s="74"/>
      <c r="O583" s="95">
        <f>SUM(O568:O582)</f>
        <v>11268.5077</v>
      </c>
      <c r="Q583" s="72" t="s">
        <v>52</v>
      </c>
      <c r="R583" s="73"/>
      <c r="S583" s="74"/>
      <c r="T583" s="95">
        <f>SUM(T568:T582)</f>
        <v>17588.031559999999</v>
      </c>
    </row>
    <row r="584" spans="2:20" ht="15.75" customHeight="1" x14ac:dyDescent="0.2">
      <c r="B584" s="76" t="s">
        <v>54</v>
      </c>
      <c r="C584" s="77"/>
      <c r="D584" s="78"/>
      <c r="E584" s="96">
        <f>+E583</f>
        <v>5820.6749999999993</v>
      </c>
      <c r="G584" s="19" t="s">
        <v>54</v>
      </c>
      <c r="H584" s="27"/>
      <c r="I584" s="28"/>
      <c r="J584" s="29">
        <f>+J583/14</f>
        <v>766.05430000000001</v>
      </c>
      <c r="L584" s="76" t="s">
        <v>53</v>
      </c>
      <c r="M584" s="77"/>
      <c r="N584" s="78"/>
      <c r="O584" s="96">
        <f>SUM(O583)</f>
        <v>11268.5077</v>
      </c>
      <c r="Q584" s="76" t="s">
        <v>53</v>
      </c>
      <c r="R584" s="77"/>
      <c r="S584" s="78"/>
      <c r="T584" s="96">
        <f>SUM(T583)</f>
        <v>17588.031559999999</v>
      </c>
    </row>
    <row r="585" spans="2:20" ht="15.75" customHeight="1" x14ac:dyDescent="0.2">
      <c r="B585" s="76" t="s">
        <v>55</v>
      </c>
      <c r="C585" s="77"/>
      <c r="D585" s="80">
        <v>0.3</v>
      </c>
      <c r="E585" s="81"/>
      <c r="G585" s="19" t="s">
        <v>55</v>
      </c>
      <c r="H585" s="27"/>
      <c r="I585" s="31">
        <v>0.3</v>
      </c>
      <c r="J585" s="29"/>
      <c r="L585" s="76" t="s">
        <v>54</v>
      </c>
      <c r="M585" s="77"/>
      <c r="N585" s="78"/>
      <c r="O585" s="96">
        <f>+O584/16</f>
        <v>704.28173125000001</v>
      </c>
      <c r="Q585" s="76" t="s">
        <v>54</v>
      </c>
      <c r="R585" s="77"/>
      <c r="S585" s="78"/>
      <c r="T585" s="96">
        <f>+T584</f>
        <v>17588.031559999999</v>
      </c>
    </row>
    <row r="586" spans="2:20" ht="15.75" customHeight="1" x14ac:dyDescent="0.2">
      <c r="B586" s="76" t="s">
        <v>56</v>
      </c>
      <c r="C586" s="77"/>
      <c r="D586" s="82"/>
      <c r="E586" s="96">
        <f>+E584*3.33333333333333</f>
        <v>19402.249999999978</v>
      </c>
      <c r="G586" s="19" t="s">
        <v>56</v>
      </c>
      <c r="H586" s="27"/>
      <c r="I586" s="31"/>
      <c r="J586" s="29">
        <f>+J584*3.33333333333333</f>
        <v>2553.5143333333308</v>
      </c>
      <c r="L586" s="76" t="s">
        <v>55</v>
      </c>
      <c r="M586" s="77"/>
      <c r="N586" s="80">
        <v>0.3</v>
      </c>
      <c r="O586" s="81"/>
      <c r="Q586" s="76" t="s">
        <v>55</v>
      </c>
      <c r="R586" s="77"/>
      <c r="S586" s="80">
        <v>0.3</v>
      </c>
      <c r="T586" s="81"/>
    </row>
    <row r="587" spans="2:20" ht="15.75" customHeight="1" x14ac:dyDescent="0.2">
      <c r="B587" s="76" t="s">
        <v>250</v>
      </c>
      <c r="C587" s="77"/>
      <c r="D587" s="129">
        <f>17100*1000/1750</f>
        <v>9771.4285714285706</v>
      </c>
      <c r="E587" s="96">
        <v>20000</v>
      </c>
      <c r="G587" s="19" t="s">
        <v>57</v>
      </c>
      <c r="H587" s="27"/>
      <c r="I587" s="27">
        <v>2299</v>
      </c>
      <c r="J587" s="29"/>
      <c r="L587" s="76" t="s">
        <v>56</v>
      </c>
      <c r="M587" s="77"/>
      <c r="N587" s="82"/>
      <c r="O587" s="96">
        <f>+O585*3.33333333333333</f>
        <v>2347.605770833331</v>
      </c>
      <c r="Q587" s="76" t="s">
        <v>56</v>
      </c>
      <c r="R587" s="77"/>
      <c r="S587" s="82"/>
      <c r="T587" s="96">
        <f>+T585*3.33333333333333</f>
        <v>58626.771866666604</v>
      </c>
    </row>
    <row r="588" spans="2:20" ht="15.75" customHeight="1" x14ac:dyDescent="0.2">
      <c r="B588" s="71"/>
      <c r="C588" s="77"/>
      <c r="D588" s="78"/>
      <c r="E588" s="95">
        <f>+E587-E586</f>
        <v>597.75000000002183</v>
      </c>
      <c r="G588" s="19"/>
      <c r="H588" s="27"/>
      <c r="I588" s="28"/>
      <c r="J588" s="24">
        <f>+J587-J586</f>
        <v>-2553.5143333333308</v>
      </c>
      <c r="L588" s="76" t="s">
        <v>57</v>
      </c>
      <c r="M588" s="77"/>
      <c r="N588" s="77">
        <v>2113</v>
      </c>
      <c r="O588" s="96">
        <v>3366.66</v>
      </c>
      <c r="Q588" s="76" t="s">
        <v>250</v>
      </c>
      <c r="R588" s="77"/>
      <c r="S588" s="129">
        <f>52762/8</f>
        <v>6595.25</v>
      </c>
      <c r="T588" s="96"/>
    </row>
    <row r="589" spans="2:20" ht="15.75" customHeight="1" x14ac:dyDescent="0.2">
      <c r="B589" s="32" t="s">
        <v>58</v>
      </c>
      <c r="C589" s="83"/>
      <c r="D589" s="110"/>
      <c r="E589" s="98">
        <f>E584/E587</f>
        <v>0.29103374999999998</v>
      </c>
      <c r="G589" s="32" t="s">
        <v>58</v>
      </c>
      <c r="H589" s="33"/>
      <c r="I589" s="33"/>
      <c r="J589" s="34" t="e">
        <f>J584/J587</f>
        <v>#DIV/0!</v>
      </c>
      <c r="L589" s="71"/>
      <c r="M589" s="77"/>
      <c r="N589" s="78"/>
      <c r="O589" s="95">
        <f>+O588-O587</f>
        <v>1019.0542291666688</v>
      </c>
      <c r="Q589" s="71"/>
      <c r="R589" s="77"/>
      <c r="S589" s="78"/>
      <c r="T589" s="95">
        <f>+T588-T587</f>
        <v>-58626.771866666604</v>
      </c>
    </row>
    <row r="590" spans="2:20" ht="15.75" customHeight="1" x14ac:dyDescent="0.2">
      <c r="L590" s="32" t="s">
        <v>58</v>
      </c>
      <c r="M590" s="83"/>
      <c r="N590" s="83"/>
      <c r="O590" s="98">
        <f>O585/O588</f>
        <v>0.20919300768417365</v>
      </c>
      <c r="Q590" s="32" t="s">
        <v>58</v>
      </c>
      <c r="R590" s="83"/>
      <c r="S590" s="110"/>
      <c r="T590" s="98" t="e">
        <f>T585/T588</f>
        <v>#DIV/0!</v>
      </c>
    </row>
    <row r="591" spans="2:20" ht="15.75" customHeight="1" x14ac:dyDescent="0.15"/>
    <row r="592" spans="2:20" ht="15.75" customHeight="1" x14ac:dyDescent="0.2">
      <c r="B592" s="218" t="s">
        <v>589</v>
      </c>
      <c r="C592" s="213"/>
      <c r="D592" s="213"/>
      <c r="E592" s="214"/>
      <c r="G592" s="218" t="s">
        <v>590</v>
      </c>
      <c r="H592" s="213"/>
      <c r="I592" s="213"/>
      <c r="J592" s="214"/>
      <c r="L592" s="218" t="s">
        <v>591</v>
      </c>
      <c r="M592" s="213"/>
      <c r="N592" s="213"/>
      <c r="O592" s="214"/>
    </row>
    <row r="593" spans="2:15" ht="15.75" customHeight="1" x14ac:dyDescent="0.2">
      <c r="B593" s="64"/>
      <c r="C593" s="65" t="s">
        <v>8</v>
      </c>
      <c r="D593" s="7" t="s">
        <v>9</v>
      </c>
      <c r="E593" s="8" t="s">
        <v>10</v>
      </c>
      <c r="G593" s="64"/>
      <c r="H593" s="65" t="s">
        <v>8</v>
      </c>
      <c r="I593" s="7" t="s">
        <v>9</v>
      </c>
      <c r="J593" s="8" t="s">
        <v>10</v>
      </c>
      <c r="L593" s="64"/>
      <c r="M593" s="65" t="s">
        <v>8</v>
      </c>
      <c r="N593" s="7" t="s">
        <v>9</v>
      </c>
      <c r="O593" s="8" t="s">
        <v>10</v>
      </c>
    </row>
    <row r="594" spans="2:15" ht="15.75" customHeight="1" x14ac:dyDescent="0.2">
      <c r="B594" s="66" t="s">
        <v>239</v>
      </c>
      <c r="C594" s="126">
        <v>0.5</v>
      </c>
      <c r="D594" s="94">
        <f>+VLOOKUP(B594,'PRECIO PROVEEDORES'!$A$2:$B$716,2,0)</f>
        <v>890</v>
      </c>
      <c r="E594" s="12">
        <f t="shared" ref="E594:E599" si="64">+C594*D594</f>
        <v>445</v>
      </c>
      <c r="G594" s="66" t="s">
        <v>239</v>
      </c>
      <c r="H594" s="126">
        <v>1</v>
      </c>
      <c r="I594" s="94">
        <f>+VLOOKUP(G594,'PRECIO PROVEEDORES'!$A$2:$B$716,2,0)</f>
        <v>890</v>
      </c>
      <c r="J594" s="12">
        <f t="shared" ref="J594:J600" si="65">+H594*I594</f>
        <v>890</v>
      </c>
      <c r="L594" s="20" t="s">
        <v>306</v>
      </c>
      <c r="M594" s="68">
        <v>0.7</v>
      </c>
      <c r="N594" s="94">
        <f>+VLOOKUP(L594,'PRECIO PROVEEDORES'!$A$2:$B$716,2,0)</f>
        <v>3342.9512328767123</v>
      </c>
      <c r="O594" s="12">
        <f t="shared" ref="O594:O595" si="66">+M594*N594</f>
        <v>2340.0658630136986</v>
      </c>
    </row>
    <row r="595" spans="2:15" ht="15.75" customHeight="1" x14ac:dyDescent="0.2">
      <c r="B595" s="66" t="s">
        <v>316</v>
      </c>
      <c r="C595" s="126">
        <v>0.3</v>
      </c>
      <c r="D595" s="94">
        <f>+VLOOKUP(B595,'PRECIO PROVEEDORES'!$A$2:$B$716,2,0)</f>
        <v>1940</v>
      </c>
      <c r="E595" s="12">
        <f t="shared" si="64"/>
        <v>582</v>
      </c>
      <c r="G595" s="66" t="s">
        <v>237</v>
      </c>
      <c r="H595" s="126">
        <v>9</v>
      </c>
      <c r="I595" s="94">
        <f>+VLOOKUP(G595,'PRECIO PROVEEDORES'!$A$2:$B$716,2,0)</f>
        <v>1043.22</v>
      </c>
      <c r="J595" s="12">
        <f t="shared" si="65"/>
        <v>9388.98</v>
      </c>
      <c r="L595" s="66" t="s">
        <v>237</v>
      </c>
      <c r="M595" s="68">
        <v>0.15</v>
      </c>
      <c r="N595" s="94">
        <f>+VLOOKUP(L595,'PRECIO PROVEEDORES'!$A$2:$B$716,2,0)</f>
        <v>1043.22</v>
      </c>
      <c r="O595" s="12">
        <f t="shared" si="66"/>
        <v>156.483</v>
      </c>
    </row>
    <row r="596" spans="2:15" ht="15.75" customHeight="1" x14ac:dyDescent="0.2">
      <c r="B596" s="64" t="s">
        <v>243</v>
      </c>
      <c r="C596" s="126">
        <v>8.0000000000000002E-3</v>
      </c>
      <c r="D596" s="94">
        <f>+VLOOKUP(B596,'PRECIO PROVEEDORES'!$A$2:$B$716,2,0)</f>
        <v>17780</v>
      </c>
      <c r="E596" s="12">
        <f t="shared" si="64"/>
        <v>142.24</v>
      </c>
      <c r="G596" s="64" t="s">
        <v>49</v>
      </c>
      <c r="H596" s="126">
        <v>0.2</v>
      </c>
      <c r="I596" s="94">
        <f>+VLOOKUP(G596,'PRECIO PROVEEDORES'!$A$2:$B$716,2,0)</f>
        <v>1633</v>
      </c>
      <c r="J596" s="12">
        <f t="shared" si="65"/>
        <v>326.60000000000002</v>
      </c>
      <c r="L596" s="66"/>
      <c r="M596" s="68"/>
      <c r="N596" s="94"/>
      <c r="O596" s="12"/>
    </row>
    <row r="597" spans="2:15" ht="15.75" customHeight="1" x14ac:dyDescent="0.2">
      <c r="B597" s="71" t="s">
        <v>49</v>
      </c>
      <c r="C597" s="126">
        <v>0.01</v>
      </c>
      <c r="D597" s="94">
        <f>+VLOOKUP(B597,'PRECIO PROVEEDORES'!$A$2:$B$716,2,0)</f>
        <v>1633</v>
      </c>
      <c r="E597" s="12">
        <f t="shared" si="64"/>
        <v>16.330000000000002</v>
      </c>
      <c r="G597" s="71" t="s">
        <v>370</v>
      </c>
      <c r="H597" s="126">
        <v>0.34</v>
      </c>
      <c r="I597" s="94">
        <f>+VLOOKUP(G597,'PRECIO PROVEEDORES'!$A$2:$B$716,2,0)</f>
        <v>1037</v>
      </c>
      <c r="J597" s="12">
        <f t="shared" si="65"/>
        <v>352.58000000000004</v>
      </c>
      <c r="L597" s="66"/>
      <c r="M597" s="68"/>
      <c r="N597" s="67"/>
      <c r="O597" s="12"/>
    </row>
    <row r="598" spans="2:15" ht="15.75" customHeight="1" x14ac:dyDescent="0.2">
      <c r="B598" s="66" t="s">
        <v>247</v>
      </c>
      <c r="C598" s="126">
        <v>0.03</v>
      </c>
      <c r="D598" s="94">
        <f>+VLOOKUP(B598,'PRECIO PROVEEDORES'!$A$2:$B$716,2,0)</f>
        <v>12000</v>
      </c>
      <c r="E598" s="12">
        <f t="shared" si="64"/>
        <v>360</v>
      </c>
      <c r="G598" s="66" t="s">
        <v>493</v>
      </c>
      <c r="H598" s="126">
        <v>6</v>
      </c>
      <c r="I598" s="94">
        <f>+VLOOKUP(G598,'PRECIO PROVEEDORES'!$A$2:$B$716,2,0)</f>
        <v>12000</v>
      </c>
      <c r="J598" s="12">
        <f t="shared" si="65"/>
        <v>72000</v>
      </c>
      <c r="L598" s="66"/>
      <c r="M598" s="103"/>
      <c r="N598" s="94"/>
      <c r="O598" s="12"/>
    </row>
    <row r="599" spans="2:15" ht="15.75" customHeight="1" x14ac:dyDescent="0.2">
      <c r="B599" s="66" t="s">
        <v>553</v>
      </c>
      <c r="C599" s="126">
        <v>0.02</v>
      </c>
      <c r="D599" s="94">
        <f>+VLOOKUP(B599,'PRECIO PROVEEDORES'!$A$2:$B$716,2,0)</f>
        <v>1352</v>
      </c>
      <c r="E599" s="12">
        <f t="shared" si="64"/>
        <v>27.04</v>
      </c>
      <c r="G599" s="66" t="s">
        <v>367</v>
      </c>
      <c r="H599" s="126">
        <v>4.5</v>
      </c>
      <c r="I599" s="94">
        <f>+VLOOKUP(G599,'PRECIO PROVEEDORES'!$A$2:$B$716,2,0)</f>
        <v>0</v>
      </c>
      <c r="J599" s="12">
        <f t="shared" si="65"/>
        <v>0</v>
      </c>
      <c r="L599" s="66"/>
      <c r="M599" s="68"/>
      <c r="N599" s="69"/>
      <c r="O599" s="12"/>
    </row>
    <row r="600" spans="2:15" ht="15.75" customHeight="1" x14ac:dyDescent="0.2">
      <c r="B600" s="66"/>
      <c r="C600" s="68"/>
      <c r="D600" s="69"/>
      <c r="E600" s="70"/>
      <c r="G600" s="66" t="s">
        <v>588</v>
      </c>
      <c r="H600" s="68">
        <v>2.5</v>
      </c>
      <c r="I600" s="94">
        <f>+VLOOKUP(G600,'PRECIO PROVEEDORES'!$A$2:$B$716,2,0)</f>
        <v>14881</v>
      </c>
      <c r="J600" s="12">
        <f t="shared" si="65"/>
        <v>37202.5</v>
      </c>
      <c r="L600" s="66"/>
      <c r="M600" s="103"/>
      <c r="N600" s="69"/>
      <c r="O600" s="70"/>
    </row>
    <row r="601" spans="2:15" ht="15.75" customHeight="1" x14ac:dyDescent="0.15">
      <c r="B601" s="64"/>
      <c r="C601" s="68"/>
      <c r="D601" s="69"/>
      <c r="E601" s="70"/>
      <c r="G601" s="64"/>
      <c r="H601" s="68"/>
      <c r="I601" s="69"/>
      <c r="J601" s="70"/>
      <c r="L601" s="64"/>
      <c r="M601" s="66"/>
      <c r="N601" s="69"/>
      <c r="O601" s="70"/>
    </row>
    <row r="602" spans="2:15" ht="15.75" customHeight="1" x14ac:dyDescent="0.15">
      <c r="B602" s="71"/>
      <c r="C602" s="68"/>
      <c r="D602" s="69"/>
      <c r="E602" s="70"/>
      <c r="G602" s="71"/>
      <c r="H602" s="68"/>
      <c r="I602" s="69"/>
      <c r="J602" s="70"/>
      <c r="L602" s="71"/>
      <c r="M602" s="66"/>
      <c r="N602" s="69"/>
      <c r="O602" s="70"/>
    </row>
    <row r="603" spans="2:15" ht="15.75" customHeight="1" x14ac:dyDescent="0.15">
      <c r="B603" s="71"/>
      <c r="C603" s="68"/>
      <c r="D603" s="69"/>
      <c r="E603" s="70"/>
      <c r="G603" s="71"/>
      <c r="H603" s="68"/>
      <c r="I603" s="69"/>
      <c r="J603" s="70"/>
      <c r="L603" s="71"/>
      <c r="M603" s="66"/>
      <c r="N603" s="69"/>
      <c r="O603" s="70"/>
    </row>
    <row r="604" spans="2:15" ht="15.75" customHeight="1" x14ac:dyDescent="0.15">
      <c r="B604" s="71"/>
      <c r="C604" s="66"/>
      <c r="D604" s="69"/>
      <c r="E604" s="70"/>
      <c r="G604" s="71"/>
      <c r="H604" s="66"/>
      <c r="I604" s="69"/>
      <c r="J604" s="70"/>
      <c r="L604" s="71"/>
      <c r="M604" s="66"/>
      <c r="N604" s="69"/>
      <c r="O604" s="70"/>
    </row>
    <row r="605" spans="2:15" ht="15.75" customHeight="1" x14ac:dyDescent="0.15">
      <c r="B605" s="71"/>
      <c r="C605" s="66"/>
      <c r="D605" s="69"/>
      <c r="E605" s="70"/>
      <c r="G605" s="71"/>
      <c r="H605" s="66"/>
      <c r="I605" s="69"/>
      <c r="J605" s="70"/>
      <c r="L605" s="71"/>
      <c r="M605" s="66"/>
      <c r="N605" s="69"/>
      <c r="O605" s="70"/>
    </row>
    <row r="606" spans="2:15" ht="15.75" customHeight="1" x14ac:dyDescent="0.15">
      <c r="B606" s="64"/>
      <c r="C606" s="66"/>
      <c r="D606" s="69"/>
      <c r="E606" s="70"/>
      <c r="G606" s="64"/>
      <c r="H606" s="66"/>
      <c r="I606" s="69"/>
      <c r="J606" s="70"/>
      <c r="L606" s="64"/>
      <c r="M606" s="66"/>
      <c r="N606" s="69"/>
      <c r="O606" s="70"/>
    </row>
    <row r="607" spans="2:15" ht="15.75" customHeight="1" x14ac:dyDescent="0.15">
      <c r="B607" s="64"/>
      <c r="C607" s="66"/>
      <c r="D607" s="69"/>
      <c r="E607" s="70"/>
      <c r="G607" s="64"/>
      <c r="H607" s="66"/>
      <c r="I607" s="69"/>
      <c r="J607" s="70"/>
      <c r="L607" s="64"/>
      <c r="M607" s="66"/>
      <c r="N607" s="69"/>
      <c r="O607" s="70"/>
    </row>
    <row r="608" spans="2:15" ht="15.75" customHeight="1" x14ac:dyDescent="0.15">
      <c r="B608" s="64"/>
      <c r="C608" s="66"/>
      <c r="D608" s="69"/>
      <c r="E608" s="70"/>
      <c r="G608" s="64"/>
      <c r="H608" s="66"/>
      <c r="I608" s="69"/>
      <c r="J608" s="70"/>
      <c r="L608" s="64"/>
      <c r="M608" s="66"/>
      <c r="N608" s="69"/>
      <c r="O608" s="70"/>
    </row>
    <row r="609" spans="2:15" ht="15.75" customHeight="1" x14ac:dyDescent="0.2">
      <c r="B609" s="72" t="s">
        <v>52</v>
      </c>
      <c r="C609" s="73"/>
      <c r="D609" s="74"/>
      <c r="E609" s="95">
        <f>SUM(E594:E608)</f>
        <v>1572.61</v>
      </c>
      <c r="G609" s="72" t="s">
        <v>52</v>
      </c>
      <c r="H609" s="73"/>
      <c r="I609" s="74"/>
      <c r="J609" s="95">
        <f>SUM(J594:J608)</f>
        <v>120160.66</v>
      </c>
      <c r="L609" s="72" t="s">
        <v>52</v>
      </c>
      <c r="M609" s="73"/>
      <c r="N609" s="74"/>
      <c r="O609" s="95">
        <f>SUM(O594:O608)</f>
        <v>2496.5488630136988</v>
      </c>
    </row>
    <row r="610" spans="2:15" ht="15.75" customHeight="1" x14ac:dyDescent="0.2">
      <c r="B610" s="76" t="s">
        <v>53</v>
      </c>
      <c r="C610" s="77"/>
      <c r="D610" s="78"/>
      <c r="E610" s="96">
        <f>SUM(E609)</f>
        <v>1572.61</v>
      </c>
      <c r="G610" s="76" t="s">
        <v>53</v>
      </c>
      <c r="H610" s="77"/>
      <c r="I610" s="78"/>
      <c r="J610" s="96">
        <f>SUM(J609)</f>
        <v>120160.66</v>
      </c>
      <c r="L610" s="76" t="s">
        <v>53</v>
      </c>
      <c r="M610" s="77"/>
      <c r="N610" s="78"/>
      <c r="O610" s="96">
        <f>SUM(O609)</f>
        <v>2496.5488630136988</v>
      </c>
    </row>
    <row r="611" spans="2:15" ht="15.75" customHeight="1" x14ac:dyDescent="0.2">
      <c r="B611" s="76" t="s">
        <v>54</v>
      </c>
      <c r="C611" s="77"/>
      <c r="D611" s="78"/>
      <c r="E611" s="96">
        <f>+E610/5</f>
        <v>314.52199999999999</v>
      </c>
      <c r="G611" s="76" t="s">
        <v>54</v>
      </c>
      <c r="H611" s="77"/>
      <c r="I611" s="78"/>
      <c r="J611" s="96">
        <f>+J610/610</f>
        <v>196.98468852459018</v>
      </c>
      <c r="L611" s="76" t="s">
        <v>54</v>
      </c>
      <c r="M611" s="77"/>
      <c r="N611" s="78"/>
      <c r="O611" s="96">
        <f>+O610</f>
        <v>2496.5488630136988</v>
      </c>
    </row>
    <row r="612" spans="2:15" ht="15.75" customHeight="1" x14ac:dyDescent="0.2">
      <c r="B612" s="76" t="s">
        <v>55</v>
      </c>
      <c r="C612" s="77"/>
      <c r="D612" s="80">
        <v>0.3</v>
      </c>
      <c r="E612" s="81"/>
      <c r="G612" s="76" t="s">
        <v>55</v>
      </c>
      <c r="H612" s="77"/>
      <c r="I612" s="80">
        <v>0.3</v>
      </c>
      <c r="J612" s="81"/>
      <c r="L612" s="76" t="s">
        <v>55</v>
      </c>
      <c r="M612" s="77"/>
      <c r="N612" s="80">
        <v>0.3</v>
      </c>
      <c r="O612" s="81"/>
    </row>
    <row r="613" spans="2:15" ht="15.75" customHeight="1" x14ac:dyDescent="0.2">
      <c r="B613" s="76" t="s">
        <v>56</v>
      </c>
      <c r="C613" s="77"/>
      <c r="D613" s="82"/>
      <c r="E613" s="96">
        <f>+E611*3.33333333333333</f>
        <v>1048.4066666666656</v>
      </c>
      <c r="G613" s="76" t="s">
        <v>56</v>
      </c>
      <c r="H613" s="77"/>
      <c r="I613" s="82"/>
      <c r="J613" s="96">
        <f>+J611*3.33333333333333*12</f>
        <v>7879.3875409836</v>
      </c>
      <c r="L613" s="76" t="s">
        <v>56</v>
      </c>
      <c r="M613" s="77"/>
      <c r="N613" s="82"/>
      <c r="O613" s="96">
        <f>+O611*3.33333333333333</f>
        <v>8321.8295433789881</v>
      </c>
    </row>
    <row r="614" spans="2:15" ht="15.75" customHeight="1" x14ac:dyDescent="0.2">
      <c r="B614" s="76" t="s">
        <v>250</v>
      </c>
      <c r="C614" s="77"/>
      <c r="D614" s="129"/>
      <c r="E614" s="96">
        <v>1600</v>
      </c>
      <c r="G614" s="76" t="s">
        <v>250</v>
      </c>
      <c r="H614" s="77"/>
      <c r="I614" s="129"/>
      <c r="J614" s="96"/>
      <c r="L614" s="76" t="s">
        <v>250</v>
      </c>
      <c r="M614" s="77"/>
      <c r="N614" s="78"/>
      <c r="O614" s="96">
        <v>9500</v>
      </c>
    </row>
    <row r="615" spans="2:15" ht="15.75" customHeight="1" x14ac:dyDescent="0.2">
      <c r="B615" s="71"/>
      <c r="C615" s="77"/>
      <c r="D615" s="78"/>
      <c r="E615" s="95">
        <f>+E614-E613</f>
        <v>551.59333333333439</v>
      </c>
      <c r="G615" s="71"/>
      <c r="H615" s="77"/>
      <c r="I615" s="78"/>
      <c r="J615" s="95">
        <f>+J614-J613</f>
        <v>-7879.3875409836</v>
      </c>
      <c r="L615" s="71"/>
      <c r="M615" s="77"/>
      <c r="N615" s="78"/>
      <c r="O615" s="95">
        <f>+O614-O613</f>
        <v>1178.1704566210119</v>
      </c>
    </row>
    <row r="616" spans="2:15" ht="15.75" customHeight="1" x14ac:dyDescent="0.2">
      <c r="B616" s="32" t="s">
        <v>58</v>
      </c>
      <c r="C616" s="83"/>
      <c r="D616" s="110"/>
      <c r="E616" s="98">
        <f>E611/E614</f>
        <v>0.19657625000000001</v>
      </c>
      <c r="G616" s="32" t="s">
        <v>58</v>
      </c>
      <c r="H616" s="83"/>
      <c r="I616" s="110"/>
      <c r="J616" s="98" t="e">
        <f>J611/J614</f>
        <v>#DIV/0!</v>
      </c>
      <c r="L616" s="32" t="s">
        <v>58</v>
      </c>
      <c r="M616" s="83"/>
      <c r="N616" s="110"/>
      <c r="O616" s="98">
        <f>O611/O614</f>
        <v>0.26279461715933672</v>
      </c>
    </row>
    <row r="617" spans="2:15" ht="15.75" customHeight="1" x14ac:dyDescent="0.15"/>
    <row r="618" spans="2:15" ht="15.75" customHeight="1" x14ac:dyDescent="0.15"/>
    <row r="619" spans="2:15" ht="15.75" customHeight="1" x14ac:dyDescent="0.2">
      <c r="B619" s="218" t="s">
        <v>592</v>
      </c>
      <c r="C619" s="213"/>
      <c r="D619" s="213"/>
      <c r="E619" s="214"/>
      <c r="G619" s="218" t="s">
        <v>593</v>
      </c>
      <c r="H619" s="213"/>
      <c r="I619" s="213"/>
      <c r="J619" s="214"/>
      <c r="L619" s="218" t="s">
        <v>594</v>
      </c>
      <c r="M619" s="213"/>
      <c r="N619" s="213"/>
      <c r="O619" s="214"/>
    </row>
    <row r="620" spans="2:15" ht="15.75" customHeight="1" x14ac:dyDescent="0.2">
      <c r="B620" s="64"/>
      <c r="C620" s="65" t="s">
        <v>8</v>
      </c>
      <c r="D620" s="7" t="s">
        <v>9</v>
      </c>
      <c r="E620" s="8" t="s">
        <v>10</v>
      </c>
      <c r="G620" s="64"/>
      <c r="H620" s="65" t="s">
        <v>8</v>
      </c>
      <c r="I620" s="7" t="s">
        <v>9</v>
      </c>
      <c r="J620" s="8" t="s">
        <v>10</v>
      </c>
      <c r="L620" s="64"/>
      <c r="M620" s="65" t="s">
        <v>8</v>
      </c>
      <c r="N620" s="7" t="s">
        <v>9</v>
      </c>
      <c r="O620" s="8" t="s">
        <v>10</v>
      </c>
    </row>
    <row r="621" spans="2:15" ht="15.75" customHeight="1" x14ac:dyDescent="0.2">
      <c r="B621" s="20" t="s">
        <v>500</v>
      </c>
      <c r="C621" s="68">
        <v>0.05</v>
      </c>
      <c r="D621" s="94">
        <f>+VLOOKUP(B621,'PRECIO PROVEEDORES'!$A$2:$B$716,2,0)</f>
        <v>10030</v>
      </c>
      <c r="E621" s="12">
        <f t="shared" ref="E621:E623" si="67">+C621*D621</f>
        <v>501.5</v>
      </c>
      <c r="G621" s="66" t="s">
        <v>500</v>
      </c>
      <c r="H621" s="126">
        <v>0.05</v>
      </c>
      <c r="I621" s="94">
        <f>+VLOOKUP(G621,'PRECIO PROVEEDORES'!$A$2:$B$716,2,0)</f>
        <v>10030</v>
      </c>
      <c r="J621" s="12">
        <f t="shared" ref="J621:J625" si="68">+H621*I621</f>
        <v>501.5</v>
      </c>
      <c r="L621" s="66" t="s">
        <v>493</v>
      </c>
      <c r="M621" s="126">
        <v>0.2</v>
      </c>
      <c r="N621" s="94">
        <f>+VLOOKUP(L621,'PRECIO PROVEEDORES'!$A$2:$B$716,2,0)</f>
        <v>12000</v>
      </c>
      <c r="O621" s="12">
        <f t="shared" ref="O621:O628" si="69">+M621*N621</f>
        <v>2400</v>
      </c>
    </row>
    <row r="622" spans="2:15" ht="15.75" customHeight="1" x14ac:dyDescent="0.2">
      <c r="B622" s="20" t="s">
        <v>281</v>
      </c>
      <c r="C622" s="68">
        <v>4.4999999999999998E-2</v>
      </c>
      <c r="D622" s="94">
        <f>+VLOOKUP(B622,'PRECIO PROVEEDORES'!$A$2:$B$716,2,0)</f>
        <v>3356</v>
      </c>
      <c r="E622" s="12">
        <f t="shared" si="67"/>
        <v>151.01999999999998</v>
      </c>
      <c r="G622" s="66" t="s">
        <v>281</v>
      </c>
      <c r="H622" s="126">
        <v>4.4999999999999998E-2</v>
      </c>
      <c r="I622" s="94">
        <f>+VLOOKUP(G622,'PRECIO PROVEEDORES'!$A$2:$B$716,2,0)</f>
        <v>3356</v>
      </c>
      <c r="J622" s="12">
        <f t="shared" si="68"/>
        <v>151.01999999999998</v>
      </c>
      <c r="L622" s="66" t="s">
        <v>315</v>
      </c>
      <c r="M622" s="126">
        <v>0.18</v>
      </c>
      <c r="N622" s="94">
        <f>+VLOOKUP(L622,'PRECIO PROVEEDORES'!$A$2:$B$716,2,0)</f>
        <v>1352</v>
      </c>
      <c r="O622" s="12">
        <f t="shared" si="69"/>
        <v>243.35999999999999</v>
      </c>
    </row>
    <row r="623" spans="2:15" ht="15.75" customHeight="1" x14ac:dyDescent="0.2">
      <c r="B623" s="20" t="s">
        <v>524</v>
      </c>
      <c r="C623" s="68">
        <v>0.1</v>
      </c>
      <c r="D623" s="94">
        <f>+VLOOKUP(B623,'PRECIO PROVEEDORES'!$A$2:$B$716,2,0)</f>
        <v>4901.8394444444448</v>
      </c>
      <c r="E623" s="12">
        <f t="shared" si="67"/>
        <v>490.18394444444448</v>
      </c>
      <c r="G623" s="66" t="s">
        <v>524</v>
      </c>
      <c r="H623" s="126">
        <v>0.1</v>
      </c>
      <c r="I623" s="94">
        <f>+VLOOKUP(G623,'PRECIO PROVEEDORES'!$A$2:$B$716,2,0)</f>
        <v>4901.8394444444448</v>
      </c>
      <c r="J623" s="12">
        <f t="shared" si="68"/>
        <v>490.18394444444448</v>
      </c>
      <c r="L623" s="66" t="s">
        <v>97</v>
      </c>
      <c r="M623" s="126">
        <v>2</v>
      </c>
      <c r="N623" s="94">
        <f>+VLOOKUP(L623,'PRECIO PROVEEDORES'!$A$2:$B$716,2,0)</f>
        <v>192</v>
      </c>
      <c r="O623" s="12">
        <f t="shared" si="69"/>
        <v>384</v>
      </c>
    </row>
    <row r="624" spans="2:15" ht="15.75" customHeight="1" x14ac:dyDescent="0.2">
      <c r="B624" s="66"/>
      <c r="C624" s="68"/>
      <c r="D624" s="67"/>
      <c r="E624" s="12"/>
      <c r="G624" s="66" t="s">
        <v>244</v>
      </c>
      <c r="H624" s="68">
        <v>5.0000000000000001E-3</v>
      </c>
      <c r="I624" s="94">
        <f>+VLOOKUP(G624,'PRECIO PROVEEDORES'!$A$2:$B$716,2,0)</f>
        <v>24829</v>
      </c>
      <c r="J624" s="12">
        <f t="shared" si="68"/>
        <v>124.145</v>
      </c>
      <c r="L624" s="66" t="s">
        <v>249</v>
      </c>
      <c r="M624" s="68">
        <v>5.0000000000000001E-3</v>
      </c>
      <c r="N624" s="94">
        <f>+VLOOKUP(L624,'PRECIO PROVEEDORES'!$A$2:$B$716,2,0)</f>
        <v>2118</v>
      </c>
      <c r="O624" s="12">
        <f t="shared" si="69"/>
        <v>10.59</v>
      </c>
    </row>
    <row r="625" spans="2:15" ht="15.75" customHeight="1" x14ac:dyDescent="0.2">
      <c r="B625" s="66"/>
      <c r="C625" s="103"/>
      <c r="D625" s="94"/>
      <c r="E625" s="12"/>
      <c r="G625" s="66" t="s">
        <v>595</v>
      </c>
      <c r="H625" s="103">
        <v>2E-3</v>
      </c>
      <c r="I625" s="94">
        <f>+VLOOKUP(G625,'PRECIO PROVEEDORES'!$A$2:$B$716,2,0)</f>
        <v>88000</v>
      </c>
      <c r="J625" s="12">
        <f t="shared" si="68"/>
        <v>176</v>
      </c>
      <c r="L625" s="66" t="s">
        <v>480</v>
      </c>
      <c r="M625" s="103">
        <v>5.0000000000000001E-3</v>
      </c>
      <c r="N625" s="94">
        <f>+VLOOKUP(L625,'PRECIO PROVEEDORES'!$A$2:$B$716,2,0)</f>
        <v>3000</v>
      </c>
      <c r="O625" s="12">
        <f t="shared" si="69"/>
        <v>15</v>
      </c>
    </row>
    <row r="626" spans="2:15" ht="15.75" customHeight="1" x14ac:dyDescent="0.2">
      <c r="B626" s="66"/>
      <c r="C626" s="68"/>
      <c r="D626" s="69"/>
      <c r="E626" s="12"/>
      <c r="G626" s="66"/>
      <c r="H626" s="68"/>
      <c r="I626" s="69"/>
      <c r="J626" s="70"/>
      <c r="L626" s="66" t="s">
        <v>319</v>
      </c>
      <c r="M626" s="68">
        <v>0.4</v>
      </c>
      <c r="N626" s="94">
        <f>+VLOOKUP(L626,'PRECIO PROVEEDORES'!$A$2:$B$716,2,0)</f>
        <v>1043.22</v>
      </c>
      <c r="O626" s="12">
        <f t="shared" si="69"/>
        <v>417.28800000000001</v>
      </c>
    </row>
    <row r="627" spans="2:15" ht="15.75" customHeight="1" x14ac:dyDescent="0.2">
      <c r="B627" s="66"/>
      <c r="C627" s="103"/>
      <c r="D627" s="69"/>
      <c r="E627" s="70"/>
      <c r="G627" s="66"/>
      <c r="H627" s="103"/>
      <c r="I627" s="69"/>
      <c r="J627" s="70"/>
      <c r="L627" s="66" t="s">
        <v>246</v>
      </c>
      <c r="M627" s="103">
        <v>5.0000000000000001E-3</v>
      </c>
      <c r="N627" s="94">
        <f>+VLOOKUP(L627,'PRECIO PROVEEDORES'!$A$2:$B$716,2,0)</f>
        <v>6040</v>
      </c>
      <c r="O627" s="12">
        <f t="shared" si="69"/>
        <v>30.2</v>
      </c>
    </row>
    <row r="628" spans="2:15" ht="15.75" customHeight="1" x14ac:dyDescent="0.2">
      <c r="B628" s="64"/>
      <c r="C628" s="66"/>
      <c r="D628" s="69"/>
      <c r="E628" s="70"/>
      <c r="G628" s="64"/>
      <c r="H628" s="66"/>
      <c r="I628" s="69"/>
      <c r="J628" s="70"/>
      <c r="L628" s="64" t="s">
        <v>151</v>
      </c>
      <c r="M628" s="66">
        <v>5.0000000000000001E-3</v>
      </c>
      <c r="N628" s="94">
        <f>+VLOOKUP(L628,'PRECIO PROVEEDORES'!$A$2:$B$716,2,0)</f>
        <v>1633</v>
      </c>
      <c r="O628" s="12">
        <f t="shared" si="69"/>
        <v>8.1650000000000009</v>
      </c>
    </row>
    <row r="629" spans="2:15" ht="15.75" customHeight="1" x14ac:dyDescent="0.15">
      <c r="B629" s="71"/>
      <c r="C629" s="66"/>
      <c r="D629" s="69"/>
      <c r="E629" s="70"/>
      <c r="G629" s="71"/>
      <c r="H629" s="66"/>
      <c r="I629" s="69"/>
      <c r="J629" s="70"/>
      <c r="L629" s="71"/>
      <c r="M629" s="66"/>
      <c r="N629" s="69"/>
      <c r="O629" s="70"/>
    </row>
    <row r="630" spans="2:15" ht="15.75" customHeight="1" x14ac:dyDescent="0.15">
      <c r="B630" s="71"/>
      <c r="C630" s="66"/>
      <c r="D630" s="69"/>
      <c r="E630" s="70"/>
      <c r="G630" s="71"/>
      <c r="H630" s="66"/>
      <c r="I630" s="69"/>
      <c r="J630" s="70"/>
      <c r="L630" s="71"/>
      <c r="M630" s="66"/>
      <c r="N630" s="69"/>
      <c r="O630" s="70"/>
    </row>
    <row r="631" spans="2:15" ht="15.75" customHeight="1" x14ac:dyDescent="0.15">
      <c r="B631" s="71"/>
      <c r="C631" s="66"/>
      <c r="D631" s="69"/>
      <c r="E631" s="70"/>
      <c r="G631" s="71"/>
      <c r="H631" s="66"/>
      <c r="I631" s="69"/>
      <c r="J631" s="70"/>
      <c r="L631" s="71"/>
      <c r="M631" s="66"/>
      <c r="N631" s="69"/>
      <c r="O631" s="70"/>
    </row>
    <row r="632" spans="2:15" ht="15.75" customHeight="1" x14ac:dyDescent="0.15">
      <c r="B632" s="71"/>
      <c r="C632" s="66"/>
      <c r="D632" s="69"/>
      <c r="E632" s="70"/>
      <c r="G632" s="71"/>
      <c r="H632" s="66"/>
      <c r="I632" s="69"/>
      <c r="J632" s="70"/>
      <c r="L632" s="71"/>
      <c r="M632" s="66"/>
      <c r="N632" s="69"/>
      <c r="O632" s="70"/>
    </row>
    <row r="633" spans="2:15" ht="15.75" customHeight="1" x14ac:dyDescent="0.15">
      <c r="B633" s="64"/>
      <c r="C633" s="66"/>
      <c r="D633" s="69"/>
      <c r="E633" s="70"/>
      <c r="G633" s="64"/>
      <c r="H633" s="66"/>
      <c r="I633" s="69"/>
      <c r="J633" s="70"/>
      <c r="L633" s="64"/>
      <c r="M633" s="66"/>
      <c r="N633" s="69"/>
      <c r="O633" s="70"/>
    </row>
    <row r="634" spans="2:15" ht="15.75" customHeight="1" x14ac:dyDescent="0.15">
      <c r="B634" s="64"/>
      <c r="C634" s="66"/>
      <c r="D634" s="69"/>
      <c r="E634" s="70"/>
      <c r="G634" s="64"/>
      <c r="H634" s="66"/>
      <c r="I634" s="69"/>
      <c r="J634" s="70"/>
      <c r="L634" s="64"/>
      <c r="M634" s="66"/>
      <c r="N634" s="69"/>
      <c r="O634" s="70"/>
    </row>
    <row r="635" spans="2:15" ht="15.75" customHeight="1" x14ac:dyDescent="0.15">
      <c r="B635" s="64"/>
      <c r="C635" s="66"/>
      <c r="D635" s="69"/>
      <c r="E635" s="70"/>
      <c r="G635" s="64"/>
      <c r="H635" s="66"/>
      <c r="I635" s="69"/>
      <c r="J635" s="70"/>
      <c r="L635" s="64"/>
      <c r="M635" s="66"/>
      <c r="N635" s="69"/>
      <c r="O635" s="70"/>
    </row>
    <row r="636" spans="2:15" ht="15.75" customHeight="1" x14ac:dyDescent="0.2">
      <c r="B636" s="72" t="s">
        <v>52</v>
      </c>
      <c r="C636" s="73"/>
      <c r="D636" s="74"/>
      <c r="E636" s="95">
        <f>SUM(E621:E635)</f>
        <v>1142.7039444444445</v>
      </c>
      <c r="G636" s="72" t="s">
        <v>52</v>
      </c>
      <c r="H636" s="73"/>
      <c r="I636" s="74"/>
      <c r="J636" s="95">
        <f>SUM(J621:J635)</f>
        <v>1442.8489444444444</v>
      </c>
      <c r="L636" s="72" t="s">
        <v>52</v>
      </c>
      <c r="M636" s="73"/>
      <c r="N636" s="74"/>
      <c r="O636" s="95">
        <f>SUM(O621:O635)</f>
        <v>3508.6030000000001</v>
      </c>
    </row>
    <row r="637" spans="2:15" ht="15.75" customHeight="1" x14ac:dyDescent="0.2">
      <c r="B637" s="76" t="s">
        <v>53</v>
      </c>
      <c r="C637" s="77"/>
      <c r="D637" s="78"/>
      <c r="E637" s="96">
        <f>SUM(E636)</f>
        <v>1142.7039444444445</v>
      </c>
      <c r="G637" s="76" t="s">
        <v>53</v>
      </c>
      <c r="H637" s="77"/>
      <c r="I637" s="78"/>
      <c r="J637" s="96">
        <f>SUM(J636)</f>
        <v>1442.8489444444444</v>
      </c>
      <c r="L637" s="76" t="s">
        <v>53</v>
      </c>
      <c r="M637" s="77"/>
      <c r="N637" s="78"/>
      <c r="O637" s="96">
        <f>SUM(O636)</f>
        <v>3508.6030000000001</v>
      </c>
    </row>
    <row r="638" spans="2:15" ht="15.75" customHeight="1" x14ac:dyDescent="0.2">
      <c r="B638" s="76" t="s">
        <v>54</v>
      </c>
      <c r="C638" s="77"/>
      <c r="D638" s="78"/>
      <c r="E638" s="96">
        <f>+E637</f>
        <v>1142.7039444444445</v>
      </c>
      <c r="G638" s="76" t="s">
        <v>54</v>
      </c>
      <c r="H638" s="77"/>
      <c r="I638" s="78"/>
      <c r="J638" s="96">
        <f>+J637</f>
        <v>1442.8489444444444</v>
      </c>
      <c r="L638" s="76" t="s">
        <v>54</v>
      </c>
      <c r="M638" s="77"/>
      <c r="N638" s="78"/>
      <c r="O638" s="96">
        <f>+O637</f>
        <v>3508.6030000000001</v>
      </c>
    </row>
    <row r="639" spans="2:15" ht="15.75" customHeight="1" x14ac:dyDescent="0.2">
      <c r="B639" s="76" t="s">
        <v>55</v>
      </c>
      <c r="C639" s="77"/>
      <c r="D639" s="80">
        <v>0.3</v>
      </c>
      <c r="E639" s="81"/>
      <c r="G639" s="76" t="s">
        <v>55</v>
      </c>
      <c r="H639" s="77"/>
      <c r="I639" s="80">
        <v>0.3</v>
      </c>
      <c r="J639" s="81"/>
      <c r="L639" s="76" t="s">
        <v>55</v>
      </c>
      <c r="M639" s="77"/>
      <c r="N639" s="80">
        <v>0.3</v>
      </c>
      <c r="O639" s="81"/>
    </row>
    <row r="640" spans="2:15" ht="15.75" customHeight="1" x14ac:dyDescent="0.2">
      <c r="B640" s="76" t="s">
        <v>56</v>
      </c>
      <c r="C640" s="77"/>
      <c r="D640" s="82"/>
      <c r="E640" s="96">
        <f>+E638*3.33333333333333</f>
        <v>3809.0131481481444</v>
      </c>
      <c r="G640" s="76" t="s">
        <v>56</v>
      </c>
      <c r="H640" s="77"/>
      <c r="I640" s="82"/>
      <c r="J640" s="96">
        <f>+J638*3.33333333333333</f>
        <v>4809.4964814814766</v>
      </c>
      <c r="L640" s="76" t="s">
        <v>56</v>
      </c>
      <c r="M640" s="77"/>
      <c r="N640" s="82"/>
      <c r="O640" s="96">
        <f>+O638*3.33333333333333</f>
        <v>11695.343333333321</v>
      </c>
    </row>
    <row r="641" spans="2:15" ht="15.75" customHeight="1" x14ac:dyDescent="0.2">
      <c r="B641" s="76" t="s">
        <v>57</v>
      </c>
      <c r="C641" s="77"/>
      <c r="D641" s="78"/>
      <c r="E641" s="96">
        <v>3429</v>
      </c>
      <c r="G641" s="76" t="s">
        <v>57</v>
      </c>
      <c r="H641" s="77"/>
      <c r="I641" s="78">
        <v>4329</v>
      </c>
      <c r="J641" s="96">
        <v>4431</v>
      </c>
      <c r="L641" s="76" t="s">
        <v>57</v>
      </c>
      <c r="M641" s="77"/>
      <c r="N641" s="78">
        <f>10515/8</f>
        <v>1314.375</v>
      </c>
      <c r="O641" s="96">
        <f>10517/8</f>
        <v>1314.625</v>
      </c>
    </row>
    <row r="642" spans="2:15" ht="15.75" customHeight="1" x14ac:dyDescent="0.2">
      <c r="B642" s="71"/>
      <c r="C642" s="77"/>
      <c r="D642" s="78"/>
      <c r="E642" s="95">
        <f>+E641-E640</f>
        <v>-380.01314814814441</v>
      </c>
      <c r="G642" s="71"/>
      <c r="H642" s="77"/>
      <c r="I642" s="78"/>
      <c r="J642" s="95">
        <f>+J641-J640</f>
        <v>-378.49648148147662</v>
      </c>
      <c r="L642" s="71"/>
      <c r="M642" s="77"/>
      <c r="N642" s="78"/>
      <c r="O642" s="95">
        <f>+O641-O640</f>
        <v>-10380.718333333321</v>
      </c>
    </row>
    <row r="643" spans="2:15" ht="15.75" customHeight="1" x14ac:dyDescent="0.2">
      <c r="B643" s="32" t="s">
        <v>58</v>
      </c>
      <c r="C643" s="83"/>
      <c r="D643" s="110"/>
      <c r="E643" s="98">
        <f>E638/E641</f>
        <v>0.33324699458863938</v>
      </c>
      <c r="G643" s="32" t="s">
        <v>58</v>
      </c>
      <c r="H643" s="83"/>
      <c r="I643" s="110"/>
      <c r="J643" s="98">
        <f>J638/J641</f>
        <v>0.32562603124451467</v>
      </c>
      <c r="L643" s="32" t="s">
        <v>58</v>
      </c>
      <c r="M643" s="83"/>
      <c r="N643" s="110"/>
      <c r="O643" s="98">
        <f>O638/O641</f>
        <v>2.6689002567272038</v>
      </c>
    </row>
    <row r="644" spans="2:15" ht="15.75" customHeight="1" x14ac:dyDescent="0.15"/>
    <row r="645" spans="2:15" ht="15.75" customHeight="1" x14ac:dyDescent="0.15"/>
    <row r="646" spans="2:15" ht="15.75" customHeight="1" x14ac:dyDescent="0.2">
      <c r="B646" s="218" t="s">
        <v>596</v>
      </c>
      <c r="C646" s="213"/>
      <c r="D646" s="213"/>
      <c r="E646" s="214"/>
      <c r="G646" s="218" t="s">
        <v>597</v>
      </c>
      <c r="H646" s="213"/>
      <c r="I646" s="213"/>
      <c r="J646" s="214"/>
      <c r="L646" s="218" t="s">
        <v>598</v>
      </c>
      <c r="M646" s="213"/>
      <c r="N646" s="213"/>
      <c r="O646" s="214"/>
    </row>
    <row r="647" spans="2:15" ht="15.75" customHeight="1" x14ac:dyDescent="0.2">
      <c r="B647" s="64"/>
      <c r="C647" s="65" t="s">
        <v>8</v>
      </c>
      <c r="D647" s="7" t="s">
        <v>9</v>
      </c>
      <c r="E647" s="8" t="s">
        <v>10</v>
      </c>
      <c r="G647" s="64"/>
      <c r="H647" s="65" t="s">
        <v>8</v>
      </c>
      <c r="I647" s="7" t="s">
        <v>9</v>
      </c>
      <c r="J647" s="8" t="s">
        <v>10</v>
      </c>
      <c r="L647" s="64"/>
      <c r="M647" s="65" t="s">
        <v>8</v>
      </c>
      <c r="N647" s="7" t="s">
        <v>9</v>
      </c>
      <c r="O647" s="8" t="s">
        <v>10</v>
      </c>
    </row>
    <row r="648" spans="2:15" ht="15.75" customHeight="1" x14ac:dyDescent="0.2">
      <c r="B648" s="13" t="s">
        <v>247</v>
      </c>
      <c r="C648" s="10">
        <v>0.32</v>
      </c>
      <c r="D648" s="94">
        <f>+VLOOKUP(B648,'PRECIO PROVEEDORES'!$A$2:$B$716,2,0)</f>
        <v>12000</v>
      </c>
      <c r="E648" s="12">
        <f t="shared" ref="E648:E658" si="70">+C648*D648</f>
        <v>3840</v>
      </c>
      <c r="G648" s="66" t="s">
        <v>493</v>
      </c>
      <c r="H648" s="126">
        <v>0.5</v>
      </c>
      <c r="I648" s="94">
        <f>+VLOOKUP(G648,'PRECIO PROVEEDORES'!$A$2:$B$716,2,0)</f>
        <v>12000</v>
      </c>
      <c r="J648" s="12">
        <f t="shared" ref="J648:J656" si="71">+H648*I648</f>
        <v>6000</v>
      </c>
      <c r="L648" s="107"/>
      <c r="M648" s="68"/>
      <c r="N648" s="94"/>
      <c r="O648" s="12"/>
    </row>
    <row r="649" spans="2:15" ht="15.75" customHeight="1" x14ac:dyDescent="0.2">
      <c r="B649" s="13" t="s">
        <v>210</v>
      </c>
      <c r="C649" s="10">
        <v>0.4</v>
      </c>
      <c r="D649" s="94">
        <f>+VLOOKUP(B649,'PRECIO PROVEEDORES'!$A$2:$B$716,2,0)</f>
        <v>1352</v>
      </c>
      <c r="E649" s="12">
        <f t="shared" si="70"/>
        <v>540.80000000000007</v>
      </c>
      <c r="G649" s="66" t="s">
        <v>315</v>
      </c>
      <c r="H649" s="126">
        <v>0.75</v>
      </c>
      <c r="I649" s="94">
        <f>+VLOOKUP(G649,'PRECIO PROVEEDORES'!$A$2:$B$716,2,0)</f>
        <v>1352</v>
      </c>
      <c r="J649" s="12">
        <f t="shared" si="71"/>
        <v>1014</v>
      </c>
      <c r="L649" s="7" t="s">
        <v>305</v>
      </c>
      <c r="M649" s="68">
        <v>0.6</v>
      </c>
      <c r="N649" s="94">
        <f>+VLOOKUP(L649,'PRECIO PROVEEDORES'!$A$2:$B$716,2,0)</f>
        <v>12959</v>
      </c>
      <c r="O649" s="12">
        <f t="shared" ref="O649:O657" si="72">+M649*N649</f>
        <v>7775.4</v>
      </c>
    </row>
    <row r="650" spans="2:15" ht="15.75" customHeight="1" x14ac:dyDescent="0.2">
      <c r="B650" s="13" t="s">
        <v>17</v>
      </c>
      <c r="C650" s="10">
        <v>2</v>
      </c>
      <c r="D650" s="94">
        <f>+VLOOKUP(B650,'PRECIO PROVEEDORES'!$A$2:$B$716,2,0)</f>
        <v>192</v>
      </c>
      <c r="E650" s="12">
        <f t="shared" si="70"/>
        <v>384</v>
      </c>
      <c r="G650" s="66" t="s">
        <v>480</v>
      </c>
      <c r="H650" s="126">
        <v>0.5</v>
      </c>
      <c r="I650" s="94">
        <f>+VLOOKUP(G650,'PRECIO PROVEEDORES'!$A$2:$B$716,2,0)</f>
        <v>3000</v>
      </c>
      <c r="J650" s="12">
        <f t="shared" si="71"/>
        <v>1500</v>
      </c>
      <c r="L650" s="71" t="s">
        <v>247</v>
      </c>
      <c r="M650" s="126">
        <v>0.5</v>
      </c>
      <c r="N650" s="94">
        <f>+VLOOKUP(L650,'PRECIO PROVEEDORES'!$A$2:$B$716,2,0)</f>
        <v>12000</v>
      </c>
      <c r="O650" s="12">
        <f t="shared" si="72"/>
        <v>6000</v>
      </c>
    </row>
    <row r="651" spans="2:15" ht="15.75" customHeight="1" x14ac:dyDescent="0.2">
      <c r="B651" s="13" t="s">
        <v>237</v>
      </c>
      <c r="C651" s="10">
        <v>0.53500000000000003</v>
      </c>
      <c r="D651" s="94">
        <f>+VLOOKUP(B651,'PRECIO PROVEEDORES'!$A$2:$B$716,2,0)</f>
        <v>1043.22</v>
      </c>
      <c r="E651" s="12">
        <f t="shared" si="70"/>
        <v>558.12270000000001</v>
      </c>
      <c r="G651" s="66" t="s">
        <v>97</v>
      </c>
      <c r="H651" s="126">
        <v>8</v>
      </c>
      <c r="I651" s="94">
        <f>+VLOOKUP(G651,'PRECIO PROVEEDORES'!$A$2:$B$716,2,0)</f>
        <v>192</v>
      </c>
      <c r="J651" s="12">
        <f t="shared" si="71"/>
        <v>1536</v>
      </c>
      <c r="L651" s="66" t="s">
        <v>315</v>
      </c>
      <c r="M651" s="68">
        <v>0.9</v>
      </c>
      <c r="N651" s="94">
        <f>+VLOOKUP(L651,'PRECIO PROVEEDORES'!$A$2:$B$716,2,0)</f>
        <v>1352</v>
      </c>
      <c r="O651" s="12">
        <f t="shared" si="72"/>
        <v>1216.8</v>
      </c>
    </row>
    <row r="652" spans="2:15" ht="15.75" customHeight="1" x14ac:dyDescent="0.2">
      <c r="B652" s="7" t="s">
        <v>246</v>
      </c>
      <c r="C652" s="10">
        <v>8.0000000000000002E-3</v>
      </c>
      <c r="D652" s="94">
        <f>+VLOOKUP(B652,'PRECIO PROVEEDORES'!$A$2:$B$716,2,0)</f>
        <v>6040</v>
      </c>
      <c r="E652" s="12">
        <f t="shared" si="70"/>
        <v>48.32</v>
      </c>
      <c r="G652" s="66" t="s">
        <v>319</v>
      </c>
      <c r="H652" s="126">
        <v>0.5</v>
      </c>
      <c r="I652" s="94">
        <f>+VLOOKUP(G652,'PRECIO PROVEEDORES'!$A$2:$B$716,2,0)</f>
        <v>1043.22</v>
      </c>
      <c r="J652" s="12">
        <f t="shared" si="71"/>
        <v>521.61</v>
      </c>
      <c r="L652" s="66" t="s">
        <v>17</v>
      </c>
      <c r="M652" s="68">
        <v>10</v>
      </c>
      <c r="N652" s="94">
        <f>+VLOOKUP(L652,'PRECIO PROVEEDORES'!$A$2:$B$716,2,0)</f>
        <v>192</v>
      </c>
      <c r="O652" s="12">
        <f t="shared" si="72"/>
        <v>1920</v>
      </c>
    </row>
    <row r="653" spans="2:15" ht="15.75" customHeight="1" x14ac:dyDescent="0.2">
      <c r="B653" s="7" t="s">
        <v>249</v>
      </c>
      <c r="C653" s="10">
        <v>0.01</v>
      </c>
      <c r="D653" s="94">
        <f>+VLOOKUP(B653,'PRECIO PROVEEDORES'!$A$2:$B$716,2,0)</f>
        <v>2118</v>
      </c>
      <c r="E653" s="12">
        <f t="shared" si="70"/>
        <v>21.18</v>
      </c>
      <c r="G653" s="66" t="s">
        <v>246</v>
      </c>
      <c r="H653" s="126">
        <v>0.01</v>
      </c>
      <c r="I653" s="94">
        <f>+VLOOKUP(G653,'PRECIO PROVEEDORES'!$A$2:$B$716,2,0)</f>
        <v>6040</v>
      </c>
      <c r="J653" s="12">
        <f t="shared" si="71"/>
        <v>60.4</v>
      </c>
      <c r="L653" s="66" t="s">
        <v>239</v>
      </c>
      <c r="M653" s="68">
        <v>0.45</v>
      </c>
      <c r="N653" s="94">
        <f>+VLOOKUP(L653,'PRECIO PROVEEDORES'!$A$2:$B$716,2,0)</f>
        <v>890</v>
      </c>
      <c r="O653" s="12">
        <f t="shared" si="72"/>
        <v>400.5</v>
      </c>
    </row>
    <row r="654" spans="2:15" ht="15.75" customHeight="1" x14ac:dyDescent="0.2">
      <c r="B654" s="108" t="s">
        <v>256</v>
      </c>
      <c r="C654" s="10">
        <v>0.06</v>
      </c>
      <c r="D654" s="94">
        <f>+VLOOKUP(B654,'PRECIO PROVEEDORES'!$A$2:$B$716,2,0)</f>
        <v>34892</v>
      </c>
      <c r="E654" s="12">
        <f t="shared" si="70"/>
        <v>2093.52</v>
      </c>
      <c r="G654" s="66" t="s">
        <v>301</v>
      </c>
      <c r="H654" s="126">
        <v>0.3</v>
      </c>
      <c r="I654" s="94">
        <f>+VLOOKUP(G654,'PRECIO PROVEEDORES'!$A$2:$B$716,2,0)</f>
        <v>1684</v>
      </c>
      <c r="J654" s="12">
        <f t="shared" si="71"/>
        <v>505.2</v>
      </c>
      <c r="L654" s="66" t="s">
        <v>275</v>
      </c>
      <c r="M654" s="68">
        <v>0.06</v>
      </c>
      <c r="N654" s="94">
        <f>+VLOOKUP(L654,'PRECIO PROVEEDORES'!$A$2:$B$716,2,0)</f>
        <v>13205</v>
      </c>
      <c r="O654" s="12">
        <f t="shared" si="72"/>
        <v>792.3</v>
      </c>
    </row>
    <row r="655" spans="2:15" ht="15.75" customHeight="1" x14ac:dyDescent="0.2">
      <c r="B655" s="109" t="s">
        <v>244</v>
      </c>
      <c r="C655" s="10">
        <v>0.12</v>
      </c>
      <c r="D655" s="94">
        <f>+VLOOKUP(B655,'PRECIO PROVEEDORES'!$A$2:$B$716,2,0)</f>
        <v>24829</v>
      </c>
      <c r="E655" s="12">
        <f t="shared" si="70"/>
        <v>2979.48</v>
      </c>
      <c r="G655" s="64" t="s">
        <v>49</v>
      </c>
      <c r="H655" s="126">
        <v>5.0000000000000001E-3</v>
      </c>
      <c r="I655" s="94">
        <f>+VLOOKUP(G655,'PRECIO PROVEEDORES'!$A$2:$B$716,2,0)</f>
        <v>1633</v>
      </c>
      <c r="J655" s="12">
        <f t="shared" si="71"/>
        <v>8.1650000000000009</v>
      </c>
      <c r="L655" s="64" t="s">
        <v>272</v>
      </c>
      <c r="M655" s="68">
        <v>0.4</v>
      </c>
      <c r="N655" s="94">
        <f>+VLOOKUP(L655,'PRECIO PROVEEDORES'!$A$2:$B$716,2,0)</f>
        <v>27769.5</v>
      </c>
      <c r="O655" s="12">
        <f t="shared" si="72"/>
        <v>11107.800000000001</v>
      </c>
    </row>
    <row r="656" spans="2:15" ht="15.75" customHeight="1" x14ac:dyDescent="0.2">
      <c r="B656" s="121" t="s">
        <v>444</v>
      </c>
      <c r="C656" s="66">
        <v>0.06</v>
      </c>
      <c r="D656" s="94">
        <f>+VLOOKUP(B656,'PRECIO PROVEEDORES'!$A$2:$B$716,2,0)</f>
        <v>9506</v>
      </c>
      <c r="E656" s="12">
        <f t="shared" si="70"/>
        <v>570.36</v>
      </c>
      <c r="G656" s="71" t="s">
        <v>249</v>
      </c>
      <c r="H656" s="126">
        <v>5.0000000000000001E-3</v>
      </c>
      <c r="I656" s="94">
        <f>+VLOOKUP(G656,'PRECIO PROVEEDORES'!$A$2:$B$716,2,0)</f>
        <v>2118</v>
      </c>
      <c r="J656" s="12">
        <f t="shared" si="71"/>
        <v>10.59</v>
      </c>
      <c r="L656" s="71" t="s">
        <v>151</v>
      </c>
      <c r="M656" s="68">
        <v>8.0000000000000002E-3</v>
      </c>
      <c r="N656" s="94">
        <f>+VLOOKUP(L656,'PRECIO PROVEEDORES'!$A$2:$B$716,2,0)</f>
        <v>1633</v>
      </c>
      <c r="O656" s="12">
        <f t="shared" si="72"/>
        <v>13.064</v>
      </c>
    </row>
    <row r="657" spans="2:15" ht="15.75" customHeight="1" x14ac:dyDescent="0.2">
      <c r="B657" s="71" t="s">
        <v>292</v>
      </c>
      <c r="C657" s="66">
        <v>0.16</v>
      </c>
      <c r="D657" s="94">
        <f>+VLOOKUP(B657,'PRECIO PROVEEDORES'!$A$2:$B$716,2,0)</f>
        <v>8184</v>
      </c>
      <c r="E657" s="12">
        <f t="shared" si="70"/>
        <v>1309.44</v>
      </c>
      <c r="G657" s="71"/>
      <c r="H657" s="126"/>
      <c r="I657" s="94"/>
      <c r="J657" s="12"/>
      <c r="L657" s="71" t="s">
        <v>249</v>
      </c>
      <c r="M657" s="126">
        <v>5.0000000000000001E-3</v>
      </c>
      <c r="N657" s="94">
        <f>+VLOOKUP(L657,'PRECIO PROVEEDORES'!$A$2:$B$716,2,0)</f>
        <v>2118</v>
      </c>
      <c r="O657" s="12">
        <f t="shared" si="72"/>
        <v>10.59</v>
      </c>
    </row>
    <row r="658" spans="2:15" ht="15.75" customHeight="1" x14ac:dyDescent="0.2">
      <c r="B658" s="71" t="s">
        <v>503</v>
      </c>
      <c r="C658" s="66">
        <v>0.32</v>
      </c>
      <c r="D658" s="94">
        <f>+VLOOKUP(B658,'PRECIO PROVEEDORES'!$A$2:$B$716,2,0)</f>
        <v>7331</v>
      </c>
      <c r="E658" s="12">
        <f t="shared" si="70"/>
        <v>2345.92</v>
      </c>
      <c r="G658" s="71"/>
      <c r="H658" s="66"/>
      <c r="I658" s="69"/>
      <c r="J658" s="70"/>
      <c r="L658" s="71"/>
      <c r="M658" s="66"/>
      <c r="N658" s="69"/>
      <c r="O658" s="70"/>
    </row>
    <row r="659" spans="2:15" ht="15.75" customHeight="1" x14ac:dyDescent="0.15">
      <c r="B659" s="71"/>
      <c r="C659" s="66"/>
      <c r="D659" s="69"/>
      <c r="E659" s="70"/>
      <c r="G659" s="71"/>
      <c r="H659" s="66"/>
      <c r="I659" s="69"/>
      <c r="J659" s="70"/>
      <c r="L659" s="71"/>
      <c r="M659" s="66"/>
      <c r="N659" s="69"/>
      <c r="O659" s="70"/>
    </row>
    <row r="660" spans="2:15" ht="15.75" customHeight="1" x14ac:dyDescent="0.15">
      <c r="B660" s="64"/>
      <c r="C660" s="66"/>
      <c r="D660" s="69"/>
      <c r="E660" s="70"/>
      <c r="G660" s="64"/>
      <c r="H660" s="66"/>
      <c r="I660" s="69"/>
      <c r="J660" s="70"/>
      <c r="L660" s="64"/>
      <c r="M660" s="66"/>
      <c r="N660" s="69"/>
      <c r="O660" s="70"/>
    </row>
    <row r="661" spans="2:15" ht="15.75" customHeight="1" x14ac:dyDescent="0.15">
      <c r="B661" s="64"/>
      <c r="C661" s="66"/>
      <c r="D661" s="69"/>
      <c r="E661" s="70"/>
      <c r="G661" s="64"/>
      <c r="H661" s="66"/>
      <c r="I661" s="69"/>
      <c r="J661" s="70"/>
      <c r="L661" s="64"/>
      <c r="M661" s="66"/>
      <c r="N661" s="69"/>
      <c r="O661" s="70"/>
    </row>
    <row r="662" spans="2:15" ht="15.75" customHeight="1" x14ac:dyDescent="0.15">
      <c r="B662" s="64"/>
      <c r="C662" s="66"/>
      <c r="D662" s="69"/>
      <c r="E662" s="70"/>
      <c r="G662" s="64"/>
      <c r="H662" s="66"/>
      <c r="I662" s="69"/>
      <c r="J662" s="70"/>
      <c r="L662" s="64"/>
      <c r="M662" s="66"/>
      <c r="N662" s="69"/>
      <c r="O662" s="70"/>
    </row>
    <row r="663" spans="2:15" ht="15.75" customHeight="1" x14ac:dyDescent="0.2">
      <c r="B663" s="72" t="s">
        <v>52</v>
      </c>
      <c r="C663" s="73"/>
      <c r="D663" s="74"/>
      <c r="E663" s="95">
        <f>SUM(E648:E662)</f>
        <v>14691.1427</v>
      </c>
      <c r="G663" s="72" t="s">
        <v>52</v>
      </c>
      <c r="H663" s="73"/>
      <c r="I663" s="74"/>
      <c r="J663" s="95">
        <f>SUM(J648:J662)</f>
        <v>11155.965000000002</v>
      </c>
      <c r="L663" s="72" t="s">
        <v>52</v>
      </c>
      <c r="M663" s="73"/>
      <c r="N663" s="74"/>
      <c r="O663" s="95">
        <f>SUM(O648:O662)</f>
        <v>29236.453999999994</v>
      </c>
    </row>
    <row r="664" spans="2:15" ht="15.75" customHeight="1" x14ac:dyDescent="0.2">
      <c r="B664" s="76" t="s">
        <v>53</v>
      </c>
      <c r="C664" s="77"/>
      <c r="D664" s="78"/>
      <c r="E664" s="96">
        <f>SUM(E663)</f>
        <v>14691.1427</v>
      </c>
      <c r="G664" s="76" t="s">
        <v>53</v>
      </c>
      <c r="H664" s="77"/>
      <c r="I664" s="78"/>
      <c r="J664" s="96">
        <f>SUM(J663)</f>
        <v>11155.965000000002</v>
      </c>
      <c r="L664" s="76" t="s">
        <v>53</v>
      </c>
      <c r="M664" s="77"/>
      <c r="N664" s="78"/>
      <c r="O664" s="96">
        <f>SUM(O663)</f>
        <v>29236.453999999994</v>
      </c>
    </row>
    <row r="665" spans="2:15" ht="15.75" customHeight="1" x14ac:dyDescent="0.2">
      <c r="B665" s="76" t="s">
        <v>54</v>
      </c>
      <c r="C665" s="77"/>
      <c r="D665" s="78"/>
      <c r="E665" s="96">
        <f>+E664/16</f>
        <v>918.19641875000002</v>
      </c>
      <c r="G665" s="76" t="s">
        <v>54</v>
      </c>
      <c r="H665" s="77"/>
      <c r="I665" s="78"/>
      <c r="J665" s="96">
        <f>+J664/50</f>
        <v>223.11930000000004</v>
      </c>
      <c r="L665" s="76" t="s">
        <v>54</v>
      </c>
      <c r="M665" s="77"/>
      <c r="N665" s="78"/>
      <c r="O665" s="96">
        <f>+O664/50</f>
        <v>584.72907999999984</v>
      </c>
    </row>
    <row r="666" spans="2:15" ht="15.75" customHeight="1" x14ac:dyDescent="0.2">
      <c r="B666" s="76" t="s">
        <v>55</v>
      </c>
      <c r="C666" s="77"/>
      <c r="D666" s="80">
        <v>0.3</v>
      </c>
      <c r="E666" s="81"/>
      <c r="G666" s="76" t="s">
        <v>55</v>
      </c>
      <c r="H666" s="77"/>
      <c r="I666" s="80">
        <v>0.3</v>
      </c>
      <c r="J666" s="81"/>
      <c r="L666" s="76" t="s">
        <v>55</v>
      </c>
      <c r="M666" s="77"/>
      <c r="N666" s="80">
        <v>0.3</v>
      </c>
      <c r="O666" s="81"/>
    </row>
    <row r="667" spans="2:15" ht="15.75" customHeight="1" x14ac:dyDescent="0.2">
      <c r="B667" s="76" t="s">
        <v>56</v>
      </c>
      <c r="C667" s="77"/>
      <c r="D667" s="82"/>
      <c r="E667" s="96">
        <f>+E665*3.33333333333333</f>
        <v>3060.6547291666634</v>
      </c>
      <c r="G667" s="76" t="s">
        <v>56</v>
      </c>
      <c r="H667" s="77"/>
      <c r="I667" s="82"/>
      <c r="J667" s="96">
        <f>+J665*3.33333333333333</f>
        <v>743.73099999999931</v>
      </c>
      <c r="L667" s="76" t="s">
        <v>56</v>
      </c>
      <c r="M667" s="77"/>
      <c r="N667" s="82"/>
      <c r="O667" s="96">
        <f>+O665*3.33333333333333</f>
        <v>1949.0969333333308</v>
      </c>
    </row>
    <row r="668" spans="2:15" ht="15.75" customHeight="1" x14ac:dyDescent="0.2">
      <c r="B668" s="76" t="s">
        <v>57</v>
      </c>
      <c r="C668" s="77"/>
      <c r="D668" s="77">
        <v>2776</v>
      </c>
      <c r="E668" s="96">
        <v>3366.66</v>
      </c>
      <c r="G668" s="76" t="s">
        <v>250</v>
      </c>
      <c r="H668" s="77"/>
      <c r="I668" s="78"/>
      <c r="J668" s="96">
        <v>1208</v>
      </c>
      <c r="L668" s="76" t="s">
        <v>250</v>
      </c>
      <c r="M668" s="77"/>
      <c r="N668" s="78"/>
      <c r="O668" s="96">
        <v>1208</v>
      </c>
    </row>
    <row r="669" spans="2:15" ht="15.75" customHeight="1" x14ac:dyDescent="0.2">
      <c r="B669" s="71"/>
      <c r="C669" s="77"/>
      <c r="D669" s="78"/>
      <c r="E669" s="95">
        <f>+E668-E667</f>
        <v>306.00527083333645</v>
      </c>
      <c r="G669" s="71"/>
      <c r="H669" s="77"/>
      <c r="I669" s="78"/>
      <c r="J669" s="95">
        <f>+J668-J667</f>
        <v>464.26900000000069</v>
      </c>
      <c r="L669" s="71"/>
      <c r="M669" s="77"/>
      <c r="N669" s="78"/>
      <c r="O669" s="95">
        <f>+O668-O667</f>
        <v>-741.09693333333075</v>
      </c>
    </row>
    <row r="670" spans="2:15" ht="15.75" customHeight="1" x14ac:dyDescent="0.2">
      <c r="B670" s="32" t="s">
        <v>58</v>
      </c>
      <c r="C670" s="83"/>
      <c r="D670" s="83"/>
      <c r="E670" s="98">
        <f>E665/E668</f>
        <v>0.27273214959336556</v>
      </c>
      <c r="G670" s="32" t="s">
        <v>58</v>
      </c>
      <c r="H670" s="83"/>
      <c r="I670" s="110"/>
      <c r="J670" s="98">
        <f>J665/J668</f>
        <v>0.18470140728476825</v>
      </c>
      <c r="L670" s="32" t="s">
        <v>58</v>
      </c>
      <c r="M670" s="83"/>
      <c r="N670" s="110"/>
      <c r="O670" s="98">
        <f>O665/O668</f>
        <v>0.48404725165562901</v>
      </c>
    </row>
    <row r="671" spans="2:15" ht="15.75" customHeight="1" x14ac:dyDescent="0.15"/>
    <row r="672" spans="2:15" ht="15.75" customHeight="1" x14ac:dyDescent="0.15"/>
    <row r="673" spans="2:15" ht="15.75" customHeight="1" x14ac:dyDescent="0.2">
      <c r="B673" s="218" t="s">
        <v>599</v>
      </c>
      <c r="C673" s="213"/>
      <c r="D673" s="213"/>
      <c r="E673" s="214"/>
      <c r="G673" s="218" t="s">
        <v>600</v>
      </c>
      <c r="H673" s="213"/>
      <c r="I673" s="213"/>
      <c r="J673" s="214"/>
      <c r="L673" s="218" t="s">
        <v>601</v>
      </c>
      <c r="M673" s="213"/>
      <c r="N673" s="213"/>
      <c r="O673" s="214"/>
    </row>
    <row r="674" spans="2:15" ht="15.75" customHeight="1" x14ac:dyDescent="0.2">
      <c r="B674" s="64"/>
      <c r="C674" s="65" t="s">
        <v>8</v>
      </c>
      <c r="D674" s="7" t="s">
        <v>9</v>
      </c>
      <c r="E674" s="8" t="s">
        <v>10</v>
      </c>
      <c r="G674" s="64"/>
      <c r="H674" s="65" t="s">
        <v>8</v>
      </c>
      <c r="I674" s="7" t="s">
        <v>9</v>
      </c>
      <c r="J674" s="8" t="s">
        <v>10</v>
      </c>
      <c r="L674" s="64"/>
      <c r="M674" s="65" t="s">
        <v>8</v>
      </c>
      <c r="N674" s="7" t="s">
        <v>9</v>
      </c>
      <c r="O674" s="8" t="s">
        <v>10</v>
      </c>
    </row>
    <row r="675" spans="2:15" ht="15.75" customHeight="1" x14ac:dyDescent="0.2">
      <c r="B675" s="66" t="s">
        <v>247</v>
      </c>
      <c r="C675" s="126">
        <v>0.375</v>
      </c>
      <c r="D675" s="94">
        <f>+VLOOKUP(B675,'PRECIO PROVEEDORES'!$A$2:$B$716,2,0)</f>
        <v>12000</v>
      </c>
      <c r="E675" s="12">
        <f t="shared" ref="E675:E683" si="73">+C675*D675</f>
        <v>4500</v>
      </c>
      <c r="G675" s="66" t="s">
        <v>247</v>
      </c>
      <c r="H675" s="126">
        <v>0.3</v>
      </c>
      <c r="I675" s="94">
        <f>+VLOOKUP(G675,'PRECIO PROVEEDORES'!$A$2:$B$716,2,0)</f>
        <v>12000</v>
      </c>
      <c r="J675" s="12">
        <f t="shared" ref="J675:J683" si="74">+H675*I675</f>
        <v>3600</v>
      </c>
      <c r="L675" s="66" t="s">
        <v>247</v>
      </c>
      <c r="M675" s="126">
        <v>0.3</v>
      </c>
      <c r="N675" s="94">
        <f>+VLOOKUP(L675,'PRECIO PROVEEDORES'!$A$2:$B$716,2,0)</f>
        <v>12000</v>
      </c>
      <c r="O675" s="12">
        <f t="shared" ref="O675:O685" si="75">+M675*N675</f>
        <v>3600</v>
      </c>
    </row>
    <row r="676" spans="2:15" ht="15.75" customHeight="1" x14ac:dyDescent="0.2">
      <c r="B676" s="66" t="s">
        <v>271</v>
      </c>
      <c r="C676" s="126">
        <v>0.25</v>
      </c>
      <c r="D676" s="94">
        <f>+VLOOKUP(B676,'PRECIO PROVEEDORES'!$A$2:$B$716,2,0)</f>
        <v>1684</v>
      </c>
      <c r="E676" s="12">
        <f t="shared" si="73"/>
        <v>421</v>
      </c>
      <c r="G676" s="66" t="s">
        <v>271</v>
      </c>
      <c r="H676" s="126">
        <v>0.45</v>
      </c>
      <c r="I676" s="94">
        <f>+VLOOKUP(G676,'PRECIO PROVEEDORES'!$A$2:$B$716,2,0)</f>
        <v>1684</v>
      </c>
      <c r="J676" s="12">
        <f t="shared" si="74"/>
        <v>757.80000000000007</v>
      </c>
      <c r="L676" s="66" t="s">
        <v>315</v>
      </c>
      <c r="M676" s="126">
        <v>0.35</v>
      </c>
      <c r="N676" s="94">
        <f>+VLOOKUP(L676,'PRECIO PROVEEDORES'!$A$2:$B$716,2,0)</f>
        <v>1352</v>
      </c>
      <c r="O676" s="12">
        <f t="shared" si="75"/>
        <v>473.2</v>
      </c>
    </row>
    <row r="677" spans="2:15" ht="15.75" customHeight="1" x14ac:dyDescent="0.2">
      <c r="B677" s="66" t="s">
        <v>17</v>
      </c>
      <c r="C677" s="126">
        <v>5</v>
      </c>
      <c r="D677" s="94">
        <f>+VLOOKUP(B677,'PRECIO PROVEEDORES'!$A$2:$B$716,2,0)</f>
        <v>192</v>
      </c>
      <c r="E677" s="12">
        <f t="shared" si="73"/>
        <v>960</v>
      </c>
      <c r="G677" s="66" t="s">
        <v>17</v>
      </c>
      <c r="H677" s="126">
        <v>0.3</v>
      </c>
      <c r="I677" s="94">
        <f>+VLOOKUP(G677,'PRECIO PROVEEDORES'!$A$2:$B$716,2,0)</f>
        <v>192</v>
      </c>
      <c r="J677" s="12">
        <f t="shared" si="74"/>
        <v>57.599999999999994</v>
      </c>
      <c r="L677" s="66" t="s">
        <v>17</v>
      </c>
      <c r="M677" s="126">
        <v>10</v>
      </c>
      <c r="N677" s="94">
        <f>+VLOOKUP(L677,'PRECIO PROVEEDORES'!$A$2:$B$716,2,0)</f>
        <v>192</v>
      </c>
      <c r="O677" s="12">
        <f t="shared" si="75"/>
        <v>1920</v>
      </c>
    </row>
    <row r="678" spans="2:15" ht="15.75" customHeight="1" x14ac:dyDescent="0.2">
      <c r="B678" s="66" t="s">
        <v>237</v>
      </c>
      <c r="C678" s="126">
        <v>0.75</v>
      </c>
      <c r="D678" s="94">
        <f>+VLOOKUP(B678,'PRECIO PROVEEDORES'!$A$2:$B$716,2,0)</f>
        <v>1043.22</v>
      </c>
      <c r="E678" s="12">
        <f t="shared" si="73"/>
        <v>782.41499999999996</v>
      </c>
      <c r="G678" s="66" t="s">
        <v>237</v>
      </c>
      <c r="H678" s="126">
        <v>6</v>
      </c>
      <c r="I678" s="94">
        <f>+VLOOKUP(G678,'PRECIO PROVEEDORES'!$A$2:$B$716,2,0)</f>
        <v>1043.22</v>
      </c>
      <c r="J678" s="12">
        <f t="shared" si="74"/>
        <v>6259.32</v>
      </c>
      <c r="L678" s="66" t="s">
        <v>237</v>
      </c>
      <c r="M678" s="126">
        <v>0.6</v>
      </c>
      <c r="N678" s="94">
        <f>+VLOOKUP(L678,'PRECIO PROVEEDORES'!$A$2:$B$716,2,0)</f>
        <v>1043.22</v>
      </c>
      <c r="O678" s="12">
        <f t="shared" si="75"/>
        <v>625.93200000000002</v>
      </c>
    </row>
    <row r="679" spans="2:15" ht="15.75" customHeight="1" x14ac:dyDescent="0.2">
      <c r="B679" s="66" t="s">
        <v>547</v>
      </c>
      <c r="C679" s="126">
        <v>0.9</v>
      </c>
      <c r="D679" s="94">
        <f>+VLOOKUP(B679,'PRECIO PROVEEDORES'!$A$2:$B$716,2,0)</f>
        <v>3109</v>
      </c>
      <c r="E679" s="12">
        <f t="shared" si="73"/>
        <v>2798.1</v>
      </c>
      <c r="G679" s="66" t="s">
        <v>602</v>
      </c>
      <c r="H679" s="126">
        <v>0.45</v>
      </c>
      <c r="I679" s="94">
        <f>+VLOOKUP(G679,'PRECIO PROVEEDORES'!$A$2:$B$716,2,0)</f>
        <v>2381</v>
      </c>
      <c r="J679" s="12">
        <f t="shared" si="74"/>
        <v>1071.45</v>
      </c>
      <c r="L679" s="66" t="s">
        <v>537</v>
      </c>
      <c r="M679" s="126">
        <v>1.5</v>
      </c>
      <c r="N679" s="94">
        <f>+VLOOKUP(L679,'PRECIO PROVEEDORES'!$A$2:$B$716,2,0)</f>
        <v>5672</v>
      </c>
      <c r="O679" s="12">
        <f t="shared" si="75"/>
        <v>8508</v>
      </c>
    </row>
    <row r="680" spans="2:15" ht="15.75" customHeight="1" x14ac:dyDescent="0.2">
      <c r="B680" s="66" t="s">
        <v>266</v>
      </c>
      <c r="C680" s="126">
        <v>1.4999999999999999E-2</v>
      </c>
      <c r="D680" s="94">
        <f>+VLOOKUP(B680,'PRECIO PROVEEDORES'!$A$2:$B$716,2,0)</f>
        <v>6040</v>
      </c>
      <c r="E680" s="12">
        <f t="shared" si="73"/>
        <v>90.6</v>
      </c>
      <c r="G680" s="66" t="s">
        <v>266</v>
      </c>
      <c r="H680" s="126">
        <v>1.4999999999999999E-2</v>
      </c>
      <c r="I680" s="94">
        <f>+VLOOKUP(G680,'PRECIO PROVEEDORES'!$A$2:$B$716,2,0)</f>
        <v>6040</v>
      </c>
      <c r="J680" s="12">
        <f t="shared" si="74"/>
        <v>90.6</v>
      </c>
      <c r="L680" s="66" t="s">
        <v>97</v>
      </c>
      <c r="M680" s="126">
        <v>11</v>
      </c>
      <c r="N680" s="94">
        <f>+VLOOKUP(L680,'PRECIO PROVEEDORES'!$A$2:$B$716,2,0)</f>
        <v>192</v>
      </c>
      <c r="O680" s="12">
        <f t="shared" si="75"/>
        <v>2112</v>
      </c>
    </row>
    <row r="681" spans="2:15" ht="15.75" customHeight="1" x14ac:dyDescent="0.2">
      <c r="B681" s="66" t="s">
        <v>312</v>
      </c>
      <c r="C681" s="126">
        <v>0.1</v>
      </c>
      <c r="D681" s="94">
        <f>+VLOOKUP(B681,'PRECIO PROVEEDORES'!$A$2:$B$716,2,0)</f>
        <v>4299.01</v>
      </c>
      <c r="E681" s="12">
        <f t="shared" si="73"/>
        <v>429.90100000000007</v>
      </c>
      <c r="G681" s="66" t="s">
        <v>312</v>
      </c>
      <c r="H681" s="126">
        <v>0.3</v>
      </c>
      <c r="I681" s="94">
        <f>+VLOOKUP(G681,'PRECIO PROVEEDORES'!$A$2:$B$716,2,0)</f>
        <v>4299.01</v>
      </c>
      <c r="J681" s="12">
        <f t="shared" si="74"/>
        <v>1289.703</v>
      </c>
      <c r="L681" s="66" t="s">
        <v>273</v>
      </c>
      <c r="M681" s="126">
        <v>0.06</v>
      </c>
      <c r="N681" s="94">
        <f>+VLOOKUP(L681,'PRECIO PROVEEDORES'!$A$2:$B$716,2,0)</f>
        <v>2191</v>
      </c>
      <c r="O681" s="12">
        <f t="shared" si="75"/>
        <v>131.46</v>
      </c>
    </row>
    <row r="682" spans="2:15" ht="15.75" customHeight="1" x14ac:dyDescent="0.2">
      <c r="B682" s="64" t="s">
        <v>49</v>
      </c>
      <c r="C682" s="126">
        <v>5.0000000000000001E-3</v>
      </c>
      <c r="D682" s="94">
        <f>+VLOOKUP(B682,'PRECIO PROVEEDORES'!$A$2:$B$716,2,0)</f>
        <v>1633</v>
      </c>
      <c r="E682" s="12">
        <f t="shared" si="73"/>
        <v>8.1650000000000009</v>
      </c>
      <c r="G682" s="64" t="s">
        <v>49</v>
      </c>
      <c r="H682" s="126">
        <v>5.0000000000000001E-3</v>
      </c>
      <c r="I682" s="94">
        <f>+VLOOKUP(G682,'PRECIO PROVEEDORES'!$A$2:$B$716,2,0)</f>
        <v>1633</v>
      </c>
      <c r="J682" s="12">
        <f t="shared" si="74"/>
        <v>8.1650000000000009</v>
      </c>
      <c r="L682" s="64" t="s">
        <v>258</v>
      </c>
      <c r="M682" s="126">
        <v>0.15</v>
      </c>
      <c r="N682" s="94">
        <f>+VLOOKUP(L682,'PRECIO PROVEEDORES'!$A$2:$B$716,2,0)</f>
        <v>10203</v>
      </c>
      <c r="O682" s="12">
        <f t="shared" si="75"/>
        <v>1530.45</v>
      </c>
    </row>
    <row r="683" spans="2:15" ht="15.75" customHeight="1" x14ac:dyDescent="0.2">
      <c r="B683" s="71" t="s">
        <v>249</v>
      </c>
      <c r="C683" s="126">
        <v>5.0000000000000001E-3</v>
      </c>
      <c r="D683" s="94">
        <f>+VLOOKUP(B683,'PRECIO PROVEEDORES'!$A$2:$B$716,2,0)</f>
        <v>2118</v>
      </c>
      <c r="E683" s="12">
        <f t="shared" si="73"/>
        <v>10.59</v>
      </c>
      <c r="G683" s="71" t="s">
        <v>249</v>
      </c>
      <c r="H683" s="126">
        <v>5.0000000000000001E-3</v>
      </c>
      <c r="I683" s="94">
        <f>+VLOOKUP(G683,'PRECIO PROVEEDORES'!$A$2:$B$716,2,0)</f>
        <v>2118</v>
      </c>
      <c r="J683" s="12">
        <f t="shared" si="74"/>
        <v>10.59</v>
      </c>
      <c r="L683" s="71" t="s">
        <v>249</v>
      </c>
      <c r="M683" s="131">
        <v>0.01</v>
      </c>
      <c r="N683" s="94">
        <f>+VLOOKUP(L683,'PRECIO PROVEEDORES'!$A$2:$B$716,2,0)</f>
        <v>2118</v>
      </c>
      <c r="O683" s="12">
        <f t="shared" si="75"/>
        <v>21.18</v>
      </c>
    </row>
    <row r="684" spans="2:15" ht="15.75" customHeight="1" x14ac:dyDescent="0.2">
      <c r="B684" s="71"/>
      <c r="C684" s="126"/>
      <c r="D684" s="94"/>
      <c r="E684" s="12"/>
      <c r="G684" s="71"/>
      <c r="H684" s="126"/>
      <c r="I684" s="94"/>
      <c r="J684" s="12"/>
      <c r="L684" s="71" t="s">
        <v>480</v>
      </c>
      <c r="M684" s="126">
        <v>0.05</v>
      </c>
      <c r="N684" s="94">
        <f>+VLOOKUP(L684,'PRECIO PROVEEDORES'!$A$2:$B$716,2,0)</f>
        <v>3000</v>
      </c>
      <c r="O684" s="12">
        <f t="shared" si="75"/>
        <v>150</v>
      </c>
    </row>
    <row r="685" spans="2:15" ht="15.75" customHeight="1" x14ac:dyDescent="0.2">
      <c r="B685" s="71"/>
      <c r="C685" s="66"/>
      <c r="D685" s="69"/>
      <c r="E685" s="70"/>
      <c r="G685" s="71"/>
      <c r="H685" s="66"/>
      <c r="I685" s="69"/>
      <c r="J685" s="70"/>
      <c r="L685" s="71" t="s">
        <v>301</v>
      </c>
      <c r="M685" s="66">
        <v>0.04</v>
      </c>
      <c r="N685" s="94">
        <f>+VLOOKUP(L685,'PRECIO PROVEEDORES'!$A$2:$B$716,2,0)</f>
        <v>1684</v>
      </c>
      <c r="O685" s="12">
        <f t="shared" si="75"/>
        <v>67.36</v>
      </c>
    </row>
    <row r="686" spans="2:15" ht="15.75" customHeight="1" x14ac:dyDescent="0.15">
      <c r="B686" s="71"/>
      <c r="C686" s="66"/>
      <c r="D686" s="69"/>
      <c r="E686" s="70"/>
      <c r="G686" s="71"/>
      <c r="H686" s="66"/>
      <c r="I686" s="69"/>
      <c r="J686" s="70"/>
      <c r="L686" s="71"/>
      <c r="M686" s="66"/>
      <c r="N686" s="69"/>
      <c r="O686" s="70"/>
    </row>
    <row r="687" spans="2:15" ht="15.75" customHeight="1" x14ac:dyDescent="0.15">
      <c r="B687" s="64"/>
      <c r="C687" s="66"/>
      <c r="D687" s="69"/>
      <c r="E687" s="70"/>
      <c r="G687" s="64"/>
      <c r="H687" s="66"/>
      <c r="I687" s="69"/>
      <c r="J687" s="70"/>
      <c r="L687" s="64"/>
      <c r="M687" s="66"/>
      <c r="N687" s="69"/>
      <c r="O687" s="70"/>
    </row>
    <row r="688" spans="2:15" ht="15.75" customHeight="1" x14ac:dyDescent="0.15">
      <c r="B688" s="64"/>
      <c r="C688" s="66"/>
      <c r="D688" s="69"/>
      <c r="E688" s="70"/>
      <c r="G688" s="64"/>
      <c r="H688" s="66"/>
      <c r="I688" s="69"/>
      <c r="J688" s="70"/>
      <c r="L688" s="64"/>
      <c r="M688" s="66"/>
      <c r="N688" s="69"/>
      <c r="O688" s="70"/>
    </row>
    <row r="689" spans="2:15" ht="15.75" customHeight="1" x14ac:dyDescent="0.15">
      <c r="B689" s="64"/>
      <c r="C689" s="66"/>
      <c r="D689" s="69"/>
      <c r="E689" s="70"/>
      <c r="G689" s="64"/>
      <c r="H689" s="66"/>
      <c r="I689" s="69"/>
      <c r="J689" s="70"/>
      <c r="L689" s="64"/>
      <c r="M689" s="66"/>
      <c r="N689" s="69"/>
      <c r="O689" s="70"/>
    </row>
    <row r="690" spans="2:15" ht="15.75" customHeight="1" x14ac:dyDescent="0.2">
      <c r="B690" s="72" t="s">
        <v>52</v>
      </c>
      <c r="C690" s="73"/>
      <c r="D690" s="74"/>
      <c r="E690" s="95">
        <f>SUM(E675:E689)</f>
        <v>10000.771000000001</v>
      </c>
      <c r="G690" s="72" t="s">
        <v>52</v>
      </c>
      <c r="H690" s="73"/>
      <c r="I690" s="74"/>
      <c r="J690" s="95">
        <f>SUM(J675:J689)</f>
        <v>13145.228000000003</v>
      </c>
      <c r="L690" s="72" t="s">
        <v>52</v>
      </c>
      <c r="M690" s="73"/>
      <c r="N690" s="74"/>
      <c r="O690" s="95">
        <f>SUM(O675:O689)</f>
        <v>19139.581999999999</v>
      </c>
    </row>
    <row r="691" spans="2:15" ht="15.75" customHeight="1" x14ac:dyDescent="0.2">
      <c r="B691" s="76" t="s">
        <v>53</v>
      </c>
      <c r="C691" s="77"/>
      <c r="D691" s="78"/>
      <c r="E691" s="96">
        <f>SUM(E690)</f>
        <v>10000.771000000001</v>
      </c>
      <c r="G691" s="76" t="s">
        <v>53</v>
      </c>
      <c r="H691" s="77"/>
      <c r="I691" s="78"/>
      <c r="J691" s="96">
        <f>SUM(J690)</f>
        <v>13145.228000000003</v>
      </c>
      <c r="L691" s="76" t="s">
        <v>53</v>
      </c>
      <c r="M691" s="77"/>
      <c r="N691" s="78"/>
      <c r="O691" s="96">
        <f>SUM(O690)</f>
        <v>19139.581999999999</v>
      </c>
    </row>
    <row r="692" spans="2:15" ht="15.75" customHeight="1" x14ac:dyDescent="0.2">
      <c r="B692" s="76" t="s">
        <v>54</v>
      </c>
      <c r="C692" s="77"/>
      <c r="D692" s="78"/>
      <c r="E692" s="96">
        <f>+E691/35</f>
        <v>285.73631428571429</v>
      </c>
      <c r="G692" s="76" t="s">
        <v>54</v>
      </c>
      <c r="H692" s="77"/>
      <c r="I692" s="78"/>
      <c r="J692" s="96">
        <f>+J691/50</f>
        <v>262.90456000000006</v>
      </c>
      <c r="L692" s="76" t="s">
        <v>54</v>
      </c>
      <c r="M692" s="77"/>
      <c r="N692" s="78"/>
      <c r="O692" s="96">
        <f>+O691/50</f>
        <v>382.79163999999997</v>
      </c>
    </row>
    <row r="693" spans="2:15" ht="15.75" customHeight="1" x14ac:dyDescent="0.2">
      <c r="B693" s="76" t="s">
        <v>55</v>
      </c>
      <c r="C693" s="77"/>
      <c r="D693" s="80">
        <v>0.3</v>
      </c>
      <c r="E693" s="81"/>
      <c r="G693" s="76" t="s">
        <v>55</v>
      </c>
      <c r="H693" s="77"/>
      <c r="I693" s="80">
        <v>0.3</v>
      </c>
      <c r="J693" s="81"/>
      <c r="L693" s="76" t="s">
        <v>55</v>
      </c>
      <c r="M693" s="77"/>
      <c r="N693" s="80">
        <v>0.3</v>
      </c>
      <c r="O693" s="81"/>
    </row>
    <row r="694" spans="2:15" ht="15.75" customHeight="1" x14ac:dyDescent="0.2">
      <c r="B694" s="76" t="s">
        <v>56</v>
      </c>
      <c r="C694" s="77"/>
      <c r="D694" s="82"/>
      <c r="E694" s="96">
        <f>+E692*3.33333333333333</f>
        <v>952.45438095238001</v>
      </c>
      <c r="G694" s="76" t="s">
        <v>56</v>
      </c>
      <c r="H694" s="77"/>
      <c r="I694" s="82"/>
      <c r="J694" s="96">
        <f>+J692*3.33333333333333</f>
        <v>876.34853333333263</v>
      </c>
      <c r="L694" s="76" t="s">
        <v>56</v>
      </c>
      <c r="M694" s="77"/>
      <c r="N694" s="82"/>
      <c r="O694" s="96">
        <f>+O692*3.33333333333333</f>
        <v>1275.9721333333318</v>
      </c>
    </row>
    <row r="695" spans="2:15" ht="15.75" customHeight="1" x14ac:dyDescent="0.2">
      <c r="B695" s="76" t="s">
        <v>250</v>
      </c>
      <c r="C695" s="77"/>
      <c r="D695" s="78"/>
      <c r="E695" s="96">
        <v>1208</v>
      </c>
      <c r="G695" s="76" t="s">
        <v>250</v>
      </c>
      <c r="H695" s="77"/>
      <c r="I695" s="78"/>
      <c r="J695" s="96">
        <v>1208</v>
      </c>
      <c r="L695" s="76" t="s">
        <v>250</v>
      </c>
      <c r="M695" s="77"/>
      <c r="N695" s="78"/>
      <c r="O695" s="96">
        <v>1208</v>
      </c>
    </row>
    <row r="696" spans="2:15" ht="15.75" customHeight="1" x14ac:dyDescent="0.2">
      <c r="B696" s="71"/>
      <c r="C696" s="77"/>
      <c r="D696" s="78"/>
      <c r="E696" s="95">
        <f>+E695-E694</f>
        <v>255.54561904761999</v>
      </c>
      <c r="G696" s="71"/>
      <c r="H696" s="77"/>
      <c r="I696" s="78"/>
      <c r="J696" s="95">
        <f>+J695-J694</f>
        <v>331.65146666666737</v>
      </c>
      <c r="L696" s="71"/>
      <c r="M696" s="77"/>
      <c r="N696" s="78"/>
      <c r="O696" s="95">
        <f>+O695-O694</f>
        <v>-67.97213333333184</v>
      </c>
    </row>
    <row r="697" spans="2:15" ht="15.75" customHeight="1" x14ac:dyDescent="0.2">
      <c r="B697" s="32" t="s">
        <v>58</v>
      </c>
      <c r="C697" s="83"/>
      <c r="D697" s="110"/>
      <c r="E697" s="98">
        <f>E692/E695</f>
        <v>0.23653668401135289</v>
      </c>
      <c r="G697" s="32" t="s">
        <v>58</v>
      </c>
      <c r="H697" s="83"/>
      <c r="I697" s="110"/>
      <c r="J697" s="98">
        <f>J692/J695</f>
        <v>0.21763622516556297</v>
      </c>
      <c r="L697" s="32" t="s">
        <v>58</v>
      </c>
      <c r="M697" s="83"/>
      <c r="N697" s="110"/>
      <c r="O697" s="98">
        <f>O692/O695</f>
        <v>0.31688049668874169</v>
      </c>
    </row>
    <row r="698" spans="2:15" ht="15.75" customHeight="1" x14ac:dyDescent="0.15"/>
    <row r="699" spans="2:15" ht="15.75" customHeight="1" x14ac:dyDescent="0.15"/>
    <row r="700" spans="2:15" ht="15.75" customHeight="1" x14ac:dyDescent="0.2">
      <c r="B700" s="225" t="s">
        <v>603</v>
      </c>
      <c r="C700" s="223"/>
      <c r="D700" s="223"/>
      <c r="E700" s="224"/>
      <c r="G700" s="225" t="s">
        <v>604</v>
      </c>
      <c r="H700" s="223"/>
      <c r="I700" s="223"/>
      <c r="J700" s="224"/>
      <c r="L700" s="218" t="s">
        <v>605</v>
      </c>
      <c r="M700" s="213"/>
      <c r="N700" s="213"/>
      <c r="O700" s="214"/>
    </row>
    <row r="701" spans="2:15" ht="15.75" customHeight="1" x14ac:dyDescent="0.2">
      <c r="B701" s="66"/>
      <c r="C701" s="65" t="s">
        <v>8</v>
      </c>
      <c r="D701" s="7" t="s">
        <v>9</v>
      </c>
      <c r="E701" s="7" t="s">
        <v>10</v>
      </c>
      <c r="G701" s="66"/>
      <c r="H701" s="65" t="s">
        <v>8</v>
      </c>
      <c r="I701" s="7" t="s">
        <v>9</v>
      </c>
      <c r="J701" s="7" t="s">
        <v>10</v>
      </c>
      <c r="L701" s="66"/>
      <c r="M701" s="65" t="s">
        <v>8</v>
      </c>
      <c r="N701" s="7" t="s">
        <v>9</v>
      </c>
      <c r="O701" s="8" t="s">
        <v>10</v>
      </c>
    </row>
    <row r="702" spans="2:15" ht="15.75" customHeight="1" x14ac:dyDescent="0.2">
      <c r="B702" s="66" t="s">
        <v>247</v>
      </c>
      <c r="C702" s="126">
        <v>0.4</v>
      </c>
      <c r="D702" s="94">
        <f>+VLOOKUP(B702,'PRECIO PROVEEDORES'!$A$2:$B$716,2,0)</f>
        <v>12000</v>
      </c>
      <c r="E702" s="111">
        <f t="shared" ref="E702:E711" si="76">+C702*D702</f>
        <v>4800</v>
      </c>
      <c r="G702" s="66" t="s">
        <v>247</v>
      </c>
      <c r="H702" s="126">
        <v>0.4</v>
      </c>
      <c r="I702" s="94">
        <f>+VLOOKUP(G702,'PRECIO PROVEEDORES'!$A$2:$B$716,2,0)</f>
        <v>12000</v>
      </c>
      <c r="J702" s="111">
        <f t="shared" ref="J702:J712" si="77">+H702*I702</f>
        <v>4800</v>
      </c>
      <c r="L702" s="13" t="s">
        <v>237</v>
      </c>
      <c r="M702" s="10">
        <v>1</v>
      </c>
      <c r="N702" s="67">
        <f>+VLOOKUP(L702,'PRECIO PROVEEDORES'!$A$2:$B$716,2,0)</f>
        <v>1043.22</v>
      </c>
      <c r="O702" s="12">
        <f t="shared" ref="O702:O710" si="78">+M702*N702</f>
        <v>1043.22</v>
      </c>
    </row>
    <row r="703" spans="2:15" ht="15.75" customHeight="1" x14ac:dyDescent="0.2">
      <c r="B703" s="66" t="s">
        <v>271</v>
      </c>
      <c r="C703" s="126">
        <v>0.2</v>
      </c>
      <c r="D703" s="94">
        <f>+VLOOKUP(B703,'PRECIO PROVEEDORES'!$A$2:$B$716,2,0)</f>
        <v>1684</v>
      </c>
      <c r="E703" s="111">
        <f t="shared" si="76"/>
        <v>336.8</v>
      </c>
      <c r="G703" s="66" t="s">
        <v>271</v>
      </c>
      <c r="H703" s="126">
        <v>0.2</v>
      </c>
      <c r="I703" s="94">
        <f>+VLOOKUP(G703,'PRECIO PROVEEDORES'!$A$2:$B$716,2,0)</f>
        <v>1684</v>
      </c>
      <c r="J703" s="111">
        <f t="shared" si="77"/>
        <v>336.8</v>
      </c>
      <c r="L703" s="13" t="s">
        <v>493</v>
      </c>
      <c r="M703" s="10">
        <v>1</v>
      </c>
      <c r="N703" s="67">
        <f>+VLOOKUP(L703,'PRECIO PROVEEDORES'!$A$2:$B$716,2,0)</f>
        <v>12000</v>
      </c>
      <c r="O703" s="12">
        <f t="shared" si="78"/>
        <v>12000</v>
      </c>
    </row>
    <row r="704" spans="2:15" ht="15.75" customHeight="1" x14ac:dyDescent="0.2">
      <c r="B704" s="66" t="s">
        <v>17</v>
      </c>
      <c r="C704" s="126">
        <v>5</v>
      </c>
      <c r="D704" s="94">
        <f>+VLOOKUP(B704,'PRECIO PROVEEDORES'!$A$2:$B$716,2,0)</f>
        <v>192</v>
      </c>
      <c r="E704" s="111">
        <f t="shared" si="76"/>
        <v>960</v>
      </c>
      <c r="G704" s="66" t="s">
        <v>17</v>
      </c>
      <c r="H704" s="126">
        <v>5</v>
      </c>
      <c r="I704" s="94">
        <f>+VLOOKUP(G704,'PRECIO PROVEEDORES'!$A$2:$B$716,2,0)</f>
        <v>192</v>
      </c>
      <c r="J704" s="111">
        <f t="shared" si="77"/>
        <v>960</v>
      </c>
      <c r="L704" s="13" t="s">
        <v>210</v>
      </c>
      <c r="M704" s="10">
        <v>1</v>
      </c>
      <c r="N704" s="67">
        <f>+VLOOKUP(L704,'PRECIO PROVEEDORES'!$A$2:$B$716,2,0)</f>
        <v>1352</v>
      </c>
      <c r="O704" s="12">
        <f t="shared" si="78"/>
        <v>1352</v>
      </c>
    </row>
    <row r="705" spans="2:15" ht="15.75" customHeight="1" x14ac:dyDescent="0.2">
      <c r="B705" s="66" t="s">
        <v>237</v>
      </c>
      <c r="C705" s="126">
        <v>0.6</v>
      </c>
      <c r="D705" s="94">
        <f>+VLOOKUP(B705,'PRECIO PROVEEDORES'!$A$2:$B$716,2,0)</f>
        <v>1043.22</v>
      </c>
      <c r="E705" s="111">
        <f t="shared" si="76"/>
        <v>625.93200000000002</v>
      </c>
      <c r="F705" s="119"/>
      <c r="G705" s="66" t="s">
        <v>237</v>
      </c>
      <c r="H705" s="126">
        <v>0.5</v>
      </c>
      <c r="I705" s="94">
        <f>+VLOOKUP(G705,'PRECIO PROVEEDORES'!$A$2:$B$716,2,0)</f>
        <v>1043.22</v>
      </c>
      <c r="J705" s="111">
        <f t="shared" si="77"/>
        <v>521.61</v>
      </c>
      <c r="L705" s="13" t="s">
        <v>246</v>
      </c>
      <c r="M705" s="10">
        <v>0.01</v>
      </c>
      <c r="N705" s="67">
        <f>+VLOOKUP(L705,'PRECIO PROVEEDORES'!$A$2:$B$716,2,0)</f>
        <v>6040</v>
      </c>
      <c r="O705" s="12">
        <f t="shared" si="78"/>
        <v>60.4</v>
      </c>
    </row>
    <row r="706" spans="2:15" ht="15.75" customHeight="1" x14ac:dyDescent="0.2">
      <c r="B706" s="66" t="s">
        <v>281</v>
      </c>
      <c r="C706" s="126">
        <v>0.7</v>
      </c>
      <c r="D706" s="94">
        <f>+VLOOKUP(B706,'PRECIO PROVEEDORES'!$A$2:$B$716,2,0)</f>
        <v>3356</v>
      </c>
      <c r="E706" s="111">
        <f t="shared" si="76"/>
        <v>2349.1999999999998</v>
      </c>
      <c r="F706" s="119"/>
      <c r="G706" s="66" t="s">
        <v>281</v>
      </c>
      <c r="H706" s="126">
        <v>0.7</v>
      </c>
      <c r="I706" s="94">
        <f>+VLOOKUP(G706,'PRECIO PROVEEDORES'!$A$2:$B$716,2,0)</f>
        <v>3356</v>
      </c>
      <c r="J706" s="111">
        <f t="shared" si="77"/>
        <v>2349.1999999999998</v>
      </c>
      <c r="L706" s="13" t="s">
        <v>281</v>
      </c>
      <c r="M706" s="10">
        <v>1.4</v>
      </c>
      <c r="N706" s="67">
        <f>+VLOOKUP(L706,'PRECIO PROVEEDORES'!$A$2:$B$716,2,0)</f>
        <v>3356</v>
      </c>
      <c r="O706" s="12">
        <f t="shared" si="78"/>
        <v>4698.3999999999996</v>
      </c>
    </row>
    <row r="707" spans="2:15" ht="15.75" customHeight="1" x14ac:dyDescent="0.2">
      <c r="B707" s="66" t="s">
        <v>266</v>
      </c>
      <c r="C707" s="126">
        <v>0.01</v>
      </c>
      <c r="D707" s="94">
        <f>+VLOOKUP(B707,'PRECIO PROVEEDORES'!$A$2:$B$716,2,0)</f>
        <v>6040</v>
      </c>
      <c r="E707" s="111">
        <f t="shared" si="76"/>
        <v>60.4</v>
      </c>
      <c r="F707" s="119"/>
      <c r="G707" s="66" t="s">
        <v>266</v>
      </c>
      <c r="H707" s="126">
        <v>0.01</v>
      </c>
      <c r="I707" s="94">
        <f>+VLOOKUP(G707,'PRECIO PROVEEDORES'!$A$2:$B$716,2,0)</f>
        <v>6040</v>
      </c>
      <c r="J707" s="111">
        <f t="shared" si="77"/>
        <v>60.4</v>
      </c>
      <c r="L707" s="13" t="s">
        <v>249</v>
      </c>
      <c r="M707" s="10">
        <v>0.01</v>
      </c>
      <c r="N707" s="67">
        <f>+VLOOKUP(L707,'PRECIO PROVEEDORES'!$A$2:$B$716,2,0)</f>
        <v>2118</v>
      </c>
      <c r="O707" s="12">
        <f t="shared" si="78"/>
        <v>21.18</v>
      </c>
    </row>
    <row r="708" spans="2:15" ht="15.75" customHeight="1" x14ac:dyDescent="0.2">
      <c r="B708" s="66" t="s">
        <v>273</v>
      </c>
      <c r="C708" s="126">
        <v>0.2</v>
      </c>
      <c r="D708" s="94">
        <f>+VLOOKUP(B708,'PRECIO PROVEEDORES'!$A$2:$B$716,2,0)</f>
        <v>2191</v>
      </c>
      <c r="E708" s="111">
        <f t="shared" si="76"/>
        <v>438.20000000000005</v>
      </c>
      <c r="F708" s="119"/>
      <c r="G708" s="66" t="s">
        <v>273</v>
      </c>
      <c r="H708" s="126">
        <v>0.2</v>
      </c>
      <c r="I708" s="94">
        <f>+VLOOKUP(G708,'PRECIO PROVEEDORES'!$A$2:$B$716,2,0)</f>
        <v>2191</v>
      </c>
      <c r="J708" s="111">
        <f t="shared" si="77"/>
        <v>438.20000000000005</v>
      </c>
      <c r="L708" s="13" t="s">
        <v>17</v>
      </c>
      <c r="M708" s="10">
        <v>24</v>
      </c>
      <c r="N708" s="67">
        <f>+VLOOKUP(L708,'PRECIO PROVEEDORES'!$A$2:$B$716,2,0)</f>
        <v>192</v>
      </c>
      <c r="O708" s="12">
        <f t="shared" si="78"/>
        <v>4608</v>
      </c>
    </row>
    <row r="709" spans="2:15" ht="15.75" customHeight="1" x14ac:dyDescent="0.2">
      <c r="B709" s="66" t="s">
        <v>49</v>
      </c>
      <c r="C709" s="126">
        <v>5.0000000000000001E-3</v>
      </c>
      <c r="D709" s="94">
        <f>+VLOOKUP(B709,'PRECIO PROVEEDORES'!$A$2:$B$716,2,0)</f>
        <v>1633</v>
      </c>
      <c r="E709" s="111">
        <f t="shared" si="76"/>
        <v>8.1650000000000009</v>
      </c>
      <c r="F709" s="119"/>
      <c r="G709" s="66" t="s">
        <v>49</v>
      </c>
      <c r="H709" s="126">
        <v>5.0000000000000001E-3</v>
      </c>
      <c r="I709" s="94">
        <f>+VLOOKUP(G709,'PRECIO PROVEEDORES'!$A$2:$B$716,2,0)</f>
        <v>1633</v>
      </c>
      <c r="J709" s="111">
        <f t="shared" si="77"/>
        <v>8.1650000000000009</v>
      </c>
      <c r="L709" s="13" t="s">
        <v>301</v>
      </c>
      <c r="M709" s="10">
        <v>0.5</v>
      </c>
      <c r="N709" s="67">
        <f>+VLOOKUP(L709,'PRECIO PROVEEDORES'!$A$2:$B$716,2,0)</f>
        <v>1684</v>
      </c>
      <c r="O709" s="12">
        <f t="shared" si="78"/>
        <v>842</v>
      </c>
    </row>
    <row r="710" spans="2:15" ht="15.75" customHeight="1" x14ac:dyDescent="0.2">
      <c r="B710" s="77" t="s">
        <v>249</v>
      </c>
      <c r="C710" s="126">
        <v>8.0000000000000002E-3</v>
      </c>
      <c r="D710" s="94">
        <f>+VLOOKUP(B710,'PRECIO PROVEEDORES'!$A$2:$B$716,2,0)</f>
        <v>2118</v>
      </c>
      <c r="E710" s="111">
        <f t="shared" si="76"/>
        <v>16.943999999999999</v>
      </c>
      <c r="F710" s="119"/>
      <c r="G710" s="77" t="s">
        <v>249</v>
      </c>
      <c r="H710" s="126">
        <v>8.0000000000000002E-3</v>
      </c>
      <c r="I710" s="94">
        <f>+VLOOKUP(G710,'PRECIO PROVEEDORES'!$A$2:$B$716,2,0)</f>
        <v>2118</v>
      </c>
      <c r="J710" s="111">
        <f t="shared" si="77"/>
        <v>16.943999999999999</v>
      </c>
      <c r="L710" s="13" t="s">
        <v>480</v>
      </c>
      <c r="M710" s="10">
        <v>0.1</v>
      </c>
      <c r="N710" s="67">
        <f>+VLOOKUP(L710,'PRECIO PROVEEDORES'!$A$2:$B$716,2,0)</f>
        <v>3000</v>
      </c>
      <c r="O710" s="12">
        <f t="shared" si="78"/>
        <v>300</v>
      </c>
    </row>
    <row r="711" spans="2:15" ht="15.75" customHeight="1" x14ac:dyDescent="0.2">
      <c r="B711" s="77" t="s">
        <v>301</v>
      </c>
      <c r="C711" s="126">
        <v>7.0000000000000007E-2</v>
      </c>
      <c r="D711" s="94">
        <f>+VLOOKUP(B711,'PRECIO PROVEEDORES'!$A$2:$B$716,2,0)</f>
        <v>1684</v>
      </c>
      <c r="E711" s="111">
        <f t="shared" si="76"/>
        <v>117.88000000000001</v>
      </c>
      <c r="F711" s="119"/>
      <c r="G711" s="77" t="s">
        <v>301</v>
      </c>
      <c r="H711" s="126">
        <v>7.0000000000000007E-2</v>
      </c>
      <c r="I711" s="94">
        <f>+VLOOKUP(G711,'PRECIO PROVEEDORES'!$A$2:$B$716,2,0)</f>
        <v>1684</v>
      </c>
      <c r="J711" s="111">
        <f t="shared" si="77"/>
        <v>117.88000000000001</v>
      </c>
      <c r="L711" s="71"/>
      <c r="M711" s="68"/>
      <c r="N711" s="69"/>
      <c r="O711" s="70"/>
    </row>
    <row r="712" spans="2:15" ht="15.75" customHeight="1" x14ac:dyDescent="0.2">
      <c r="B712" s="77"/>
      <c r="C712" s="66"/>
      <c r="D712" s="69"/>
      <c r="E712" s="132"/>
      <c r="F712" s="119"/>
      <c r="G712" s="77" t="s">
        <v>267</v>
      </c>
      <c r="H712" s="66">
        <v>0.06</v>
      </c>
      <c r="I712" s="94">
        <f>+VLOOKUP(G712,'PRECIO PROVEEDORES'!$A$2:$B$716,2,0)</f>
        <v>13205</v>
      </c>
      <c r="J712" s="111">
        <f t="shared" si="77"/>
        <v>792.3</v>
      </c>
      <c r="L712" s="71"/>
      <c r="M712" s="66"/>
      <c r="N712" s="69"/>
      <c r="O712" s="70"/>
    </row>
    <row r="713" spans="2:15" ht="15.75" customHeight="1" x14ac:dyDescent="0.15">
      <c r="B713" s="77"/>
      <c r="C713" s="66"/>
      <c r="D713" s="69"/>
      <c r="E713" s="132"/>
      <c r="F713" s="133"/>
      <c r="G713" s="77"/>
      <c r="H713" s="66"/>
      <c r="I713" s="69"/>
      <c r="J713" s="132"/>
      <c r="L713" s="71"/>
      <c r="M713" s="66"/>
      <c r="N713" s="69"/>
      <c r="O713" s="70"/>
    </row>
    <row r="714" spans="2:15" ht="15.75" customHeight="1" x14ac:dyDescent="0.15">
      <c r="B714" s="66"/>
      <c r="C714" s="66"/>
      <c r="D714" s="69"/>
      <c r="E714" s="132"/>
      <c r="G714" s="66"/>
      <c r="H714" s="66"/>
      <c r="I714" s="69"/>
      <c r="J714" s="132"/>
      <c r="L714" s="64"/>
      <c r="M714" s="66"/>
      <c r="N714" s="69"/>
      <c r="O714" s="70"/>
    </row>
    <row r="715" spans="2:15" ht="15.75" customHeight="1" x14ac:dyDescent="0.15">
      <c r="B715" s="66"/>
      <c r="C715" s="66"/>
      <c r="D715" s="69"/>
      <c r="E715" s="132"/>
      <c r="G715" s="66"/>
      <c r="H715" s="66"/>
      <c r="I715" s="69"/>
      <c r="J715" s="132"/>
      <c r="L715" s="64"/>
      <c r="M715" s="66"/>
      <c r="N715" s="69"/>
      <c r="O715" s="70"/>
    </row>
    <row r="716" spans="2:15" ht="15.75" customHeight="1" x14ac:dyDescent="0.15">
      <c r="B716" s="66"/>
      <c r="C716" s="66"/>
      <c r="D716" s="69"/>
      <c r="E716" s="132"/>
      <c r="G716" s="66"/>
      <c r="H716" s="66"/>
      <c r="I716" s="69"/>
      <c r="J716" s="132"/>
      <c r="L716" s="64"/>
      <c r="M716" s="66"/>
      <c r="N716" s="69"/>
      <c r="O716" s="70"/>
    </row>
    <row r="717" spans="2:15" ht="15.75" customHeight="1" x14ac:dyDescent="0.2">
      <c r="B717" s="72" t="s">
        <v>52</v>
      </c>
      <c r="C717" s="73"/>
      <c r="D717" s="74"/>
      <c r="E717" s="95">
        <f>SUM(E702:E716)</f>
        <v>9713.5210000000006</v>
      </c>
      <c r="G717" s="72" t="s">
        <v>52</v>
      </c>
      <c r="H717" s="73"/>
      <c r="I717" s="74"/>
      <c r="J717" s="95">
        <f>SUM(J702:J716)</f>
        <v>10401.499</v>
      </c>
      <c r="L717" s="72" t="s">
        <v>52</v>
      </c>
      <c r="M717" s="73"/>
      <c r="N717" s="74"/>
      <c r="O717" s="75">
        <f>SUM(O702:O716)</f>
        <v>24925.199999999997</v>
      </c>
    </row>
    <row r="718" spans="2:15" ht="15.75" customHeight="1" x14ac:dyDescent="0.2">
      <c r="B718" s="76" t="s">
        <v>53</v>
      </c>
      <c r="C718" s="77"/>
      <c r="D718" s="78"/>
      <c r="E718" s="96">
        <f>SUM(E717)</f>
        <v>9713.5210000000006</v>
      </c>
      <c r="G718" s="76" t="s">
        <v>53</v>
      </c>
      <c r="H718" s="77"/>
      <c r="I718" s="78"/>
      <c r="J718" s="96">
        <f>SUM(J717)</f>
        <v>10401.499</v>
      </c>
      <c r="L718" s="76" t="s">
        <v>53</v>
      </c>
      <c r="M718" s="77"/>
      <c r="N718" s="78"/>
      <c r="O718" s="79">
        <f>SUM(O717)</f>
        <v>24925.199999999997</v>
      </c>
    </row>
    <row r="719" spans="2:15" ht="15.75" customHeight="1" x14ac:dyDescent="0.2">
      <c r="B719" s="76" t="s">
        <v>54</v>
      </c>
      <c r="C719" s="77"/>
      <c r="D719" s="78"/>
      <c r="E719" s="96">
        <f>+E718/50</f>
        <v>194.27042</v>
      </c>
      <c r="G719" s="76" t="s">
        <v>54</v>
      </c>
      <c r="H719" s="77"/>
      <c r="I719" s="78"/>
      <c r="J719" s="96">
        <f>+J718/50</f>
        <v>208.02997999999999</v>
      </c>
      <c r="L719" s="76" t="s">
        <v>54</v>
      </c>
      <c r="M719" s="77"/>
      <c r="N719" s="78"/>
      <c r="O719" s="79">
        <f>+O718</f>
        <v>24925.199999999997</v>
      </c>
    </row>
    <row r="720" spans="2:15" ht="15.75" customHeight="1" x14ac:dyDescent="0.2">
      <c r="B720" s="76" t="s">
        <v>55</v>
      </c>
      <c r="C720" s="77"/>
      <c r="D720" s="80">
        <v>0.3</v>
      </c>
      <c r="E720" s="81"/>
      <c r="G720" s="76" t="s">
        <v>55</v>
      </c>
      <c r="H720" s="77"/>
      <c r="I720" s="80">
        <v>0.3</v>
      </c>
      <c r="J720" s="81"/>
      <c r="L720" s="76" t="s">
        <v>55</v>
      </c>
      <c r="M720" s="77"/>
      <c r="N720" s="80">
        <v>0.3</v>
      </c>
      <c r="O720" s="81"/>
    </row>
    <row r="721" spans="2:15" ht="15.75" customHeight="1" x14ac:dyDescent="0.2">
      <c r="B721" s="76" t="s">
        <v>56</v>
      </c>
      <c r="C721" s="77"/>
      <c r="D721" s="82"/>
      <c r="E721" s="96">
        <f>+E719*3.33333333333333</f>
        <v>647.56806666666603</v>
      </c>
      <c r="G721" s="76" t="s">
        <v>56</v>
      </c>
      <c r="H721" s="77"/>
      <c r="I721" s="82"/>
      <c r="J721" s="96">
        <f>+J719*3.33333333333333</f>
        <v>693.43326666666599</v>
      </c>
      <c r="L721" s="76" t="s">
        <v>56</v>
      </c>
      <c r="M721" s="77"/>
      <c r="N721" s="82"/>
      <c r="O721" s="79">
        <f>+O719*3.33333333333333</f>
        <v>83083.999999999913</v>
      </c>
    </row>
    <row r="722" spans="2:15" ht="15.75" customHeight="1" x14ac:dyDescent="0.2">
      <c r="B722" s="76" t="s">
        <v>250</v>
      </c>
      <c r="C722" s="77"/>
      <c r="D722" s="78"/>
      <c r="E722" s="96">
        <v>1208</v>
      </c>
      <c r="G722" s="76" t="s">
        <v>250</v>
      </c>
      <c r="H722" s="77"/>
      <c r="I722" s="78"/>
      <c r="J722" s="96">
        <v>1208</v>
      </c>
      <c r="L722" s="76" t="s">
        <v>57</v>
      </c>
      <c r="M722" s="134"/>
      <c r="N722" s="134">
        <f>O722/8</f>
        <v>9347</v>
      </c>
      <c r="O722" s="79">
        <v>74776</v>
      </c>
    </row>
    <row r="723" spans="2:15" ht="15.75" customHeight="1" x14ac:dyDescent="0.2">
      <c r="B723" s="71"/>
      <c r="C723" s="77"/>
      <c r="D723" s="78"/>
      <c r="E723" s="95">
        <f>+E722-E721</f>
        <v>560.43193333333397</v>
      </c>
      <c r="G723" s="71"/>
      <c r="H723" s="77"/>
      <c r="I723" s="78"/>
      <c r="J723" s="95">
        <f>+J722-J721</f>
        <v>514.56673333333401</v>
      </c>
      <c r="L723" s="71"/>
      <c r="M723" s="77"/>
      <c r="N723" s="78"/>
      <c r="O723" s="75">
        <f>+O722-O721</f>
        <v>-8307.9999999999127</v>
      </c>
    </row>
    <row r="724" spans="2:15" ht="15.75" customHeight="1" x14ac:dyDescent="0.2">
      <c r="B724" s="32" t="s">
        <v>58</v>
      </c>
      <c r="C724" s="83"/>
      <c r="D724" s="110"/>
      <c r="E724" s="98">
        <f>E719/E722</f>
        <v>0.16081988410596026</v>
      </c>
      <c r="G724" s="32" t="s">
        <v>58</v>
      </c>
      <c r="H724" s="83"/>
      <c r="I724" s="110"/>
      <c r="J724" s="98">
        <f>J719/J722</f>
        <v>0.17221024834437085</v>
      </c>
      <c r="L724" s="32" t="s">
        <v>58</v>
      </c>
      <c r="M724" s="83"/>
      <c r="N724" s="83"/>
      <c r="O724" s="135">
        <f>O719/O722</f>
        <v>0.33333155023002031</v>
      </c>
    </row>
    <row r="725" spans="2:15" ht="15.75" customHeight="1" x14ac:dyDescent="0.15"/>
    <row r="726" spans="2:15" ht="15.75" customHeight="1" x14ac:dyDescent="0.15"/>
    <row r="727" spans="2:15" ht="15.75" customHeight="1" x14ac:dyDescent="0.2">
      <c r="B727" s="218" t="s">
        <v>606</v>
      </c>
      <c r="C727" s="213"/>
      <c r="D727" s="213"/>
      <c r="E727" s="214"/>
      <c r="G727" s="218" t="s">
        <v>607</v>
      </c>
      <c r="H727" s="213"/>
      <c r="I727" s="213"/>
      <c r="J727" s="214"/>
      <c r="L727" s="218" t="s">
        <v>608</v>
      </c>
      <c r="M727" s="213"/>
      <c r="N727" s="213"/>
      <c r="O727" s="214"/>
    </row>
    <row r="728" spans="2:15" ht="15.75" customHeight="1" x14ac:dyDescent="0.2">
      <c r="B728" s="64"/>
      <c r="C728" s="65" t="s">
        <v>8</v>
      </c>
      <c r="D728" s="7" t="s">
        <v>9</v>
      </c>
      <c r="E728" s="8" t="s">
        <v>10</v>
      </c>
      <c r="G728" s="64"/>
      <c r="H728" s="65" t="s">
        <v>8</v>
      </c>
      <c r="I728" s="7" t="s">
        <v>9</v>
      </c>
      <c r="J728" s="8" t="s">
        <v>10</v>
      </c>
      <c r="L728" s="64"/>
      <c r="M728" s="65" t="s">
        <v>8</v>
      </c>
      <c r="N728" s="7" t="s">
        <v>9</v>
      </c>
      <c r="O728" s="8" t="s">
        <v>10</v>
      </c>
    </row>
    <row r="729" spans="2:15" ht="15.75" customHeight="1" x14ac:dyDescent="0.2">
      <c r="B729" s="66" t="s">
        <v>239</v>
      </c>
      <c r="C729" s="126">
        <v>0.1</v>
      </c>
      <c r="D729" s="94">
        <f>+VLOOKUP(B729,'PRECIO PROVEEDORES'!$A$2:$B$716,2,0)</f>
        <v>890</v>
      </c>
      <c r="E729" s="12">
        <f t="shared" ref="E729:E735" si="79">+C729*D729</f>
        <v>89</v>
      </c>
      <c r="G729" s="66" t="s">
        <v>239</v>
      </c>
      <c r="H729" s="126">
        <v>0.1</v>
      </c>
      <c r="I729" s="94">
        <f>+VLOOKUP(G729,'PRECIO PROVEEDORES'!$A$2:$B$716,2,0)</f>
        <v>890</v>
      </c>
      <c r="J729" s="12">
        <f t="shared" ref="J729:J735" si="80">+H729*I729</f>
        <v>89</v>
      </c>
      <c r="L729" s="13" t="s">
        <v>237</v>
      </c>
      <c r="M729" s="10">
        <v>1.8</v>
      </c>
      <c r="N729" s="94">
        <f>+VLOOKUP(L729,'PRECIO PROVEEDORES'!$A$2:$B$716,2,0)</f>
        <v>1043.22</v>
      </c>
      <c r="O729" s="12">
        <f t="shared" ref="O729:O737" si="81">+M729*N729</f>
        <v>1877.796</v>
      </c>
    </row>
    <row r="730" spans="2:15" ht="15.75" customHeight="1" x14ac:dyDescent="0.2">
      <c r="B730" s="66" t="s">
        <v>237</v>
      </c>
      <c r="C730" s="126">
        <v>0.9</v>
      </c>
      <c r="D730" s="94">
        <f>+VLOOKUP(B730,'PRECIO PROVEEDORES'!$A$2:$B$716,2,0)</f>
        <v>1043.22</v>
      </c>
      <c r="E730" s="12">
        <f t="shared" si="79"/>
        <v>938.89800000000002</v>
      </c>
      <c r="G730" s="66" t="s">
        <v>237</v>
      </c>
      <c r="H730" s="126">
        <v>0.9</v>
      </c>
      <c r="I730" s="94">
        <f>+VLOOKUP(G730,'PRECIO PROVEEDORES'!$A$2:$B$716,2,0)</f>
        <v>1043.22</v>
      </c>
      <c r="J730" s="12">
        <f t="shared" si="80"/>
        <v>938.89800000000002</v>
      </c>
      <c r="L730" s="13" t="s">
        <v>239</v>
      </c>
      <c r="M730" s="10">
        <v>0.2</v>
      </c>
      <c r="N730" s="94">
        <f>+VLOOKUP(L730,'PRECIO PROVEEDORES'!$A$2:$B$716,2,0)</f>
        <v>890</v>
      </c>
      <c r="O730" s="12">
        <f t="shared" si="81"/>
        <v>178</v>
      </c>
    </row>
    <row r="731" spans="2:15" ht="15.75" customHeight="1" x14ac:dyDescent="0.2">
      <c r="B731" s="64" t="s">
        <v>49</v>
      </c>
      <c r="C731" s="126">
        <v>0.02</v>
      </c>
      <c r="D731" s="94">
        <f>+VLOOKUP(B731,'PRECIO PROVEEDORES'!$A$2:$B$716,2,0)</f>
        <v>1633</v>
      </c>
      <c r="E731" s="12">
        <f t="shared" si="79"/>
        <v>32.660000000000004</v>
      </c>
      <c r="G731" s="64" t="s">
        <v>49</v>
      </c>
      <c r="H731" s="126">
        <v>0.02</v>
      </c>
      <c r="I731" s="94">
        <f>+VLOOKUP(G731,'PRECIO PROVEEDORES'!$A$2:$B$716,2,0)</f>
        <v>1633</v>
      </c>
      <c r="J731" s="12">
        <f t="shared" si="80"/>
        <v>32.660000000000004</v>
      </c>
      <c r="L731" s="13" t="s">
        <v>210</v>
      </c>
      <c r="M731" s="10">
        <v>0.25</v>
      </c>
      <c r="N731" s="94">
        <f>+VLOOKUP(L731,'PRECIO PROVEEDORES'!$A$2:$B$716,2,0)</f>
        <v>1352</v>
      </c>
      <c r="O731" s="12">
        <f t="shared" si="81"/>
        <v>338</v>
      </c>
    </row>
    <row r="732" spans="2:15" ht="15.75" customHeight="1" x14ac:dyDescent="0.2">
      <c r="B732" s="71" t="s">
        <v>370</v>
      </c>
      <c r="C732" s="126">
        <v>3.4000000000000002E-2</v>
      </c>
      <c r="D732" s="94">
        <f>+VLOOKUP(B732,'PRECIO PROVEEDORES'!$A$2:$B$716,2,0)</f>
        <v>1037</v>
      </c>
      <c r="E732" s="12">
        <f t="shared" si="79"/>
        <v>35.258000000000003</v>
      </c>
      <c r="G732" s="71" t="s">
        <v>370</v>
      </c>
      <c r="H732" s="126">
        <v>3.4000000000000002E-2</v>
      </c>
      <c r="I732" s="94">
        <f>+VLOOKUP(G732,'PRECIO PROVEEDORES'!$A$2:$B$716,2,0)</f>
        <v>1037</v>
      </c>
      <c r="J732" s="12">
        <f t="shared" si="80"/>
        <v>35.258000000000003</v>
      </c>
      <c r="L732" s="13" t="s">
        <v>243</v>
      </c>
      <c r="M732" s="10">
        <v>1.2999999999999999E-2</v>
      </c>
      <c r="N732" s="94">
        <f>+VLOOKUP(L732,'PRECIO PROVEEDORES'!$A$2:$B$716,2,0)</f>
        <v>17780</v>
      </c>
      <c r="O732" s="12">
        <f t="shared" si="81"/>
        <v>231.14</v>
      </c>
    </row>
    <row r="733" spans="2:15" ht="15.75" customHeight="1" x14ac:dyDescent="0.2">
      <c r="B733" s="66" t="s">
        <v>493</v>
      </c>
      <c r="C733" s="126">
        <v>0.6</v>
      </c>
      <c r="D733" s="94">
        <f>+VLOOKUP(B733,'PRECIO PROVEEDORES'!$A$2:$B$716,2,0)</f>
        <v>12000</v>
      </c>
      <c r="E733" s="12">
        <f t="shared" si="79"/>
        <v>7200</v>
      </c>
      <c r="G733" s="66" t="s">
        <v>493</v>
      </c>
      <c r="H733" s="126">
        <v>0.6</v>
      </c>
      <c r="I733" s="94">
        <f>+VLOOKUP(G733,'PRECIO PROVEEDORES'!$A$2:$B$716,2,0)</f>
        <v>12000</v>
      </c>
      <c r="J733" s="12">
        <f t="shared" si="80"/>
        <v>7200</v>
      </c>
      <c r="L733" s="13" t="s">
        <v>49</v>
      </c>
      <c r="M733" s="10">
        <v>0.04</v>
      </c>
      <c r="N733" s="94">
        <f>+VLOOKUP(L733,'PRECIO PROVEEDORES'!$A$2:$B$716,2,0)</f>
        <v>1633</v>
      </c>
      <c r="O733" s="12">
        <f t="shared" si="81"/>
        <v>65.320000000000007</v>
      </c>
    </row>
    <row r="734" spans="2:15" ht="15.75" customHeight="1" x14ac:dyDescent="0.2">
      <c r="B734" s="66" t="s">
        <v>367</v>
      </c>
      <c r="C734" s="126">
        <v>0.45</v>
      </c>
      <c r="D734" s="94">
        <f>+VLOOKUP(B734,'PRECIO PROVEEDORES'!$A$2:$B$716,2,0)</f>
        <v>0</v>
      </c>
      <c r="E734" s="12">
        <f t="shared" si="79"/>
        <v>0</v>
      </c>
      <c r="G734" s="66" t="s">
        <v>367</v>
      </c>
      <c r="H734" s="126">
        <v>0.45</v>
      </c>
      <c r="I734" s="94">
        <f>+VLOOKUP(G734,'PRECIO PROVEEDORES'!$A$2:$B$716,2,0)</f>
        <v>0</v>
      </c>
      <c r="J734" s="12">
        <f t="shared" si="80"/>
        <v>0</v>
      </c>
      <c r="L734" s="13" t="s">
        <v>166</v>
      </c>
      <c r="M734" s="10">
        <v>0.5</v>
      </c>
      <c r="N734" s="94">
        <f>+VLOOKUP(L734,'PRECIO PROVEEDORES'!$A$2:$B$716,2,0)</f>
        <v>1940</v>
      </c>
      <c r="O734" s="12">
        <f t="shared" si="81"/>
        <v>970</v>
      </c>
    </row>
    <row r="735" spans="2:15" ht="15.75" customHeight="1" x14ac:dyDescent="0.2">
      <c r="B735" s="66" t="s">
        <v>455</v>
      </c>
      <c r="C735" s="68">
        <v>1</v>
      </c>
      <c r="D735" s="94">
        <f>+VLOOKUP(B735,'PRECIO PROVEEDORES'!$A$2:$B$716,2,0)</f>
        <v>3109</v>
      </c>
      <c r="E735" s="12">
        <f t="shared" si="79"/>
        <v>3109</v>
      </c>
      <c r="G735" s="66" t="s">
        <v>602</v>
      </c>
      <c r="H735" s="68">
        <v>1</v>
      </c>
      <c r="I735" s="94">
        <f>+VLOOKUP(G735,'PRECIO PROVEEDORES'!$A$2:$B$716,2,0)</f>
        <v>2381</v>
      </c>
      <c r="J735" s="12">
        <f t="shared" si="80"/>
        <v>2381</v>
      </c>
      <c r="L735" s="13" t="s">
        <v>17</v>
      </c>
      <c r="M735" s="10">
        <v>6</v>
      </c>
      <c r="N735" s="94">
        <f>+VLOOKUP(L735,'PRECIO PROVEEDORES'!$A$2:$B$716,2,0)</f>
        <v>192</v>
      </c>
      <c r="O735" s="12">
        <f t="shared" si="81"/>
        <v>1152</v>
      </c>
    </row>
    <row r="736" spans="2:15" ht="15.75" customHeight="1" x14ac:dyDescent="0.2">
      <c r="B736" s="64"/>
      <c r="C736" s="68"/>
      <c r="D736" s="69"/>
      <c r="E736" s="70"/>
      <c r="G736" s="64"/>
      <c r="H736" s="68"/>
      <c r="I736" s="69"/>
      <c r="J736" s="70"/>
      <c r="L736" s="13" t="s">
        <v>242</v>
      </c>
      <c r="M736" s="10">
        <v>0.06</v>
      </c>
      <c r="N736" s="94">
        <f>+VLOOKUP(L736,'PRECIO PROVEEDORES'!$A$2:$B$716,2,0)</f>
        <v>6062</v>
      </c>
      <c r="O736" s="12">
        <f t="shared" si="81"/>
        <v>363.71999999999997</v>
      </c>
    </row>
    <row r="737" spans="2:15" ht="15.75" customHeight="1" x14ac:dyDescent="0.2">
      <c r="B737" s="71"/>
      <c r="C737" s="68"/>
      <c r="D737" s="69"/>
      <c r="E737" s="70"/>
      <c r="G737" s="71"/>
      <c r="H737" s="68"/>
      <c r="I737" s="69"/>
      <c r="J737" s="70"/>
      <c r="L737" s="13" t="s">
        <v>247</v>
      </c>
      <c r="M737" s="10">
        <v>1.07</v>
      </c>
      <c r="N737" s="94">
        <f>+VLOOKUP(L737,'PRECIO PROVEEDORES'!$A$2:$B$716,2,0)</f>
        <v>12000</v>
      </c>
      <c r="O737" s="12">
        <f t="shared" si="81"/>
        <v>12840</v>
      </c>
    </row>
    <row r="738" spans="2:15" ht="15.75" customHeight="1" x14ac:dyDescent="0.15">
      <c r="B738" s="71"/>
      <c r="C738" s="68"/>
      <c r="D738" s="69"/>
      <c r="E738" s="70"/>
      <c r="G738" s="71"/>
      <c r="H738" s="68"/>
      <c r="I738" s="69"/>
      <c r="J738" s="70"/>
      <c r="L738" s="71"/>
      <c r="M738" s="66"/>
      <c r="N738" s="69"/>
      <c r="O738" s="70"/>
    </row>
    <row r="739" spans="2:15" ht="15.75" customHeight="1" x14ac:dyDescent="0.15">
      <c r="B739" s="71"/>
      <c r="C739" s="66"/>
      <c r="D739" s="69"/>
      <c r="E739" s="70"/>
      <c r="G739" s="71"/>
      <c r="H739" s="66"/>
      <c r="I739" s="69"/>
      <c r="J739" s="70"/>
      <c r="L739" s="71"/>
      <c r="M739" s="66"/>
      <c r="N739" s="69"/>
      <c r="O739" s="70"/>
    </row>
    <row r="740" spans="2:15" ht="15.75" customHeight="1" x14ac:dyDescent="0.15">
      <c r="B740" s="71"/>
      <c r="C740" s="66"/>
      <c r="D740" s="69"/>
      <c r="E740" s="70"/>
      <c r="G740" s="71"/>
      <c r="H740" s="66"/>
      <c r="I740" s="69"/>
      <c r="J740" s="70"/>
      <c r="L740" s="71"/>
      <c r="M740" s="66"/>
      <c r="N740" s="69"/>
      <c r="O740" s="70"/>
    </row>
    <row r="741" spans="2:15" ht="15.75" customHeight="1" x14ac:dyDescent="0.15">
      <c r="B741" s="64"/>
      <c r="C741" s="66"/>
      <c r="D741" s="69"/>
      <c r="E741" s="70"/>
      <c r="G741" s="64"/>
      <c r="H741" s="66"/>
      <c r="I741" s="69"/>
      <c r="J741" s="70"/>
      <c r="L741" s="64"/>
      <c r="M741" s="66"/>
      <c r="N741" s="69"/>
      <c r="O741" s="70"/>
    </row>
    <row r="742" spans="2:15" ht="15.75" customHeight="1" x14ac:dyDescent="0.15">
      <c r="B742" s="64"/>
      <c r="C742" s="66"/>
      <c r="D742" s="69"/>
      <c r="E742" s="70"/>
      <c r="G742" s="64"/>
      <c r="H742" s="66"/>
      <c r="I742" s="69"/>
      <c r="J742" s="70"/>
      <c r="L742" s="64"/>
      <c r="M742" s="66"/>
      <c r="N742" s="69"/>
      <c r="O742" s="70"/>
    </row>
    <row r="743" spans="2:15" ht="15.75" customHeight="1" x14ac:dyDescent="0.15">
      <c r="B743" s="64"/>
      <c r="C743" s="66"/>
      <c r="D743" s="69"/>
      <c r="E743" s="70"/>
      <c r="G743" s="64"/>
      <c r="H743" s="66"/>
      <c r="I743" s="69"/>
      <c r="J743" s="70"/>
      <c r="L743" s="64"/>
      <c r="M743" s="66"/>
      <c r="N743" s="69"/>
      <c r="O743" s="70"/>
    </row>
    <row r="744" spans="2:15" ht="15.75" customHeight="1" x14ac:dyDescent="0.2">
      <c r="B744" s="72" t="s">
        <v>52</v>
      </c>
      <c r="C744" s="73"/>
      <c r="D744" s="74"/>
      <c r="E744" s="95">
        <f>SUM(E729:E743)</f>
        <v>11404.816000000001</v>
      </c>
      <c r="G744" s="72" t="s">
        <v>52</v>
      </c>
      <c r="H744" s="73"/>
      <c r="I744" s="74"/>
      <c r="J744" s="95">
        <f>SUM(J729:J743)</f>
        <v>10676.816000000001</v>
      </c>
      <c r="L744" s="72" t="s">
        <v>52</v>
      </c>
      <c r="M744" s="73"/>
      <c r="N744" s="74"/>
      <c r="O744" s="95">
        <f>SUM(O729:O743)</f>
        <v>18015.976000000002</v>
      </c>
    </row>
    <row r="745" spans="2:15" ht="15.75" customHeight="1" x14ac:dyDescent="0.2">
      <c r="B745" s="76" t="s">
        <v>53</v>
      </c>
      <c r="C745" s="77"/>
      <c r="D745" s="78"/>
      <c r="E745" s="96">
        <f>SUM(E744)</f>
        <v>11404.816000000001</v>
      </c>
      <c r="G745" s="76" t="s">
        <v>53</v>
      </c>
      <c r="H745" s="77"/>
      <c r="I745" s="78"/>
      <c r="J745" s="96">
        <f>SUM(J744)</f>
        <v>10676.816000000001</v>
      </c>
      <c r="L745" s="76" t="s">
        <v>53</v>
      </c>
      <c r="M745" s="77"/>
      <c r="N745" s="78"/>
      <c r="O745" s="96">
        <f>SUM(O744)</f>
        <v>18015.976000000002</v>
      </c>
    </row>
    <row r="746" spans="2:15" ht="15.75" customHeight="1" x14ac:dyDescent="0.2">
      <c r="B746" s="76" t="s">
        <v>54</v>
      </c>
      <c r="C746" s="77"/>
      <c r="D746" s="78"/>
      <c r="E746" s="96">
        <f>+E745/20</f>
        <v>570.24080000000004</v>
      </c>
      <c r="G746" s="76" t="s">
        <v>54</v>
      </c>
      <c r="H746" s="77"/>
      <c r="I746" s="78"/>
      <c r="J746" s="96">
        <f>+J745/20</f>
        <v>533.84080000000006</v>
      </c>
      <c r="L746" s="76" t="s">
        <v>54</v>
      </c>
      <c r="M746" s="77"/>
      <c r="N746" s="78"/>
      <c r="O746" s="96">
        <f>+O745/340</f>
        <v>52.988164705882362</v>
      </c>
    </row>
    <row r="747" spans="2:15" ht="15.75" customHeight="1" x14ac:dyDescent="0.2">
      <c r="B747" s="76" t="s">
        <v>55</v>
      </c>
      <c r="C747" s="77"/>
      <c r="D747" s="80">
        <v>0.3</v>
      </c>
      <c r="E747" s="81"/>
      <c r="G747" s="76" t="s">
        <v>55</v>
      </c>
      <c r="H747" s="77"/>
      <c r="I747" s="80">
        <v>0.3</v>
      </c>
      <c r="J747" s="81"/>
      <c r="L747" s="76" t="s">
        <v>55</v>
      </c>
      <c r="M747" s="77"/>
      <c r="N747" s="80">
        <v>0.3</v>
      </c>
      <c r="O747" s="81"/>
    </row>
    <row r="748" spans="2:15" ht="15.75" customHeight="1" x14ac:dyDescent="0.2">
      <c r="B748" s="76" t="s">
        <v>56</v>
      </c>
      <c r="C748" s="77"/>
      <c r="D748" s="82"/>
      <c r="E748" s="96">
        <f>+E746*3.33333333333333</f>
        <v>1900.8026666666649</v>
      </c>
      <c r="G748" s="76" t="s">
        <v>56</v>
      </c>
      <c r="H748" s="77"/>
      <c r="I748" s="82"/>
      <c r="J748" s="96">
        <f>+J746*3.33333333333333</f>
        <v>1779.4693333333316</v>
      </c>
      <c r="L748" s="76" t="s">
        <v>56</v>
      </c>
      <c r="M748" s="77"/>
      <c r="N748" s="82"/>
      <c r="O748" s="96">
        <f>+O746*3.33333333333333</f>
        <v>176.62721568627435</v>
      </c>
    </row>
    <row r="749" spans="2:15" ht="15.75" customHeight="1" x14ac:dyDescent="0.2">
      <c r="B749" s="76" t="s">
        <v>250</v>
      </c>
      <c r="C749" s="77"/>
      <c r="D749" s="129"/>
      <c r="E749" s="96">
        <v>1710</v>
      </c>
      <c r="G749" s="76" t="s">
        <v>250</v>
      </c>
      <c r="H749" s="77"/>
      <c r="I749" s="129"/>
      <c r="J749" s="96">
        <v>1602</v>
      </c>
      <c r="L749" s="76" t="s">
        <v>57</v>
      </c>
      <c r="M749" s="77"/>
      <c r="N749" s="77"/>
      <c r="O749" s="96">
        <v>220</v>
      </c>
    </row>
    <row r="750" spans="2:15" ht="15.75" customHeight="1" x14ac:dyDescent="0.2">
      <c r="B750" s="71"/>
      <c r="C750" s="77"/>
      <c r="D750" s="78"/>
      <c r="E750" s="95">
        <f>+E749-E748</f>
        <v>-190.80266666666489</v>
      </c>
      <c r="G750" s="71"/>
      <c r="H750" s="77"/>
      <c r="I750" s="78"/>
      <c r="J750" s="95">
        <f>+J749-J748</f>
        <v>-177.46933333333163</v>
      </c>
      <c r="L750" s="71"/>
      <c r="M750" s="77"/>
      <c r="N750" s="78"/>
      <c r="O750" s="95">
        <f>+O749-O748</f>
        <v>43.372784313725646</v>
      </c>
    </row>
    <row r="751" spans="2:15" ht="15.75" customHeight="1" x14ac:dyDescent="0.2">
      <c r="B751" s="32" t="s">
        <v>58</v>
      </c>
      <c r="C751" s="83"/>
      <c r="D751" s="110"/>
      <c r="E751" s="98">
        <f>E746/E749</f>
        <v>0.33347415204678366</v>
      </c>
      <c r="G751" s="32" t="s">
        <v>58</v>
      </c>
      <c r="H751" s="83"/>
      <c r="I751" s="110"/>
      <c r="J751" s="98">
        <f>J746/J749</f>
        <v>0.33323395755305874</v>
      </c>
      <c r="L751" s="32" t="s">
        <v>58</v>
      </c>
      <c r="M751" s="83"/>
      <c r="N751" s="97"/>
      <c r="O751" s="98">
        <f>O746/O749</f>
        <v>0.24085529411764711</v>
      </c>
    </row>
    <row r="752" spans="2:15" ht="15.75" customHeight="1" x14ac:dyDescent="0.15"/>
    <row r="753" spans="2:15" ht="15.75" customHeight="1" x14ac:dyDescent="0.15"/>
    <row r="754" spans="2:15" ht="15.75" customHeight="1" x14ac:dyDescent="0.2">
      <c r="B754" s="212" t="s">
        <v>609</v>
      </c>
      <c r="C754" s="213"/>
      <c r="D754" s="213"/>
      <c r="E754" s="214"/>
      <c r="G754" s="218" t="s">
        <v>610</v>
      </c>
      <c r="H754" s="213"/>
      <c r="I754" s="213"/>
      <c r="J754" s="214"/>
      <c r="L754" s="218" t="s">
        <v>611</v>
      </c>
      <c r="M754" s="213"/>
      <c r="N754" s="213"/>
      <c r="O754" s="214"/>
    </row>
    <row r="755" spans="2:15" ht="15.75" customHeight="1" x14ac:dyDescent="0.2">
      <c r="B755" s="5"/>
      <c r="C755" s="6" t="s">
        <v>8</v>
      </c>
      <c r="D755" s="7" t="s">
        <v>9</v>
      </c>
      <c r="E755" s="8" t="s">
        <v>10</v>
      </c>
      <c r="G755" s="64"/>
      <c r="H755" s="65" t="s">
        <v>8</v>
      </c>
      <c r="I755" s="7" t="s">
        <v>9</v>
      </c>
      <c r="J755" s="8" t="s">
        <v>10</v>
      </c>
      <c r="L755" s="64"/>
      <c r="M755" s="65" t="s">
        <v>8</v>
      </c>
      <c r="N755" s="7" t="s">
        <v>9</v>
      </c>
      <c r="O755" s="8" t="s">
        <v>10</v>
      </c>
    </row>
    <row r="756" spans="2:15" ht="15.75" customHeight="1" x14ac:dyDescent="0.2">
      <c r="B756" s="13" t="s">
        <v>247</v>
      </c>
      <c r="C756" s="10">
        <v>0.22500000000000001</v>
      </c>
      <c r="D756" s="11">
        <f>+VLOOKUP(B756,'PRECIO PROVEEDORES'!$A$2:$B$716,2,0)</f>
        <v>12000</v>
      </c>
      <c r="E756" s="12">
        <f t="shared" ref="E756:E769" si="82">+C756*D756</f>
        <v>2700</v>
      </c>
      <c r="G756" s="13" t="s">
        <v>315</v>
      </c>
      <c r="H756" s="10">
        <v>0.40400000000000003</v>
      </c>
      <c r="I756" s="94">
        <f>+VLOOKUP(G756,'PRECIO PROVEEDORES'!$A$2:$B$716,2,0)</f>
        <v>1352</v>
      </c>
      <c r="J756" s="12">
        <f t="shared" ref="J756:J762" si="83">+H756*I756</f>
        <v>546.20800000000008</v>
      </c>
      <c r="L756" s="13" t="s">
        <v>493</v>
      </c>
      <c r="M756" s="10">
        <v>0.1</v>
      </c>
      <c r="N756" s="94">
        <f>+VLOOKUP(L756,'PRECIO PROVEEDORES'!$A$2:$B$716,2,0)</f>
        <v>12000</v>
      </c>
      <c r="O756" s="12">
        <f t="shared" ref="O756:O766" si="84">+M756*N756</f>
        <v>1200</v>
      </c>
    </row>
    <row r="757" spans="2:15" ht="15.75" customHeight="1" x14ac:dyDescent="0.2">
      <c r="B757" s="13" t="s">
        <v>210</v>
      </c>
      <c r="C757" s="10">
        <v>0.2</v>
      </c>
      <c r="D757" s="11">
        <f>+VLOOKUP(B757,'PRECIO PROVEEDORES'!$A$2:$B$716,2,0)</f>
        <v>1352</v>
      </c>
      <c r="E757" s="12">
        <f t="shared" si="82"/>
        <v>270.40000000000003</v>
      </c>
      <c r="G757" s="13" t="s">
        <v>258</v>
      </c>
      <c r="H757" s="10">
        <v>0.52500000000000002</v>
      </c>
      <c r="I757" s="94">
        <f>+VLOOKUP(G757,'PRECIO PROVEEDORES'!$A$2:$B$716,2,0)</f>
        <v>10203</v>
      </c>
      <c r="J757" s="12">
        <f t="shared" si="83"/>
        <v>5356.5749999999998</v>
      </c>
      <c r="L757" s="13" t="s">
        <v>586</v>
      </c>
      <c r="M757" s="10">
        <v>0.09</v>
      </c>
      <c r="N757" s="94">
        <f>+VLOOKUP(L757,'PRECIO PROVEEDORES'!$A$2:$B$716,2,0)</f>
        <v>1911</v>
      </c>
      <c r="O757" s="12">
        <f t="shared" si="84"/>
        <v>171.98999999999998</v>
      </c>
    </row>
    <row r="758" spans="2:15" ht="15.75" customHeight="1" x14ac:dyDescent="0.2">
      <c r="B758" s="7" t="s">
        <v>240</v>
      </c>
      <c r="C758" s="10">
        <v>0.2</v>
      </c>
      <c r="D758" s="11">
        <f>+VLOOKUP(B758,'PRECIO PROVEEDORES'!$A$2:$B$716,2,0)</f>
        <v>1624.77</v>
      </c>
      <c r="E758" s="12">
        <f t="shared" si="82"/>
        <v>324.95400000000001</v>
      </c>
      <c r="G758" s="13" t="s">
        <v>97</v>
      </c>
      <c r="H758" s="10">
        <v>10</v>
      </c>
      <c r="I758" s="94">
        <f>+VLOOKUP(G758,'PRECIO PROVEEDORES'!$A$2:$B$716,2,0)</f>
        <v>192</v>
      </c>
      <c r="J758" s="12">
        <f t="shared" si="83"/>
        <v>1920</v>
      </c>
      <c r="L758" s="13" t="s">
        <v>315</v>
      </c>
      <c r="M758" s="10">
        <v>0.03</v>
      </c>
      <c r="N758" s="94">
        <f>+VLOOKUP(L758,'PRECIO PROVEEDORES'!$A$2:$B$716,2,0)</f>
        <v>1352</v>
      </c>
      <c r="O758" s="12">
        <f t="shared" si="84"/>
        <v>40.559999999999995</v>
      </c>
    </row>
    <row r="759" spans="2:15" ht="15.75" customHeight="1" x14ac:dyDescent="0.2">
      <c r="B759" s="7" t="s">
        <v>97</v>
      </c>
      <c r="C759" s="10">
        <v>2</v>
      </c>
      <c r="D759" s="11">
        <f>+VLOOKUP(B759,'PRECIO PROVEEDORES'!$A$2:$B$716,2,0)</f>
        <v>192</v>
      </c>
      <c r="E759" s="12">
        <f t="shared" si="82"/>
        <v>384</v>
      </c>
      <c r="G759" s="13" t="s">
        <v>319</v>
      </c>
      <c r="H759" s="10">
        <v>0.35</v>
      </c>
      <c r="I759" s="94">
        <f>+VLOOKUP(G759,'PRECIO PROVEEDORES'!$A$2:$B$716,2,0)</f>
        <v>1043.22</v>
      </c>
      <c r="J759" s="12">
        <f t="shared" si="83"/>
        <v>365.12700000000001</v>
      </c>
      <c r="L759" s="13" t="s">
        <v>97</v>
      </c>
      <c r="M759" s="10">
        <v>1</v>
      </c>
      <c r="N759" s="94">
        <f>+VLOOKUP(L759,'PRECIO PROVEEDORES'!$A$2:$B$716,2,0)</f>
        <v>192</v>
      </c>
      <c r="O759" s="12">
        <f t="shared" si="84"/>
        <v>192</v>
      </c>
    </row>
    <row r="760" spans="2:15" ht="15.75" customHeight="1" x14ac:dyDescent="0.2">
      <c r="B760" s="13" t="s">
        <v>237</v>
      </c>
      <c r="C760" s="10">
        <v>0.46</v>
      </c>
      <c r="D760" s="11">
        <f>+VLOOKUP(B760,'PRECIO PROVEEDORES'!$A$2:$B$716,2,0)</f>
        <v>1043.22</v>
      </c>
      <c r="E760" s="12">
        <f t="shared" si="82"/>
        <v>479.88120000000004</v>
      </c>
      <c r="G760" s="13" t="s">
        <v>246</v>
      </c>
      <c r="H760" s="10">
        <v>1.7999999999999999E-2</v>
      </c>
      <c r="I760" s="94">
        <f>+VLOOKUP(G760,'PRECIO PROVEEDORES'!$A$2:$B$716,2,0)</f>
        <v>6040</v>
      </c>
      <c r="J760" s="12">
        <f t="shared" si="83"/>
        <v>108.72</v>
      </c>
      <c r="L760" s="13" t="s">
        <v>319</v>
      </c>
      <c r="M760" s="10">
        <v>0.24</v>
      </c>
      <c r="N760" s="94">
        <f>+VLOOKUP(L760,'PRECIO PROVEEDORES'!$A$2:$B$716,2,0)</f>
        <v>1043.22</v>
      </c>
      <c r="O760" s="12">
        <f t="shared" si="84"/>
        <v>250.37279999999998</v>
      </c>
    </row>
    <row r="761" spans="2:15" ht="15.75" customHeight="1" x14ac:dyDescent="0.2">
      <c r="B761" s="100" t="s">
        <v>245</v>
      </c>
      <c r="C761" s="10">
        <v>5.0000000000000001E-3</v>
      </c>
      <c r="D761" s="11">
        <f>+VLOOKUP(B761,'PRECIO PROVEEDORES'!$A$2:$B$716,2,0)</f>
        <v>2517</v>
      </c>
      <c r="E761" s="12">
        <f t="shared" si="82"/>
        <v>12.585000000000001</v>
      </c>
      <c r="G761" s="13" t="s">
        <v>267</v>
      </c>
      <c r="H761" s="10">
        <v>4.1000000000000002E-2</v>
      </c>
      <c r="I761" s="94">
        <f>+VLOOKUP(G761,'PRECIO PROVEEDORES'!$A$2:$B$716,2,0)</f>
        <v>13205</v>
      </c>
      <c r="J761" s="12">
        <f t="shared" si="83"/>
        <v>541.40499999999997</v>
      </c>
      <c r="L761" s="13" t="s">
        <v>612</v>
      </c>
      <c r="M761" s="10">
        <v>5.0000000000000001E-3</v>
      </c>
      <c r="N761" s="94">
        <f>+VLOOKUP(L761,'PRECIO PROVEEDORES'!$A$2:$B$716,2,0)</f>
        <v>2517</v>
      </c>
      <c r="O761" s="12">
        <f t="shared" si="84"/>
        <v>12.585000000000001</v>
      </c>
    </row>
    <row r="762" spans="2:15" ht="15.75" customHeight="1" x14ac:dyDescent="0.2">
      <c r="B762" s="7" t="s">
        <v>246</v>
      </c>
      <c r="C762" s="10">
        <v>7.0000000000000001E-3</v>
      </c>
      <c r="D762" s="11">
        <f>+VLOOKUP(B762,'PRECIO PROVEEDORES'!$A$2:$B$716,2,0)</f>
        <v>6040</v>
      </c>
      <c r="E762" s="12">
        <f t="shared" si="82"/>
        <v>42.28</v>
      </c>
      <c r="G762" s="13" t="s">
        <v>500</v>
      </c>
      <c r="H762" s="10">
        <v>0.08</v>
      </c>
      <c r="I762" s="94">
        <f>+VLOOKUP(G762,'PRECIO PROVEEDORES'!$A$2:$B$716,2,0)</f>
        <v>10030</v>
      </c>
      <c r="J762" s="12">
        <f t="shared" si="83"/>
        <v>802.4</v>
      </c>
      <c r="L762" s="13" t="s">
        <v>151</v>
      </c>
      <c r="M762" s="10">
        <v>5.0000000000000001E-3</v>
      </c>
      <c r="N762" s="94">
        <f>+VLOOKUP(L762,'PRECIO PROVEEDORES'!$A$2:$B$716,2,0)</f>
        <v>1633</v>
      </c>
      <c r="O762" s="12">
        <f t="shared" si="84"/>
        <v>8.1650000000000009</v>
      </c>
    </row>
    <row r="763" spans="2:15" ht="15.75" customHeight="1" x14ac:dyDescent="0.2">
      <c r="B763" s="13" t="s">
        <v>49</v>
      </c>
      <c r="C763" s="36">
        <v>3.0000000000000001E-3</v>
      </c>
      <c r="D763" s="11">
        <f>+VLOOKUP(B763,'PRECIO PROVEEDORES'!$A$2:$B$716,2,0)</f>
        <v>1633</v>
      </c>
      <c r="E763" s="12">
        <f t="shared" si="82"/>
        <v>4.899</v>
      </c>
      <c r="G763" s="13"/>
      <c r="H763" s="10"/>
      <c r="I763" s="94"/>
      <c r="J763" s="12"/>
      <c r="L763" s="13" t="s">
        <v>246</v>
      </c>
      <c r="M763" s="10">
        <v>8.0000000000000002E-3</v>
      </c>
      <c r="N763" s="94">
        <f>+VLOOKUP(L763,'PRECIO PROVEEDORES'!$A$2:$B$716,2,0)</f>
        <v>6040</v>
      </c>
      <c r="O763" s="12">
        <f t="shared" si="84"/>
        <v>48.32</v>
      </c>
    </row>
    <row r="764" spans="2:15" ht="15.75" customHeight="1" x14ac:dyDescent="0.2">
      <c r="B764" s="107" t="s">
        <v>238</v>
      </c>
      <c r="C764" s="36">
        <v>6.5000000000000002E-2</v>
      </c>
      <c r="D764" s="11">
        <f>+VLOOKUP(B764,'PRECIO PROVEEDORES'!$A$2:$B$716,2,0)</f>
        <v>36068</v>
      </c>
      <c r="E764" s="12">
        <f t="shared" si="82"/>
        <v>2344.42</v>
      </c>
      <c r="G764" s="13"/>
      <c r="H764" s="10"/>
      <c r="I764" s="94"/>
      <c r="J764" s="12"/>
      <c r="L764" s="13" t="s">
        <v>500</v>
      </c>
      <c r="M764" s="10">
        <v>0.05</v>
      </c>
      <c r="N764" s="94">
        <f>+VLOOKUP(L764,'PRECIO PROVEEDORES'!$A$2:$B$716,2,0)</f>
        <v>10030</v>
      </c>
      <c r="O764" s="12">
        <f t="shared" si="84"/>
        <v>501.5</v>
      </c>
    </row>
    <row r="765" spans="2:15" ht="15.75" customHeight="1" x14ac:dyDescent="0.2">
      <c r="B765" s="108" t="s">
        <v>248</v>
      </c>
      <c r="C765" s="36">
        <v>6.5000000000000002E-2</v>
      </c>
      <c r="D765" s="11">
        <f>+VLOOKUP(B765,'PRECIO PROVEEDORES'!$A$2:$B$716,2,0)</f>
        <v>39988</v>
      </c>
      <c r="E765" s="12">
        <f t="shared" si="82"/>
        <v>2599.2200000000003</v>
      </c>
      <c r="G765" s="71"/>
      <c r="H765" s="66"/>
      <c r="I765" s="69"/>
      <c r="J765" s="70"/>
      <c r="L765" s="71" t="s">
        <v>305</v>
      </c>
      <c r="M765" s="66">
        <v>0.05</v>
      </c>
      <c r="N765" s="94">
        <f>+VLOOKUP(L765,'PRECIO PROVEEDORES'!$A$2:$B$716,2,0)</f>
        <v>12959</v>
      </c>
      <c r="O765" s="12">
        <f t="shared" si="84"/>
        <v>647.95000000000005</v>
      </c>
    </row>
    <row r="766" spans="2:15" ht="15.75" customHeight="1" x14ac:dyDescent="0.2">
      <c r="B766" s="7" t="s">
        <v>249</v>
      </c>
      <c r="C766" s="36">
        <v>5.0000000000000001E-3</v>
      </c>
      <c r="D766" s="11">
        <f>+VLOOKUP(B766,'PRECIO PROVEEDORES'!$A$2:$B$716,2,0)</f>
        <v>2118</v>
      </c>
      <c r="E766" s="12">
        <f t="shared" si="82"/>
        <v>10.59</v>
      </c>
      <c r="G766" s="71"/>
      <c r="H766" s="66"/>
      <c r="I766" s="69"/>
      <c r="J766" s="70"/>
      <c r="L766" s="71" t="s">
        <v>444</v>
      </c>
      <c r="M766" s="66">
        <v>0.05</v>
      </c>
      <c r="N766" s="94">
        <f>+VLOOKUP(L766,'PRECIO PROVEEDORES'!$A$2:$B$716,2,0)</f>
        <v>9506</v>
      </c>
      <c r="O766" s="12">
        <f t="shared" si="84"/>
        <v>475.3</v>
      </c>
    </row>
    <row r="767" spans="2:15" ht="15.75" customHeight="1" x14ac:dyDescent="0.2">
      <c r="B767" s="7" t="s">
        <v>500</v>
      </c>
      <c r="C767" s="7">
        <v>6.5000000000000002E-2</v>
      </c>
      <c r="D767" s="11">
        <f>+VLOOKUP(B767,'PRECIO PROVEEDORES'!$A$2:$B$716,2,0)</f>
        <v>10030</v>
      </c>
      <c r="E767" s="12">
        <f t="shared" si="82"/>
        <v>651.95000000000005</v>
      </c>
      <c r="G767" s="71"/>
      <c r="H767" s="66"/>
      <c r="I767" s="69"/>
      <c r="J767" s="70"/>
      <c r="L767" s="71"/>
      <c r="M767" s="66"/>
      <c r="N767" s="69"/>
      <c r="O767" s="70"/>
    </row>
    <row r="768" spans="2:15" ht="15.75" customHeight="1" x14ac:dyDescent="0.2">
      <c r="B768" s="7" t="s">
        <v>305</v>
      </c>
      <c r="C768" s="7">
        <v>7.0000000000000007E-2</v>
      </c>
      <c r="D768" s="11">
        <f>+VLOOKUP(B768,'PRECIO PROVEEDORES'!$A$2:$B$716,2,0)</f>
        <v>12959</v>
      </c>
      <c r="E768" s="12">
        <f t="shared" si="82"/>
        <v>907.13000000000011</v>
      </c>
      <c r="G768" s="64"/>
      <c r="H768" s="66"/>
      <c r="I768" s="69"/>
      <c r="J768" s="70"/>
      <c r="L768" s="64"/>
      <c r="M768" s="66"/>
      <c r="N768" s="69"/>
      <c r="O768" s="70"/>
    </row>
    <row r="769" spans="2:15" ht="15.75" customHeight="1" x14ac:dyDescent="0.2">
      <c r="B769" s="5" t="s">
        <v>503</v>
      </c>
      <c r="C769" s="136">
        <v>1.4999999999999999E-2</v>
      </c>
      <c r="D769" s="11">
        <f>+VLOOKUP(B769,'PRECIO PROVEEDORES'!$A$2:$B$716,2,0)</f>
        <v>7331</v>
      </c>
      <c r="E769" s="12">
        <f t="shared" si="82"/>
        <v>109.96499999999999</v>
      </c>
      <c r="G769" s="64"/>
      <c r="H769" s="66"/>
      <c r="I769" s="69"/>
      <c r="J769" s="70"/>
      <c r="L769" s="64"/>
      <c r="M769" s="66"/>
      <c r="N769" s="69"/>
      <c r="O769" s="70"/>
    </row>
    <row r="770" spans="2:15" ht="15.75" customHeight="1" x14ac:dyDescent="0.2">
      <c r="B770" s="5"/>
      <c r="C770" s="7"/>
      <c r="D770" s="11"/>
      <c r="E770" s="12"/>
      <c r="G770" s="64"/>
      <c r="H770" s="66"/>
      <c r="I770" s="69"/>
      <c r="J770" s="70"/>
      <c r="L770" s="64"/>
      <c r="M770" s="66"/>
      <c r="N770" s="69"/>
      <c r="O770" s="70"/>
    </row>
    <row r="771" spans="2:15" ht="15.75" customHeight="1" x14ac:dyDescent="0.2">
      <c r="B771" s="21" t="s">
        <v>52</v>
      </c>
      <c r="C771" s="22"/>
      <c r="D771" s="23"/>
      <c r="E771" s="24">
        <f>SUM(E756:E770)</f>
        <v>10842.274200000003</v>
      </c>
      <c r="G771" s="72" t="s">
        <v>52</v>
      </c>
      <c r="H771" s="73"/>
      <c r="I771" s="74"/>
      <c r="J771" s="95">
        <f>SUM(J756:J770)</f>
        <v>9640.4349999999995</v>
      </c>
      <c r="L771" s="72" t="s">
        <v>52</v>
      </c>
      <c r="M771" s="73"/>
      <c r="N771" s="74"/>
      <c r="O771" s="95">
        <f>SUM(O756:O770)</f>
        <v>3548.7428</v>
      </c>
    </row>
    <row r="772" spans="2:15" ht="15.75" customHeight="1" x14ac:dyDescent="0.2">
      <c r="B772" s="19" t="s">
        <v>53</v>
      </c>
      <c r="C772" s="27"/>
      <c r="D772" s="28"/>
      <c r="E772" s="29">
        <f>SUM(E771)</f>
        <v>10842.274200000003</v>
      </c>
      <c r="G772" s="76" t="s">
        <v>53</v>
      </c>
      <c r="H772" s="77"/>
      <c r="I772" s="78"/>
      <c r="J772" s="96">
        <f>SUM(J771)</f>
        <v>9640.4349999999995</v>
      </c>
      <c r="L772" s="76" t="s">
        <v>53</v>
      </c>
      <c r="M772" s="77"/>
      <c r="N772" s="78"/>
      <c r="O772" s="96">
        <f>SUM(O771)</f>
        <v>3548.7428</v>
      </c>
    </row>
    <row r="773" spans="2:15" ht="15.75" customHeight="1" x14ac:dyDescent="0.2">
      <c r="B773" s="19" t="s">
        <v>54</v>
      </c>
      <c r="C773" s="27"/>
      <c r="D773" s="28"/>
      <c r="E773" s="29">
        <f>+E772/14</f>
        <v>774.44815714285744</v>
      </c>
      <c r="G773" s="76" t="s">
        <v>54</v>
      </c>
      <c r="H773" s="77"/>
      <c r="I773" s="78"/>
      <c r="J773" s="96">
        <f>+J772</f>
        <v>9640.4349999999995</v>
      </c>
      <c r="L773" s="76" t="s">
        <v>54</v>
      </c>
      <c r="M773" s="77"/>
      <c r="N773" s="78"/>
      <c r="O773" s="96">
        <f>+O772/6</f>
        <v>591.45713333333333</v>
      </c>
    </row>
    <row r="774" spans="2:15" ht="15.75" customHeight="1" x14ac:dyDescent="0.2">
      <c r="B774" s="19" t="s">
        <v>55</v>
      </c>
      <c r="C774" s="27"/>
      <c r="D774" s="31">
        <v>0.3</v>
      </c>
      <c r="E774" s="29"/>
      <c r="G774" s="76" t="s">
        <v>55</v>
      </c>
      <c r="H774" s="77"/>
      <c r="I774" s="80">
        <v>0.3</v>
      </c>
      <c r="J774" s="81"/>
      <c r="L774" s="76" t="s">
        <v>55</v>
      </c>
      <c r="M774" s="77"/>
      <c r="N774" s="80">
        <v>0.3</v>
      </c>
      <c r="O774" s="81"/>
    </row>
    <row r="775" spans="2:15" ht="15.75" customHeight="1" x14ac:dyDescent="0.2">
      <c r="B775" s="19" t="s">
        <v>56</v>
      </c>
      <c r="C775" s="27"/>
      <c r="D775" s="31"/>
      <c r="E775" s="29">
        <f>+E773*3.33333333333333</f>
        <v>2581.4938571428556</v>
      </c>
      <c r="G775" s="76" t="s">
        <v>56</v>
      </c>
      <c r="H775" s="77"/>
      <c r="I775" s="82"/>
      <c r="J775" s="96">
        <f>+J773*3.33333333333333</f>
        <v>32134.7833333333</v>
      </c>
      <c r="L775" s="76" t="s">
        <v>56</v>
      </c>
      <c r="M775" s="77"/>
      <c r="N775" s="82"/>
      <c r="O775" s="96">
        <f>+O773*3.33333333333333</f>
        <v>1971.5237777777756</v>
      </c>
    </row>
    <row r="776" spans="2:15" ht="15.75" customHeight="1" x14ac:dyDescent="0.2">
      <c r="B776" s="19" t="s">
        <v>57</v>
      </c>
      <c r="C776" s="27"/>
      <c r="D776" s="27">
        <v>2323</v>
      </c>
      <c r="E776" s="29">
        <v>3400</v>
      </c>
      <c r="G776" s="76" t="s">
        <v>569</v>
      </c>
      <c r="H776" s="77"/>
      <c r="I776" s="137">
        <f>28922/9</f>
        <v>3213.5555555555557</v>
      </c>
      <c r="J776" s="96">
        <v>220</v>
      </c>
      <c r="L776" s="76" t="s">
        <v>569</v>
      </c>
      <c r="M776" s="77"/>
      <c r="N776" s="137">
        <v>1775</v>
      </c>
      <c r="O776" s="96">
        <v>220</v>
      </c>
    </row>
    <row r="777" spans="2:15" ht="15.75" customHeight="1" x14ac:dyDescent="0.2">
      <c r="B777" s="19"/>
      <c r="C777" s="27"/>
      <c r="D777" s="28"/>
      <c r="E777" s="24">
        <f>+E776-E775</f>
        <v>818.50614285714437</v>
      </c>
      <c r="G777" s="71"/>
      <c r="H777" s="77"/>
      <c r="I777" s="78"/>
      <c r="J777" s="95">
        <f>+J776-J775</f>
        <v>-31914.7833333333</v>
      </c>
      <c r="L777" s="71"/>
      <c r="M777" s="77"/>
      <c r="N777" s="78"/>
      <c r="O777" s="95">
        <f>+O776-O775</f>
        <v>-1751.5237777777756</v>
      </c>
    </row>
    <row r="778" spans="2:15" ht="15.75" customHeight="1" x14ac:dyDescent="0.2">
      <c r="B778" s="32" t="s">
        <v>58</v>
      </c>
      <c r="C778" s="33"/>
      <c r="D778" s="33"/>
      <c r="E778" s="34">
        <f>E773/E776</f>
        <v>0.22777886974789924</v>
      </c>
      <c r="G778" s="32" t="s">
        <v>58</v>
      </c>
      <c r="H778" s="83"/>
      <c r="I778" s="97"/>
      <c r="J778" s="98">
        <f>J773/J776</f>
        <v>43.820159090909087</v>
      </c>
      <c r="L778" s="32" t="s">
        <v>58</v>
      </c>
      <c r="M778" s="83"/>
      <c r="N778" s="97"/>
      <c r="O778" s="98">
        <f>O773/O776</f>
        <v>2.6884415151515153</v>
      </c>
    </row>
    <row r="779" spans="2:15" ht="15.75" customHeight="1" x14ac:dyDescent="0.15"/>
    <row r="780" spans="2:15" ht="15.75" customHeight="1" x14ac:dyDescent="0.15"/>
    <row r="781" spans="2:15" ht="15.75" customHeight="1" x14ac:dyDescent="0.2">
      <c r="B781" s="218" t="s">
        <v>613</v>
      </c>
      <c r="C781" s="213"/>
      <c r="D781" s="213"/>
      <c r="E781" s="214"/>
      <c r="G781" s="218" t="s">
        <v>614</v>
      </c>
      <c r="H781" s="213"/>
      <c r="I781" s="213"/>
      <c r="J781" s="214"/>
      <c r="L781" s="218" t="s">
        <v>615</v>
      </c>
      <c r="M781" s="213"/>
      <c r="N781" s="213"/>
      <c r="O781" s="214"/>
    </row>
    <row r="782" spans="2:15" ht="15.75" customHeight="1" x14ac:dyDescent="0.2">
      <c r="B782" s="66"/>
      <c r="C782" s="65" t="s">
        <v>8</v>
      </c>
      <c r="D782" s="7" t="s">
        <v>9</v>
      </c>
      <c r="E782" s="8" t="s">
        <v>10</v>
      </c>
      <c r="G782" s="64"/>
      <c r="H782" s="138"/>
      <c r="I782" s="7" t="s">
        <v>9</v>
      </c>
      <c r="J782" s="8" t="s">
        <v>10</v>
      </c>
      <c r="L782" s="64"/>
      <c r="M782" s="65" t="s">
        <v>8</v>
      </c>
      <c r="N782" s="7" t="s">
        <v>9</v>
      </c>
      <c r="O782" s="8" t="s">
        <v>10</v>
      </c>
    </row>
    <row r="783" spans="2:15" ht="15.75" customHeight="1" x14ac:dyDescent="0.2">
      <c r="B783" s="20" t="s">
        <v>493</v>
      </c>
      <c r="C783" s="10">
        <v>0.1</v>
      </c>
      <c r="D783" s="94">
        <f>+VLOOKUP(B783,'PRECIO PROVEEDORES'!$A$2:$B$716,2,0)</f>
        <v>12000</v>
      </c>
      <c r="E783" s="12">
        <f t="shared" ref="E783:E793" si="85">+C783*D783</f>
        <v>1200</v>
      </c>
      <c r="G783" s="13" t="s">
        <v>586</v>
      </c>
      <c r="H783" s="10">
        <v>0.09</v>
      </c>
      <c r="I783" s="94">
        <f>+VLOOKUP(G783,'PRECIO PROVEEDORES'!$A$2:$B$716,2,0)</f>
        <v>1911</v>
      </c>
      <c r="J783" s="12">
        <f t="shared" ref="J783:J792" si="86">+H783*I783</f>
        <v>171.98999999999998</v>
      </c>
      <c r="L783" s="13" t="s">
        <v>493</v>
      </c>
      <c r="M783" s="10">
        <v>0.1</v>
      </c>
      <c r="N783" s="94">
        <f>+VLOOKUP(L783,'PRECIO PROVEEDORES'!$A$2:$B$716,2,0)</f>
        <v>12000</v>
      </c>
      <c r="O783" s="12">
        <f t="shared" ref="O783:O792" si="87">+M783*N783</f>
        <v>1200</v>
      </c>
    </row>
    <row r="784" spans="2:15" ht="15.75" customHeight="1" x14ac:dyDescent="0.2">
      <c r="B784" s="20" t="s">
        <v>586</v>
      </c>
      <c r="C784" s="10">
        <v>0.09</v>
      </c>
      <c r="D784" s="94">
        <f>+VLOOKUP(B784,'PRECIO PROVEEDORES'!$A$2:$B$716,2,0)</f>
        <v>1911</v>
      </c>
      <c r="E784" s="12">
        <f t="shared" si="85"/>
        <v>171.98999999999998</v>
      </c>
      <c r="G784" s="13" t="s">
        <v>315</v>
      </c>
      <c r="H784" s="10">
        <v>0.03</v>
      </c>
      <c r="I784" s="94">
        <f>+VLOOKUP(G784,'PRECIO PROVEEDORES'!$A$2:$B$716,2,0)</f>
        <v>1352</v>
      </c>
      <c r="J784" s="12">
        <f t="shared" si="86"/>
        <v>40.559999999999995</v>
      </c>
      <c r="L784" s="13" t="s">
        <v>586</v>
      </c>
      <c r="M784" s="10">
        <v>0.09</v>
      </c>
      <c r="N784" s="94">
        <f>+VLOOKUP(L784,'PRECIO PROVEEDORES'!$A$2:$B$716,2,0)</f>
        <v>1911</v>
      </c>
      <c r="O784" s="12">
        <f t="shared" si="87"/>
        <v>171.98999999999998</v>
      </c>
    </row>
    <row r="785" spans="2:15" ht="15.75" customHeight="1" x14ac:dyDescent="0.2">
      <c r="B785" s="20" t="s">
        <v>315</v>
      </c>
      <c r="C785" s="10">
        <v>0.03</v>
      </c>
      <c r="D785" s="94">
        <f>+VLOOKUP(B785,'PRECIO PROVEEDORES'!$A$2:$B$716,2,0)</f>
        <v>1352</v>
      </c>
      <c r="E785" s="12">
        <f t="shared" si="85"/>
        <v>40.559999999999995</v>
      </c>
      <c r="G785" s="13" t="s">
        <v>97</v>
      </c>
      <c r="H785" s="10">
        <v>1</v>
      </c>
      <c r="I785" s="94">
        <f>+VLOOKUP(G785,'PRECIO PROVEEDORES'!$A$2:$B$716,2,0)</f>
        <v>192</v>
      </c>
      <c r="J785" s="12">
        <f t="shared" si="86"/>
        <v>192</v>
      </c>
      <c r="L785" s="13" t="s">
        <v>315</v>
      </c>
      <c r="M785" s="10">
        <v>0.03</v>
      </c>
      <c r="N785" s="94">
        <f>+VLOOKUP(L785,'PRECIO PROVEEDORES'!$A$2:$B$716,2,0)</f>
        <v>1352</v>
      </c>
      <c r="O785" s="12">
        <f t="shared" si="87"/>
        <v>40.559999999999995</v>
      </c>
    </row>
    <row r="786" spans="2:15" ht="15.75" customHeight="1" x14ac:dyDescent="0.2">
      <c r="B786" s="20" t="s">
        <v>97</v>
      </c>
      <c r="C786" s="10">
        <v>1</v>
      </c>
      <c r="D786" s="94">
        <f>+VLOOKUP(B786,'PRECIO PROVEEDORES'!$A$2:$B$716,2,0)</f>
        <v>192</v>
      </c>
      <c r="E786" s="12">
        <f t="shared" si="85"/>
        <v>192</v>
      </c>
      <c r="G786" s="13" t="s">
        <v>319</v>
      </c>
      <c r="H786" s="10">
        <v>0.24</v>
      </c>
      <c r="I786" s="94">
        <f>+VLOOKUP(G786,'PRECIO PROVEEDORES'!$A$2:$B$716,2,0)</f>
        <v>1043.22</v>
      </c>
      <c r="J786" s="12">
        <f t="shared" si="86"/>
        <v>250.37279999999998</v>
      </c>
      <c r="L786" s="13" t="s">
        <v>97</v>
      </c>
      <c r="M786" s="10">
        <v>1</v>
      </c>
      <c r="N786" s="94">
        <f>+VLOOKUP(L786,'PRECIO PROVEEDORES'!$A$2:$B$716,2,0)</f>
        <v>192</v>
      </c>
      <c r="O786" s="12">
        <f t="shared" si="87"/>
        <v>192</v>
      </c>
    </row>
    <row r="787" spans="2:15" ht="15.75" customHeight="1" x14ac:dyDescent="0.2">
      <c r="B787" s="20" t="s">
        <v>319</v>
      </c>
      <c r="C787" s="10">
        <v>0.24</v>
      </c>
      <c r="D787" s="94">
        <f>+VLOOKUP(B787,'PRECIO PROVEEDORES'!$A$2:$B$716,2,0)</f>
        <v>1043.22</v>
      </c>
      <c r="E787" s="12">
        <f t="shared" si="85"/>
        <v>250.37279999999998</v>
      </c>
      <c r="G787" s="13" t="s">
        <v>612</v>
      </c>
      <c r="H787" s="10">
        <v>5.0000000000000001E-3</v>
      </c>
      <c r="I787" s="94">
        <f>+VLOOKUP(G787,'PRECIO PROVEEDORES'!$A$2:$B$716,2,0)</f>
        <v>2517</v>
      </c>
      <c r="J787" s="12">
        <f t="shared" si="86"/>
        <v>12.585000000000001</v>
      </c>
      <c r="L787" s="13" t="s">
        <v>319</v>
      </c>
      <c r="M787" s="10">
        <v>0.24</v>
      </c>
      <c r="N787" s="94">
        <f>+VLOOKUP(L787,'PRECIO PROVEEDORES'!$A$2:$B$716,2,0)</f>
        <v>1043.22</v>
      </c>
      <c r="O787" s="12">
        <f t="shared" si="87"/>
        <v>250.37279999999998</v>
      </c>
    </row>
    <row r="788" spans="2:15" ht="15.75" customHeight="1" x14ac:dyDescent="0.2">
      <c r="B788" s="20" t="s">
        <v>612</v>
      </c>
      <c r="C788" s="10">
        <v>5.0000000000000001E-3</v>
      </c>
      <c r="D788" s="94">
        <f>+VLOOKUP(B788,'PRECIO PROVEEDORES'!$A$2:$B$716,2,0)</f>
        <v>2517</v>
      </c>
      <c r="E788" s="12">
        <f t="shared" si="85"/>
        <v>12.585000000000001</v>
      </c>
      <c r="G788" s="13" t="s">
        <v>151</v>
      </c>
      <c r="H788" s="10">
        <v>5.0000000000000001E-3</v>
      </c>
      <c r="I788" s="94">
        <f>+VLOOKUP(G788,'PRECIO PROVEEDORES'!$A$2:$B$716,2,0)</f>
        <v>1633</v>
      </c>
      <c r="J788" s="12">
        <f t="shared" si="86"/>
        <v>8.1650000000000009</v>
      </c>
      <c r="L788" s="13" t="s">
        <v>612</v>
      </c>
      <c r="M788" s="10">
        <v>5.0000000000000001E-3</v>
      </c>
      <c r="N788" s="94">
        <f>+VLOOKUP(L788,'PRECIO PROVEEDORES'!$A$2:$B$716,2,0)</f>
        <v>2517</v>
      </c>
      <c r="O788" s="12">
        <f t="shared" si="87"/>
        <v>12.585000000000001</v>
      </c>
    </row>
    <row r="789" spans="2:15" ht="15.75" customHeight="1" x14ac:dyDescent="0.2">
      <c r="B789" s="20" t="s">
        <v>151</v>
      </c>
      <c r="C789" s="10">
        <v>5.0000000000000001E-3</v>
      </c>
      <c r="D789" s="94">
        <f>+VLOOKUP(B789,'PRECIO PROVEEDORES'!$A$2:$B$716,2,0)</f>
        <v>1633</v>
      </c>
      <c r="E789" s="12">
        <f t="shared" si="85"/>
        <v>8.1650000000000009</v>
      </c>
      <c r="G789" s="13" t="s">
        <v>246</v>
      </c>
      <c r="H789" s="10">
        <v>8.0000000000000002E-3</v>
      </c>
      <c r="I789" s="94">
        <f>+VLOOKUP(G789,'PRECIO PROVEEDORES'!$A$2:$B$716,2,0)</f>
        <v>6040</v>
      </c>
      <c r="J789" s="12">
        <f t="shared" si="86"/>
        <v>48.32</v>
      </c>
      <c r="L789" s="13" t="s">
        <v>151</v>
      </c>
      <c r="M789" s="10">
        <v>5.0000000000000001E-3</v>
      </c>
      <c r="N789" s="94">
        <f>+VLOOKUP(L789,'PRECIO PROVEEDORES'!$A$2:$B$716,2,0)</f>
        <v>1633</v>
      </c>
      <c r="O789" s="12">
        <f t="shared" si="87"/>
        <v>8.1650000000000009</v>
      </c>
    </row>
    <row r="790" spans="2:15" ht="15.75" customHeight="1" x14ac:dyDescent="0.2">
      <c r="B790" s="20" t="s">
        <v>246</v>
      </c>
      <c r="C790" s="68">
        <v>8.0000000000000002E-3</v>
      </c>
      <c r="D790" s="94">
        <f>+VLOOKUP(B790,'PRECIO PROVEEDORES'!$A$2:$B$716,2,0)</f>
        <v>6040</v>
      </c>
      <c r="E790" s="12">
        <f t="shared" si="85"/>
        <v>48.32</v>
      </c>
      <c r="G790" s="66" t="s">
        <v>542</v>
      </c>
      <c r="H790" s="68">
        <v>0.11799999999999999</v>
      </c>
      <c r="I790" s="94">
        <f>+VLOOKUP(G790,'PRECIO PROVEEDORES'!$A$2:$B$716,2,0)</f>
        <v>15284</v>
      </c>
      <c r="J790" s="12">
        <f t="shared" si="86"/>
        <v>1803.5119999999999</v>
      </c>
      <c r="L790" s="66" t="s">
        <v>246</v>
      </c>
      <c r="M790" s="68">
        <v>8.0000000000000002E-3</v>
      </c>
      <c r="N790" s="94">
        <f>+VLOOKUP(L790,'PRECIO PROVEEDORES'!$A$2:$B$716,2,0)</f>
        <v>6040</v>
      </c>
      <c r="O790" s="12">
        <f t="shared" si="87"/>
        <v>48.32</v>
      </c>
    </row>
    <row r="791" spans="2:15" ht="15.75" customHeight="1" x14ac:dyDescent="0.2">
      <c r="B791" s="66" t="s">
        <v>444</v>
      </c>
      <c r="C791" s="68">
        <v>0.05</v>
      </c>
      <c r="D791" s="94">
        <f>+VLOOKUP(B791,'PRECIO PROVEEDORES'!$A$2:$B$716,2,0)</f>
        <v>9506</v>
      </c>
      <c r="E791" s="12">
        <f t="shared" si="85"/>
        <v>475.3</v>
      </c>
      <c r="G791" s="66" t="s">
        <v>444</v>
      </c>
      <c r="H791" s="68">
        <v>0.04</v>
      </c>
      <c r="I791" s="94">
        <f>+VLOOKUP(G791,'PRECIO PROVEEDORES'!$A$2:$B$716,2,0)</f>
        <v>9506</v>
      </c>
      <c r="J791" s="12">
        <f t="shared" si="86"/>
        <v>380.24</v>
      </c>
      <c r="L791" s="66" t="s">
        <v>500</v>
      </c>
      <c r="M791" s="68">
        <v>0.05</v>
      </c>
      <c r="N791" s="94">
        <f>+VLOOKUP(L791,'PRECIO PROVEEDORES'!$A$2:$B$716,2,0)</f>
        <v>10030</v>
      </c>
      <c r="O791" s="12">
        <f t="shared" si="87"/>
        <v>501.5</v>
      </c>
    </row>
    <row r="792" spans="2:15" ht="15.75" customHeight="1" x14ac:dyDescent="0.2">
      <c r="B792" s="71" t="s">
        <v>236</v>
      </c>
      <c r="C792" s="66">
        <v>0.05</v>
      </c>
      <c r="D792" s="94">
        <f>+VLOOKUP(B792,'PRECIO PROVEEDORES'!$A$2:$B$716,2,0)</f>
        <v>78338</v>
      </c>
      <c r="E792" s="12">
        <f t="shared" si="85"/>
        <v>3916.9</v>
      </c>
      <c r="G792" s="71" t="s">
        <v>493</v>
      </c>
      <c r="H792" s="68">
        <v>0.1</v>
      </c>
      <c r="I792" s="94">
        <f>+VLOOKUP(G792,'PRECIO PROVEEDORES'!$A$2:$B$716,2,0)</f>
        <v>12000</v>
      </c>
      <c r="J792" s="12">
        <f t="shared" si="86"/>
        <v>1200</v>
      </c>
      <c r="L792" s="71" t="s">
        <v>281</v>
      </c>
      <c r="M792" s="66">
        <v>6.5000000000000002E-2</v>
      </c>
      <c r="N792" s="94">
        <f>+VLOOKUP(L792,'PRECIO PROVEEDORES'!$A$2:$B$716,2,0)</f>
        <v>3356</v>
      </c>
      <c r="O792" s="12">
        <f t="shared" si="87"/>
        <v>218.14000000000001</v>
      </c>
    </row>
    <row r="793" spans="2:15" ht="15.75" customHeight="1" x14ac:dyDescent="0.2">
      <c r="B793" s="71" t="s">
        <v>616</v>
      </c>
      <c r="C793" s="66">
        <v>1.4999999999999999E-2</v>
      </c>
      <c r="D793" s="94">
        <f>+VLOOKUP(B793,'PRECIO PROVEEDORES'!$A$2:$B$716,2,0)</f>
        <v>93744</v>
      </c>
      <c r="E793" s="12">
        <f t="shared" si="85"/>
        <v>1406.1599999999999</v>
      </c>
      <c r="G793" s="71"/>
      <c r="H793" s="66"/>
      <c r="I793" s="69"/>
      <c r="J793" s="70"/>
      <c r="L793" s="71"/>
      <c r="M793" s="66"/>
      <c r="N793" s="69"/>
      <c r="O793" s="70"/>
    </row>
    <row r="794" spans="2:15" ht="15.75" customHeight="1" x14ac:dyDescent="0.15">
      <c r="B794" s="71"/>
      <c r="C794" s="66"/>
      <c r="D794" s="69"/>
      <c r="E794" s="70"/>
      <c r="G794" s="71"/>
      <c r="H794" s="66"/>
      <c r="I794" s="69"/>
      <c r="J794" s="70"/>
      <c r="L794" s="71"/>
      <c r="M794" s="66"/>
      <c r="N794" s="69"/>
      <c r="O794" s="70"/>
    </row>
    <row r="795" spans="2:15" ht="15.75" customHeight="1" x14ac:dyDescent="0.15">
      <c r="B795" s="64"/>
      <c r="C795" s="66"/>
      <c r="D795" s="69"/>
      <c r="E795" s="70"/>
      <c r="G795" s="64"/>
      <c r="H795" s="66"/>
      <c r="I795" s="69"/>
      <c r="J795" s="70"/>
      <c r="L795" s="64"/>
      <c r="M795" s="66"/>
      <c r="N795" s="69"/>
      <c r="O795" s="70"/>
    </row>
    <row r="796" spans="2:15" ht="15.75" customHeight="1" x14ac:dyDescent="0.15">
      <c r="B796" s="64"/>
      <c r="C796" s="66"/>
      <c r="D796" s="69"/>
      <c r="E796" s="70"/>
      <c r="G796" s="64"/>
      <c r="H796" s="66"/>
      <c r="I796" s="69"/>
      <c r="J796" s="70"/>
      <c r="L796" s="64"/>
      <c r="M796" s="66"/>
      <c r="N796" s="69"/>
      <c r="O796" s="70"/>
    </row>
    <row r="797" spans="2:15" ht="15.75" customHeight="1" x14ac:dyDescent="0.15">
      <c r="B797" s="64"/>
      <c r="C797" s="66"/>
      <c r="D797" s="69"/>
      <c r="E797" s="70"/>
      <c r="G797" s="64"/>
      <c r="H797" s="66"/>
      <c r="I797" s="69"/>
      <c r="J797" s="70"/>
      <c r="L797" s="64"/>
      <c r="M797" s="66"/>
      <c r="N797" s="69"/>
      <c r="O797" s="70"/>
    </row>
    <row r="798" spans="2:15" ht="15.75" customHeight="1" x14ac:dyDescent="0.2">
      <c r="B798" s="72" t="s">
        <v>52</v>
      </c>
      <c r="C798" s="73"/>
      <c r="D798" s="74"/>
      <c r="E798" s="95">
        <f>SUM(E783:E797)</f>
        <v>7722.3527999999997</v>
      </c>
      <c r="G798" s="72" t="s">
        <v>52</v>
      </c>
      <c r="H798" s="73"/>
      <c r="I798" s="74"/>
      <c r="J798" s="95">
        <f>SUM(J783:J797)</f>
        <v>4107.7447999999995</v>
      </c>
      <c r="L798" s="72" t="s">
        <v>52</v>
      </c>
      <c r="M798" s="73"/>
      <c r="N798" s="74"/>
      <c r="O798" s="95">
        <f>SUM(O783:O797)</f>
        <v>2643.6327999999999</v>
      </c>
    </row>
    <row r="799" spans="2:15" ht="15.75" customHeight="1" x14ac:dyDescent="0.2">
      <c r="B799" s="76" t="s">
        <v>53</v>
      </c>
      <c r="C799" s="77"/>
      <c r="D799" s="78"/>
      <c r="E799" s="96">
        <f>SUM(E798)</f>
        <v>7722.3527999999997</v>
      </c>
      <c r="G799" s="76" t="s">
        <v>53</v>
      </c>
      <c r="H799" s="77"/>
      <c r="I799" s="78"/>
      <c r="J799" s="96">
        <f>SUM(J798)</f>
        <v>4107.7447999999995</v>
      </c>
      <c r="L799" s="76" t="s">
        <v>53</v>
      </c>
      <c r="M799" s="77"/>
      <c r="N799" s="78"/>
      <c r="O799" s="96">
        <f>SUM(O798)</f>
        <v>2643.6327999999999</v>
      </c>
    </row>
    <row r="800" spans="2:15" ht="15.75" customHeight="1" x14ac:dyDescent="0.2">
      <c r="B800" s="76" t="s">
        <v>54</v>
      </c>
      <c r="C800" s="77"/>
      <c r="D800" s="78"/>
      <c r="E800" s="96">
        <f>+E799/6</f>
        <v>1287.0588</v>
      </c>
      <c r="G800" s="76" t="s">
        <v>54</v>
      </c>
      <c r="H800" s="77"/>
      <c r="I800" s="78"/>
      <c r="J800" s="96">
        <f>+J799/6</f>
        <v>684.62413333333325</v>
      </c>
      <c r="L800" s="76" t="s">
        <v>54</v>
      </c>
      <c r="M800" s="77"/>
      <c r="N800" s="78"/>
      <c r="O800" s="96">
        <f>+O799/6</f>
        <v>440.60546666666664</v>
      </c>
    </row>
    <row r="801" spans="2:15" ht="15.75" customHeight="1" x14ac:dyDescent="0.2">
      <c r="B801" s="76" t="s">
        <v>55</v>
      </c>
      <c r="C801" s="77"/>
      <c r="D801" s="80">
        <v>0.3</v>
      </c>
      <c r="E801" s="81"/>
      <c r="G801" s="76" t="s">
        <v>55</v>
      </c>
      <c r="H801" s="77"/>
      <c r="I801" s="80">
        <v>0.3</v>
      </c>
      <c r="J801" s="81"/>
      <c r="L801" s="76" t="s">
        <v>55</v>
      </c>
      <c r="M801" s="77"/>
      <c r="N801" s="80">
        <v>0.3</v>
      </c>
      <c r="O801" s="81"/>
    </row>
    <row r="802" spans="2:15" ht="15.75" customHeight="1" x14ac:dyDescent="0.2">
      <c r="B802" s="76" t="s">
        <v>56</v>
      </c>
      <c r="C802" s="77"/>
      <c r="D802" s="82"/>
      <c r="E802" s="96">
        <f>+E800*3.33333333333333</f>
        <v>4290.1959999999954</v>
      </c>
      <c r="G802" s="76" t="s">
        <v>56</v>
      </c>
      <c r="H802" s="77"/>
      <c r="I802" s="82"/>
      <c r="J802" s="96">
        <f>+J800*3.33333333333333</f>
        <v>2282.080444444442</v>
      </c>
      <c r="L802" s="76" t="s">
        <v>56</v>
      </c>
      <c r="M802" s="77"/>
      <c r="N802" s="82"/>
      <c r="O802" s="96">
        <f>+O800*3.33333333333333</f>
        <v>1468.6848888888874</v>
      </c>
    </row>
    <row r="803" spans="2:15" ht="15.75" customHeight="1" x14ac:dyDescent="0.2">
      <c r="B803" s="76" t="s">
        <v>569</v>
      </c>
      <c r="C803" s="77"/>
      <c r="D803" s="139">
        <v>3861</v>
      </c>
      <c r="E803" s="96">
        <v>220</v>
      </c>
      <c r="G803" s="76" t="s">
        <v>569</v>
      </c>
      <c r="H803" s="77"/>
      <c r="I803" s="139">
        <v>2054</v>
      </c>
      <c r="J803" s="96">
        <v>220</v>
      </c>
      <c r="L803" s="76" t="s">
        <v>569</v>
      </c>
      <c r="M803" s="77"/>
      <c r="N803" s="139">
        <v>1322</v>
      </c>
      <c r="O803" s="96">
        <v>220</v>
      </c>
    </row>
    <row r="804" spans="2:15" ht="15.75" customHeight="1" x14ac:dyDescent="0.2">
      <c r="B804" s="71"/>
      <c r="C804" s="77"/>
      <c r="D804" s="78"/>
      <c r="E804" s="95">
        <f>+E803-E802</f>
        <v>-4070.1959999999954</v>
      </c>
      <c r="G804" s="71"/>
      <c r="H804" s="77"/>
      <c r="I804" s="78"/>
      <c r="J804" s="95">
        <f>+J803-J802</f>
        <v>-2062.080444444442</v>
      </c>
      <c r="L804" s="71"/>
      <c r="M804" s="77"/>
      <c r="N804" s="78"/>
      <c r="O804" s="95">
        <f>+O803-O802</f>
        <v>-1248.6848888888874</v>
      </c>
    </row>
    <row r="805" spans="2:15" ht="15.75" customHeight="1" x14ac:dyDescent="0.2">
      <c r="B805" s="32" t="s">
        <v>58</v>
      </c>
      <c r="C805" s="83"/>
      <c r="D805" s="97"/>
      <c r="E805" s="140">
        <f>E800/E803</f>
        <v>5.8502672727272724</v>
      </c>
      <c r="G805" s="32" t="s">
        <v>58</v>
      </c>
      <c r="H805" s="83"/>
      <c r="I805" s="97"/>
      <c r="J805" s="140">
        <f>J800/J803</f>
        <v>3.1119278787878786</v>
      </c>
      <c r="L805" s="32" t="s">
        <v>58</v>
      </c>
      <c r="M805" s="83"/>
      <c r="N805" s="97"/>
      <c r="O805" s="140">
        <f>O800/O803</f>
        <v>2.0027521212121213</v>
      </c>
    </row>
    <row r="806" spans="2:15" ht="15.75" customHeight="1" x14ac:dyDescent="0.15"/>
    <row r="807" spans="2:15" ht="15.75" customHeight="1" x14ac:dyDescent="0.15"/>
    <row r="808" spans="2:15" ht="15.75" customHeight="1" x14ac:dyDescent="0.2">
      <c r="B808" s="218" t="s">
        <v>617</v>
      </c>
      <c r="C808" s="213"/>
      <c r="D808" s="213"/>
      <c r="E808" s="214"/>
      <c r="G808" s="218" t="s">
        <v>618</v>
      </c>
      <c r="H808" s="213"/>
      <c r="I808" s="213"/>
      <c r="J808" s="214"/>
      <c r="L808" s="218" t="s">
        <v>619</v>
      </c>
      <c r="M808" s="213"/>
      <c r="N808" s="213"/>
      <c r="O808" s="214"/>
    </row>
    <row r="809" spans="2:15" ht="15.75" customHeight="1" x14ac:dyDescent="0.2">
      <c r="B809" s="64"/>
      <c r="C809" s="65" t="s">
        <v>8</v>
      </c>
      <c r="D809" s="7" t="s">
        <v>9</v>
      </c>
      <c r="E809" s="8" t="s">
        <v>10</v>
      </c>
      <c r="G809" s="64"/>
      <c r="H809" s="65" t="s">
        <v>8</v>
      </c>
      <c r="I809" s="7" t="s">
        <v>9</v>
      </c>
      <c r="J809" s="8" t="s">
        <v>10</v>
      </c>
      <c r="L809" s="64"/>
      <c r="M809" s="65" t="s">
        <v>8</v>
      </c>
      <c r="N809" s="7" t="s">
        <v>9</v>
      </c>
      <c r="O809" s="8" t="s">
        <v>10</v>
      </c>
    </row>
    <row r="810" spans="2:15" ht="15.75" customHeight="1" x14ac:dyDescent="0.2">
      <c r="B810" s="13" t="s">
        <v>620</v>
      </c>
      <c r="C810" s="10">
        <v>2</v>
      </c>
      <c r="D810" s="94">
        <f>+VLOOKUP(B810,'PRECIO PROVEEDORES'!$A$2:$B$716,2,0)</f>
        <v>324.57987500000002</v>
      </c>
      <c r="E810" s="12">
        <f t="shared" ref="E810:E814" si="88">+C810*D810</f>
        <v>649.15975000000003</v>
      </c>
      <c r="G810" s="13" t="s">
        <v>621</v>
      </c>
      <c r="H810" s="10">
        <v>2</v>
      </c>
      <c r="I810" s="94">
        <f>+VLOOKUP(G810,'PRECIO PROVEEDORES'!$A$2:$B$716,2,0)</f>
        <v>331.1</v>
      </c>
      <c r="J810" s="12">
        <f t="shared" ref="J810:J814" si="89">+H810*I810</f>
        <v>662.2</v>
      </c>
      <c r="L810" s="13" t="s">
        <v>622</v>
      </c>
      <c r="M810" s="10">
        <v>2</v>
      </c>
      <c r="N810" s="94">
        <f>+VLOOKUP(L810,'PRECIO PROVEEDORES'!$A$2:$B$716,2,0)</f>
        <v>432.77316666666667</v>
      </c>
      <c r="O810" s="12">
        <f t="shared" ref="O810:O812" si="90">+M810*N810</f>
        <v>865.54633333333334</v>
      </c>
    </row>
    <row r="811" spans="2:15" ht="15.75" customHeight="1" x14ac:dyDescent="0.2">
      <c r="B811" s="13" t="s">
        <v>281</v>
      </c>
      <c r="C811" s="10">
        <v>0.08</v>
      </c>
      <c r="D811" s="94">
        <f>+VLOOKUP(B811,'PRECIO PROVEEDORES'!$A$2:$B$716,2,0)</f>
        <v>3356</v>
      </c>
      <c r="E811" s="12">
        <f t="shared" si="88"/>
        <v>268.48</v>
      </c>
      <c r="G811" s="13" t="s">
        <v>281</v>
      </c>
      <c r="H811" s="10">
        <v>0.08</v>
      </c>
      <c r="I811" s="94">
        <f>+VLOOKUP(G811,'PRECIO PROVEEDORES'!$A$2:$B$716,2,0)</f>
        <v>3356</v>
      </c>
      <c r="J811" s="12">
        <f t="shared" si="89"/>
        <v>268.48</v>
      </c>
      <c r="L811" s="13" t="s">
        <v>281</v>
      </c>
      <c r="M811" s="10">
        <v>0.1</v>
      </c>
      <c r="N811" s="94">
        <f>+VLOOKUP(L811,'PRECIO PROVEEDORES'!$A$2:$B$716,2,0)</f>
        <v>3356</v>
      </c>
      <c r="O811" s="12">
        <f t="shared" si="90"/>
        <v>335.6</v>
      </c>
    </row>
    <row r="812" spans="2:15" ht="15.75" customHeight="1" x14ac:dyDescent="0.2">
      <c r="B812" s="13" t="s">
        <v>118</v>
      </c>
      <c r="C812" s="10">
        <v>1.4999999999999999E-2</v>
      </c>
      <c r="D812" s="94">
        <f>+VLOOKUP(B812,'PRECIO PROVEEDORES'!$A$2:$B$716,2,0)</f>
        <v>5595</v>
      </c>
      <c r="E812" s="12">
        <f t="shared" si="88"/>
        <v>83.924999999999997</v>
      </c>
      <c r="G812" s="13" t="s">
        <v>616</v>
      </c>
      <c r="H812" s="10">
        <v>0.01</v>
      </c>
      <c r="I812" s="94">
        <f>+VLOOKUP(G812,'PRECIO PROVEEDORES'!$A$2:$B$716,2,0)</f>
        <v>93744</v>
      </c>
      <c r="J812" s="12">
        <f t="shared" si="89"/>
        <v>937.44</v>
      </c>
      <c r="L812" s="13" t="s">
        <v>444</v>
      </c>
      <c r="M812" s="10">
        <v>2.5000000000000001E-2</v>
      </c>
      <c r="N812" s="94">
        <f>+VLOOKUP(L812,'PRECIO PROVEEDORES'!$A$2:$B$716,2,0)</f>
        <v>9506</v>
      </c>
      <c r="O812" s="12">
        <f t="shared" si="90"/>
        <v>237.65</v>
      </c>
    </row>
    <row r="813" spans="2:15" ht="15.75" customHeight="1" x14ac:dyDescent="0.2">
      <c r="B813" s="13" t="s">
        <v>449</v>
      </c>
      <c r="C813" s="10">
        <v>1.4999999999999999E-2</v>
      </c>
      <c r="D813" s="94">
        <f>+VLOOKUP(B813,'PRECIO PROVEEDORES'!$A$2:$B$716,2,0)</f>
        <v>9056</v>
      </c>
      <c r="E813" s="12">
        <f t="shared" si="88"/>
        <v>135.84</v>
      </c>
      <c r="G813" s="13" t="s">
        <v>444</v>
      </c>
      <c r="H813" s="10">
        <v>0.02</v>
      </c>
      <c r="I813" s="94">
        <f>+VLOOKUP(G813,'PRECIO PROVEEDORES'!$A$2:$B$716,2,0)</f>
        <v>9506</v>
      </c>
      <c r="J813" s="12">
        <f t="shared" si="89"/>
        <v>190.12</v>
      </c>
      <c r="L813" s="13"/>
      <c r="M813" s="10"/>
      <c r="N813" s="94"/>
      <c r="O813" s="12"/>
    </row>
    <row r="814" spans="2:15" ht="15.75" customHeight="1" x14ac:dyDescent="0.2">
      <c r="B814" s="13" t="s">
        <v>274</v>
      </c>
      <c r="C814" s="10">
        <v>1.4999999999999999E-2</v>
      </c>
      <c r="D814" s="94">
        <f>+VLOOKUP(B814,'PRECIO PROVEEDORES'!$A$2:$B$716,2,0)</f>
        <v>5987</v>
      </c>
      <c r="E814" s="12">
        <f t="shared" si="88"/>
        <v>89.804999999999993</v>
      </c>
      <c r="G814" s="13" t="s">
        <v>236</v>
      </c>
      <c r="H814" s="10">
        <v>5.0000000000000001E-3</v>
      </c>
      <c r="I814" s="94">
        <f>+VLOOKUP(G814,'PRECIO PROVEEDORES'!$A$2:$B$716,2,0)</f>
        <v>78338</v>
      </c>
      <c r="J814" s="12">
        <f t="shared" si="89"/>
        <v>391.69</v>
      </c>
      <c r="L814" s="13"/>
      <c r="M814" s="10"/>
      <c r="N814" s="94"/>
      <c r="O814" s="12"/>
    </row>
    <row r="815" spans="2:15" ht="15.75" customHeight="1" x14ac:dyDescent="0.2">
      <c r="B815" s="13"/>
      <c r="C815" s="10"/>
      <c r="D815" s="94"/>
      <c r="E815" s="12"/>
      <c r="G815" s="13"/>
      <c r="H815" s="10"/>
      <c r="I815" s="94"/>
      <c r="J815" s="12"/>
      <c r="L815" s="13"/>
      <c r="M815" s="10"/>
      <c r="N815" s="94"/>
      <c r="O815" s="12"/>
    </row>
    <row r="816" spans="2:15" ht="15.75" customHeight="1" x14ac:dyDescent="0.2">
      <c r="B816" s="13"/>
      <c r="C816" s="10"/>
      <c r="D816" s="94"/>
      <c r="E816" s="12"/>
      <c r="G816" s="13"/>
      <c r="H816" s="10"/>
      <c r="I816" s="94"/>
      <c r="J816" s="12"/>
      <c r="L816" s="13"/>
      <c r="M816" s="10"/>
      <c r="N816" s="94"/>
      <c r="O816" s="12"/>
    </row>
    <row r="817" spans="2:15" ht="15.75" customHeight="1" x14ac:dyDescent="0.2">
      <c r="B817" s="66"/>
      <c r="C817" s="68"/>
      <c r="D817" s="94"/>
      <c r="E817" s="12"/>
      <c r="G817" s="66"/>
      <c r="H817" s="68"/>
      <c r="I817" s="94"/>
      <c r="J817" s="12"/>
      <c r="L817" s="66"/>
      <c r="M817" s="68"/>
      <c r="N817" s="94"/>
      <c r="O817" s="12"/>
    </row>
    <row r="818" spans="2:15" ht="15.75" customHeight="1" x14ac:dyDescent="0.2">
      <c r="B818" s="66"/>
      <c r="C818" s="68"/>
      <c r="D818" s="94"/>
      <c r="E818" s="12"/>
      <c r="G818" s="66"/>
      <c r="H818" s="68"/>
      <c r="I818" s="94"/>
      <c r="J818" s="12"/>
      <c r="L818" s="66"/>
      <c r="M818" s="68"/>
      <c r="N818" s="94"/>
      <c r="O818" s="12"/>
    </row>
    <row r="819" spans="2:15" ht="15.75" customHeight="1" x14ac:dyDescent="0.2">
      <c r="B819" s="71"/>
      <c r="C819" s="66"/>
      <c r="D819" s="94"/>
      <c r="E819" s="12"/>
      <c r="G819" s="71"/>
      <c r="H819" s="66"/>
      <c r="I819" s="94"/>
      <c r="J819" s="12"/>
      <c r="L819" s="71"/>
      <c r="M819" s="66"/>
      <c r="N819" s="94"/>
      <c r="O819" s="12"/>
    </row>
    <row r="820" spans="2:15" ht="15.75" customHeight="1" x14ac:dyDescent="0.15">
      <c r="B820" s="71"/>
      <c r="C820" s="66"/>
      <c r="D820" s="69"/>
      <c r="E820" s="70"/>
      <c r="G820" s="71"/>
      <c r="H820" s="66"/>
      <c r="I820" s="69"/>
      <c r="J820" s="70"/>
      <c r="L820" s="71"/>
      <c r="M820" s="66"/>
      <c r="N820" s="69"/>
      <c r="O820" s="70"/>
    </row>
    <row r="821" spans="2:15" ht="15.75" customHeight="1" x14ac:dyDescent="0.15">
      <c r="B821" s="71"/>
      <c r="C821" s="66"/>
      <c r="D821" s="69"/>
      <c r="E821" s="70"/>
      <c r="G821" s="71"/>
      <c r="H821" s="66"/>
      <c r="I821" s="69"/>
      <c r="J821" s="70"/>
      <c r="L821" s="71"/>
      <c r="M821" s="66"/>
      <c r="N821" s="69"/>
      <c r="O821" s="70"/>
    </row>
    <row r="822" spans="2:15" ht="15.75" customHeight="1" x14ac:dyDescent="0.15">
      <c r="B822" s="64"/>
      <c r="C822" s="66"/>
      <c r="D822" s="69"/>
      <c r="E822" s="70"/>
      <c r="G822" s="64"/>
      <c r="H822" s="66"/>
      <c r="I822" s="69"/>
      <c r="J822" s="70"/>
      <c r="L822" s="64"/>
      <c r="M822" s="66"/>
      <c r="N822" s="69"/>
      <c r="O822" s="70"/>
    </row>
    <row r="823" spans="2:15" ht="15.75" customHeight="1" x14ac:dyDescent="0.15">
      <c r="B823" s="64"/>
      <c r="C823" s="66"/>
      <c r="D823" s="69"/>
      <c r="E823" s="70"/>
      <c r="G823" s="64"/>
      <c r="H823" s="66"/>
      <c r="I823" s="69"/>
      <c r="J823" s="70"/>
      <c r="L823" s="64"/>
      <c r="M823" s="66"/>
      <c r="N823" s="69"/>
      <c r="O823" s="70"/>
    </row>
    <row r="824" spans="2:15" ht="15.75" customHeight="1" x14ac:dyDescent="0.15">
      <c r="B824" s="64"/>
      <c r="C824" s="66"/>
      <c r="D824" s="69"/>
      <c r="E824" s="70"/>
      <c r="G824" s="64"/>
      <c r="H824" s="66"/>
      <c r="I824" s="69"/>
      <c r="J824" s="70"/>
      <c r="L824" s="64"/>
      <c r="M824" s="66"/>
      <c r="N824" s="69"/>
      <c r="O824" s="70"/>
    </row>
    <row r="825" spans="2:15" ht="15.75" customHeight="1" x14ac:dyDescent="0.2">
      <c r="B825" s="72" t="s">
        <v>52</v>
      </c>
      <c r="C825" s="73"/>
      <c r="D825" s="74"/>
      <c r="E825" s="95">
        <f>SUM(E810:E824)</f>
        <v>1227.20975</v>
      </c>
      <c r="G825" s="72" t="s">
        <v>52</v>
      </c>
      <c r="H825" s="73"/>
      <c r="I825" s="74"/>
      <c r="J825" s="95">
        <f>SUM(J810:J824)</f>
        <v>2449.9300000000003</v>
      </c>
      <c r="L825" s="72" t="s">
        <v>52</v>
      </c>
      <c r="M825" s="73"/>
      <c r="N825" s="74"/>
      <c r="O825" s="95">
        <f>SUM(O810:O824)</f>
        <v>1438.7963333333335</v>
      </c>
    </row>
    <row r="826" spans="2:15" ht="15.75" customHeight="1" x14ac:dyDescent="0.2">
      <c r="B826" s="76" t="s">
        <v>53</v>
      </c>
      <c r="C826" s="77"/>
      <c r="D826" s="78"/>
      <c r="E826" s="96">
        <f>SUM(E825)</f>
        <v>1227.20975</v>
      </c>
      <c r="G826" s="76" t="s">
        <v>53</v>
      </c>
      <c r="H826" s="77"/>
      <c r="I826" s="78"/>
      <c r="J826" s="96">
        <f>SUM(J825)</f>
        <v>2449.9300000000003</v>
      </c>
      <c r="L826" s="76" t="s">
        <v>53</v>
      </c>
      <c r="M826" s="77"/>
      <c r="N826" s="78"/>
      <c r="O826" s="96">
        <f>SUM(O825)</f>
        <v>1438.7963333333335</v>
      </c>
    </row>
    <row r="827" spans="2:15" ht="15.75" customHeight="1" x14ac:dyDescent="0.2">
      <c r="B827" s="76" t="s">
        <v>54</v>
      </c>
      <c r="C827" s="77"/>
      <c r="D827" s="78"/>
      <c r="E827" s="96">
        <f>+E826</f>
        <v>1227.20975</v>
      </c>
      <c r="G827" s="76" t="s">
        <v>54</v>
      </c>
      <c r="H827" s="77"/>
      <c r="I827" s="78"/>
      <c r="J827" s="96">
        <f>+J826</f>
        <v>2449.9300000000003</v>
      </c>
      <c r="L827" s="76" t="s">
        <v>54</v>
      </c>
      <c r="M827" s="77"/>
      <c r="N827" s="78"/>
      <c r="O827" s="96">
        <f>+O826</f>
        <v>1438.7963333333335</v>
      </c>
    </row>
    <row r="828" spans="2:15" ht="15.75" customHeight="1" x14ac:dyDescent="0.2">
      <c r="B828" s="76" t="s">
        <v>55</v>
      </c>
      <c r="C828" s="77"/>
      <c r="D828" s="80">
        <v>0.3</v>
      </c>
      <c r="E828" s="81"/>
      <c r="G828" s="76" t="s">
        <v>55</v>
      </c>
      <c r="H828" s="77"/>
      <c r="I828" s="80">
        <v>0.3</v>
      </c>
      <c r="J828" s="81"/>
      <c r="L828" s="76" t="s">
        <v>55</v>
      </c>
      <c r="M828" s="77"/>
      <c r="N828" s="80">
        <v>0.3</v>
      </c>
      <c r="O828" s="81"/>
    </row>
    <row r="829" spans="2:15" ht="15.75" customHeight="1" x14ac:dyDescent="0.2">
      <c r="B829" s="76" t="s">
        <v>56</v>
      </c>
      <c r="C829" s="77"/>
      <c r="D829" s="82"/>
      <c r="E829" s="96">
        <f>+E827*3.33333333333333</f>
        <v>4090.6991666666622</v>
      </c>
      <c r="G829" s="76" t="s">
        <v>56</v>
      </c>
      <c r="H829" s="77"/>
      <c r="I829" s="82"/>
      <c r="J829" s="96">
        <f>+J827*3.33333333333333</f>
        <v>8166.4333333333261</v>
      </c>
      <c r="L829" s="76" t="s">
        <v>56</v>
      </c>
      <c r="M829" s="77"/>
      <c r="N829" s="82"/>
      <c r="O829" s="96">
        <f>+O827*3.33333333333333</f>
        <v>4795.9877777777729</v>
      </c>
    </row>
    <row r="830" spans="2:15" ht="15.75" customHeight="1" x14ac:dyDescent="0.2">
      <c r="B830" s="76" t="s">
        <v>569</v>
      </c>
      <c r="C830" s="77"/>
      <c r="D830" s="139">
        <v>3681</v>
      </c>
      <c r="E830" s="96">
        <v>220</v>
      </c>
      <c r="G830" s="76" t="s">
        <v>569</v>
      </c>
      <c r="H830" s="77"/>
      <c r="I830" s="139">
        <v>7350</v>
      </c>
      <c r="J830" s="96">
        <v>220</v>
      </c>
      <c r="L830" s="76" t="s">
        <v>569</v>
      </c>
      <c r="M830" s="77"/>
      <c r="N830" s="139">
        <v>4317</v>
      </c>
      <c r="O830" s="96">
        <v>220</v>
      </c>
    </row>
    <row r="831" spans="2:15" ht="15.75" customHeight="1" x14ac:dyDescent="0.2">
      <c r="B831" s="71"/>
      <c r="C831" s="77"/>
      <c r="D831" s="78"/>
      <c r="E831" s="95">
        <f>+E830-E829</f>
        <v>-3870.6991666666622</v>
      </c>
      <c r="G831" s="71"/>
      <c r="H831" s="77"/>
      <c r="I831" s="78"/>
      <c r="J831" s="95">
        <f>+J830-J829</f>
        <v>-7946.4333333333261</v>
      </c>
      <c r="L831" s="71"/>
      <c r="M831" s="77"/>
      <c r="N831" s="78"/>
      <c r="O831" s="95">
        <f>+O830-O829</f>
        <v>-4575.9877777777729</v>
      </c>
    </row>
    <row r="832" spans="2:15" ht="15.75" customHeight="1" x14ac:dyDescent="0.2">
      <c r="B832" s="32" t="s">
        <v>58</v>
      </c>
      <c r="C832" s="83"/>
      <c r="D832" s="97"/>
      <c r="E832" s="140">
        <f>E827/E830</f>
        <v>5.5782261363636367</v>
      </c>
      <c r="G832" s="32" t="s">
        <v>58</v>
      </c>
      <c r="H832" s="83"/>
      <c r="I832" s="97"/>
      <c r="J832" s="140">
        <f>J827/J830</f>
        <v>11.136045454545457</v>
      </c>
      <c r="L832" s="32" t="s">
        <v>58</v>
      </c>
      <c r="M832" s="83"/>
      <c r="N832" s="97"/>
      <c r="O832" s="140">
        <f>O827/O830</f>
        <v>6.5399833333333337</v>
      </c>
    </row>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sheetData>
  <mergeCells count="103">
    <mergeCell ref="B565:E565"/>
    <mergeCell ref="G565:J565"/>
    <mergeCell ref="L566:O566"/>
    <mergeCell ref="Q566:T566"/>
    <mergeCell ref="B592:E592"/>
    <mergeCell ref="G592:J592"/>
    <mergeCell ref="L592:O592"/>
    <mergeCell ref="G538:J538"/>
    <mergeCell ref="L538:O538"/>
    <mergeCell ref="B481:E481"/>
    <mergeCell ref="G481:J481"/>
    <mergeCell ref="L481:O481"/>
    <mergeCell ref="B510:E510"/>
    <mergeCell ref="G510:J510"/>
    <mergeCell ref="L510:O510"/>
    <mergeCell ref="B538:E538"/>
    <mergeCell ref="G452:J452"/>
    <mergeCell ref="L452:O452"/>
    <mergeCell ref="B398:E398"/>
    <mergeCell ref="G398:J398"/>
    <mergeCell ref="L398:O398"/>
    <mergeCell ref="B425:E425"/>
    <mergeCell ref="G425:J425"/>
    <mergeCell ref="L425:O425"/>
    <mergeCell ref="B452:E452"/>
    <mergeCell ref="G754:J754"/>
    <mergeCell ref="L754:O754"/>
    <mergeCell ref="B781:E781"/>
    <mergeCell ref="G781:J781"/>
    <mergeCell ref="L781:O781"/>
    <mergeCell ref="B808:E808"/>
    <mergeCell ref="G808:J808"/>
    <mergeCell ref="L808:O808"/>
    <mergeCell ref="B700:E700"/>
    <mergeCell ref="G700:J700"/>
    <mergeCell ref="L700:O700"/>
    <mergeCell ref="B727:E727"/>
    <mergeCell ref="G727:J727"/>
    <mergeCell ref="L727:O727"/>
    <mergeCell ref="B754:E754"/>
    <mergeCell ref="G673:J673"/>
    <mergeCell ref="L673:O673"/>
    <mergeCell ref="B619:E619"/>
    <mergeCell ref="G619:J619"/>
    <mergeCell ref="L619:O619"/>
    <mergeCell ref="B646:E646"/>
    <mergeCell ref="G646:J646"/>
    <mergeCell ref="L646:O646"/>
    <mergeCell ref="B673:E673"/>
    <mergeCell ref="B222:E222"/>
    <mergeCell ref="G222:J222"/>
    <mergeCell ref="L222:O222"/>
    <mergeCell ref="B249:E249"/>
    <mergeCell ref="G249:J249"/>
    <mergeCell ref="L249:O249"/>
    <mergeCell ref="B367:E367"/>
    <mergeCell ref="G367:J367"/>
    <mergeCell ref="L367:O367"/>
    <mergeCell ref="G336:J336"/>
    <mergeCell ref="L336:O336"/>
    <mergeCell ref="B278:E278"/>
    <mergeCell ref="G278:J278"/>
    <mergeCell ref="L278:O278"/>
    <mergeCell ref="B305:E305"/>
    <mergeCell ref="G305:J305"/>
    <mergeCell ref="L305:O305"/>
    <mergeCell ref="B336:E336"/>
    <mergeCell ref="B141:E141"/>
    <mergeCell ref="G141:J141"/>
    <mergeCell ref="L141:O141"/>
    <mergeCell ref="B168:E168"/>
    <mergeCell ref="G168:J168"/>
    <mergeCell ref="L168:O168"/>
    <mergeCell ref="G195:J195"/>
    <mergeCell ref="L195:O195"/>
    <mergeCell ref="B195:E195"/>
    <mergeCell ref="B85:E85"/>
    <mergeCell ref="G85:J85"/>
    <mergeCell ref="L85:O85"/>
    <mergeCell ref="Q88:T88"/>
    <mergeCell ref="V88:Y88"/>
    <mergeCell ref="AA88:AD88"/>
    <mergeCell ref="B112:E112"/>
    <mergeCell ref="G112:J112"/>
    <mergeCell ref="L112:O112"/>
    <mergeCell ref="Q30:T30"/>
    <mergeCell ref="V30:Y30"/>
    <mergeCell ref="AA30:AD30"/>
    <mergeCell ref="B56:E56"/>
    <mergeCell ref="G56:J56"/>
    <mergeCell ref="L56:O56"/>
    <mergeCell ref="Q58:T58"/>
    <mergeCell ref="V58:Y58"/>
    <mergeCell ref="AA58:AD58"/>
    <mergeCell ref="B2:E2"/>
    <mergeCell ref="G2:J2"/>
    <mergeCell ref="L2:O2"/>
    <mergeCell ref="Q2:T2"/>
    <mergeCell ref="V2:Y2"/>
    <mergeCell ref="AA2:AD2"/>
    <mergeCell ref="B29:E29"/>
    <mergeCell ref="G29:J29"/>
    <mergeCell ref="L29:O29"/>
  </mergeCells>
  <conditionalFormatting sqref="E26 J26 O26 E53 J53 O53 E82 J82 O82 E109 J109 O109 E138 J138 O138 E165 J165 O165 E192 J192 O192 E219 J219 O219 E246 J246 O246 E275 J275 O275 E302 J302 O302 E333 J333 O333 J360 E364 O364 J391 O391 E395 E422 J422 O422 E449 J449 O449 E476 J478 O478 J505 O505 E507 E534 J534 O534 E562 J562 O562 E589 J589 O590 T590 E616 J616 O616 E643 J643 O643 E670 J670 O670 E697 J697 O697 E724 J724 E751 J751 O751 E778 J778 O778">
    <cfRule type="cellIs" dxfId="6" priority="1" operator="lessThanOrEqual">
      <formula>"25%"</formula>
    </cfRule>
    <cfRule type="cellIs" dxfId="5" priority="2" operator="between">
      <formula>"25%"</formula>
      <formula>"30%"</formula>
    </cfRule>
    <cfRule type="cellIs" dxfId="4" priority="3" operator="greaterThanOrEqual">
      <formula>"30%"</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'PRECIO PROVEEDORES'!$A$3:$A$543</xm:f>
          </x14:formula1>
          <xm:sqref>B4:B18 G4:G18 L4:L18 B31:B45 G31:G45 L31:L45 B58:B74 G58:G74 L58:L74 B87:B101 G87:G101 L87:L101 B114:B130 G114:G130 L114:L130 B143:B157 G143:G157 L143:L157 B170:B184 G170:G184 L170:L184 B197:B211 G197:G211 L197:L211 B224:B238 G224:G238 L224:L238 B251:B267 G251:G267 L251:L267 B280:B294 G280:G294 L280:L294 B307:B325 G307:G325 L307:L325 G338:G352 B338:B356 L338:L356 G369:G383 L369:L383 B369:B387 B400:B414 G400:G414 L400:L414 B427:B441 G427:G441 L427:L441 G454:G459 B454:B468 L454:L470 G483:G497 L483:L497 B483:B499 B512:B526 G512:G526 L512:L526 B540:B554 G540:G554 L540:L554 B567:B581 G567:G581 L568:L582 Q568:Q582 B594:B608 G594:G608 L594:L608 B621:B635 G621:G635 L621:L635 B648:B662 G648:G662 L648:L662 B675:B689 G675:G689 L675:L689 B702:B716 G702:G716 L702:L716 B729:B743 G729:G743 L729:L743 B756:B770 G756:G770 L756:L770 B783:B797 G783:G797 L783:L797 B810:B824 G810:G824 L810:L824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56854"/>
    <outlinePr summaryBelow="0" summaryRight="0"/>
  </sheetPr>
  <dimension ref="B2:I76"/>
  <sheetViews>
    <sheetView showGridLines="0" tabSelected="1" workbookViewId="0"/>
  </sheetViews>
  <sheetFormatPr baseColWidth="10" defaultColWidth="12.6640625" defaultRowHeight="15" customHeight="1" x14ac:dyDescent="0.15"/>
  <cols>
    <col min="1" max="1" width="2.6640625" customWidth="1"/>
    <col min="2" max="2" width="40.1640625" customWidth="1"/>
    <col min="3" max="3" width="24" customWidth="1"/>
    <col min="4" max="4" width="17.1640625" customWidth="1"/>
    <col min="5" max="5" width="24.33203125" customWidth="1"/>
    <col min="6" max="6" width="25.33203125" customWidth="1"/>
    <col min="7" max="7" width="6.33203125" customWidth="1"/>
    <col min="8" max="8" width="22.1640625" customWidth="1"/>
  </cols>
  <sheetData>
    <row r="2" spans="2:9" ht="22.5" customHeight="1" x14ac:dyDescent="0.15">
      <c r="B2" s="141" t="s">
        <v>623</v>
      </c>
      <c r="C2" s="141" t="s">
        <v>624</v>
      </c>
      <c r="D2" s="141" t="s">
        <v>625</v>
      </c>
      <c r="E2" s="141" t="s">
        <v>626</v>
      </c>
      <c r="F2" s="141" t="s">
        <v>627</v>
      </c>
      <c r="H2" s="226" t="s">
        <v>628</v>
      </c>
      <c r="I2" s="227"/>
    </row>
    <row r="3" spans="2:9" ht="22.5" customHeight="1" x14ac:dyDescent="0.15">
      <c r="C3" s="142"/>
      <c r="E3" s="143"/>
      <c r="F3" s="144"/>
      <c r="H3" s="145" t="s">
        <v>629</v>
      </c>
      <c r="I3" s="146"/>
    </row>
    <row r="4" spans="2:9" ht="22.5" customHeight="1" x14ac:dyDescent="0.15">
      <c r="B4" s="147" t="s">
        <v>232</v>
      </c>
      <c r="C4" s="142">
        <f>'PASTELERIA CP'!D24</f>
        <v>2286</v>
      </c>
      <c r="D4" s="142"/>
      <c r="E4" s="148">
        <v>5100</v>
      </c>
      <c r="F4" s="149">
        <f t="shared" ref="F4:F76" si="0">((E4-C4)/E4)*1</f>
        <v>0.55176470588235293</v>
      </c>
      <c r="H4" s="145" t="s">
        <v>630</v>
      </c>
      <c r="I4" s="150"/>
    </row>
    <row r="5" spans="2:9" ht="22.5" customHeight="1" x14ac:dyDescent="0.15">
      <c r="B5" s="147" t="s">
        <v>631</v>
      </c>
      <c r="C5" s="142">
        <f>'PASTELERIA CP'!E641</f>
        <v>3429</v>
      </c>
      <c r="D5" s="142"/>
      <c r="E5" s="148">
        <v>6500</v>
      </c>
      <c r="F5" s="149">
        <f t="shared" si="0"/>
        <v>0.47246153846153849</v>
      </c>
      <c r="H5" s="145" t="s">
        <v>632</v>
      </c>
      <c r="I5" s="151"/>
    </row>
    <row r="6" spans="2:9" ht="22.5" customHeight="1" x14ac:dyDescent="0.15">
      <c r="B6" s="147" t="s">
        <v>234</v>
      </c>
      <c r="C6" s="142">
        <f>'PASTELERIA CP'!N24</f>
        <v>1350</v>
      </c>
      <c r="D6" s="142"/>
      <c r="E6" s="148">
        <v>3100</v>
      </c>
      <c r="F6" s="149">
        <f t="shared" si="0"/>
        <v>0.56451612903225812</v>
      </c>
      <c r="H6" s="152" t="s">
        <v>633</v>
      </c>
      <c r="I6" s="153"/>
    </row>
    <row r="7" spans="2:9" ht="22.5" customHeight="1" x14ac:dyDescent="0.15">
      <c r="B7" s="147" t="s">
        <v>251</v>
      </c>
      <c r="C7" s="142">
        <f>'PASTELERIA PARA TUESTE'!E51</f>
        <v>1307</v>
      </c>
      <c r="D7" s="142"/>
      <c r="E7" s="148">
        <v>4800</v>
      </c>
      <c r="F7" s="149">
        <f t="shared" si="0"/>
        <v>0.72770833333333329</v>
      </c>
      <c r="H7" s="141"/>
    </row>
    <row r="8" spans="2:9" ht="22.5" customHeight="1" x14ac:dyDescent="0.15">
      <c r="B8" s="147" t="s">
        <v>252</v>
      </c>
      <c r="C8" s="142">
        <f>'PASTELERIA CP'!I51</f>
        <v>2070</v>
      </c>
      <c r="D8" s="142"/>
      <c r="E8" s="148">
        <v>5000</v>
      </c>
      <c r="F8" s="149">
        <f t="shared" si="0"/>
        <v>0.58599999999999997</v>
      </c>
    </row>
    <row r="9" spans="2:9" ht="22.5" customHeight="1" x14ac:dyDescent="0.15">
      <c r="B9" s="147" t="s">
        <v>253</v>
      </c>
      <c r="C9" s="142">
        <f>'PASTELERIA CP'!N51</f>
        <v>7148</v>
      </c>
      <c r="D9" s="142"/>
      <c r="E9" s="148">
        <v>12500</v>
      </c>
      <c r="F9" s="149">
        <f t="shared" si="0"/>
        <v>0.42815999999999999</v>
      </c>
    </row>
    <row r="10" spans="2:9" ht="22.5" customHeight="1" x14ac:dyDescent="0.15">
      <c r="B10" s="147" t="s">
        <v>634</v>
      </c>
      <c r="C10" s="142">
        <f>'PASTELERIA CP'!N476</f>
        <v>2473</v>
      </c>
      <c r="D10" s="142"/>
      <c r="E10" s="148">
        <v>5100</v>
      </c>
      <c r="F10" s="149">
        <f t="shared" si="0"/>
        <v>0.51509803921568631</v>
      </c>
    </row>
    <row r="11" spans="2:9" ht="22.5" customHeight="1" x14ac:dyDescent="0.15">
      <c r="B11" s="147" t="s">
        <v>635</v>
      </c>
      <c r="C11" s="142">
        <f>'PASTELERIA CP'!I641</f>
        <v>4329</v>
      </c>
      <c r="D11" s="142"/>
      <c r="E11" s="148">
        <v>7500</v>
      </c>
      <c r="F11" s="149">
        <f t="shared" si="0"/>
        <v>0.42280000000000001</v>
      </c>
    </row>
    <row r="12" spans="2:9" ht="22.5" customHeight="1" x14ac:dyDescent="0.15">
      <c r="B12" s="147" t="s">
        <v>262</v>
      </c>
      <c r="C12" s="142">
        <f>'PASTELERIA PARA TUESTE'!O80</f>
        <v>4600</v>
      </c>
      <c r="D12" s="142"/>
      <c r="E12" s="148"/>
      <c r="F12" s="149" t="e">
        <f t="shared" si="0"/>
        <v>#DIV/0!</v>
      </c>
    </row>
    <row r="13" spans="2:9" ht="22.5" customHeight="1" x14ac:dyDescent="0.15">
      <c r="B13" s="147" t="s">
        <v>276</v>
      </c>
      <c r="C13" s="142">
        <f>'PASTELERIA PARA TUESTE'!E107</f>
        <v>2565</v>
      </c>
      <c r="D13" s="142"/>
      <c r="E13" s="148"/>
      <c r="F13" s="149" t="e">
        <f t="shared" si="0"/>
        <v>#DIV/0!</v>
      </c>
    </row>
    <row r="14" spans="2:9" ht="22.5" customHeight="1" x14ac:dyDescent="0.15">
      <c r="B14" s="147" t="s">
        <v>544</v>
      </c>
      <c r="C14" s="142">
        <f>'PASTELERIA CP'!O641</f>
        <v>1314.625</v>
      </c>
      <c r="D14" s="142"/>
      <c r="E14" s="148">
        <v>4800</v>
      </c>
      <c r="F14" s="149">
        <f t="shared" si="0"/>
        <v>0.72611979166666663</v>
      </c>
    </row>
    <row r="15" spans="2:9" ht="22.5" customHeight="1" x14ac:dyDescent="0.15">
      <c r="B15" s="147" t="s">
        <v>278</v>
      </c>
      <c r="C15" s="142">
        <f>'PASTELERIA CP'!E331</f>
        <v>8141.25</v>
      </c>
      <c r="D15" s="142"/>
      <c r="E15" s="148">
        <v>15000</v>
      </c>
      <c r="F15" s="149">
        <f t="shared" si="0"/>
        <v>0.45724999999999999</v>
      </c>
    </row>
    <row r="16" spans="2:9" ht="22.5" customHeight="1" x14ac:dyDescent="0.15">
      <c r="B16" s="147" t="s">
        <v>284</v>
      </c>
      <c r="C16" s="142">
        <f>'PASTELERIA CP'!D136</f>
        <v>2711.25</v>
      </c>
      <c r="D16" s="142"/>
      <c r="E16" s="148">
        <v>10000</v>
      </c>
      <c r="F16" s="149">
        <f t="shared" si="0"/>
        <v>0.72887500000000005</v>
      </c>
    </row>
    <row r="17" spans="2:6" ht="22.5" customHeight="1" x14ac:dyDescent="0.15">
      <c r="B17" s="147" t="s">
        <v>285</v>
      </c>
      <c r="C17" s="142">
        <f>'PASTELERIA CP'!I136</f>
        <v>5224.25</v>
      </c>
      <c r="D17" s="142"/>
      <c r="E17" s="148">
        <v>11500</v>
      </c>
      <c r="F17" s="149">
        <f t="shared" si="0"/>
        <v>0.54571739130434782</v>
      </c>
    </row>
    <row r="18" spans="2:6" ht="22.5" customHeight="1" x14ac:dyDescent="0.15">
      <c r="B18" s="147" t="s">
        <v>286</v>
      </c>
      <c r="C18" s="142">
        <f>'PASTELERIA CP'!N136</f>
        <v>3279.6666666666665</v>
      </c>
      <c r="D18" s="142"/>
      <c r="E18" s="148">
        <v>6500</v>
      </c>
      <c r="F18" s="149">
        <f t="shared" si="0"/>
        <v>0.49543589743589744</v>
      </c>
    </row>
    <row r="19" spans="2:6" ht="22.5" customHeight="1" x14ac:dyDescent="0.15">
      <c r="B19" s="147" t="s">
        <v>296</v>
      </c>
      <c r="C19" s="142">
        <f>'PASTELERIA CP'!D163</f>
        <v>1989</v>
      </c>
      <c r="D19" s="142"/>
      <c r="E19" s="148">
        <v>6500</v>
      </c>
      <c r="F19" s="149">
        <f t="shared" si="0"/>
        <v>0.69399999999999995</v>
      </c>
    </row>
    <row r="20" spans="2:6" ht="22.5" customHeight="1" x14ac:dyDescent="0.15">
      <c r="B20" s="147" t="s">
        <v>636</v>
      </c>
      <c r="C20" s="142">
        <f>'PASTELERIA CP'!D668</f>
        <v>2776</v>
      </c>
      <c r="D20" s="142"/>
      <c r="E20" s="148">
        <v>5500</v>
      </c>
      <c r="F20" s="149">
        <f t="shared" si="0"/>
        <v>0.49527272727272725</v>
      </c>
    </row>
    <row r="21" spans="2:6" ht="22.5" customHeight="1" x14ac:dyDescent="0.15">
      <c r="B21" s="147" t="s">
        <v>585</v>
      </c>
      <c r="C21" s="142">
        <f>'PASTELERIA CP'!S588</f>
        <v>6595.25</v>
      </c>
      <c r="D21" s="142"/>
      <c r="E21" s="148">
        <v>14000</v>
      </c>
      <c r="F21" s="149">
        <f t="shared" si="0"/>
        <v>0.52891071428571423</v>
      </c>
    </row>
    <row r="22" spans="2:6" ht="22.5" customHeight="1" x14ac:dyDescent="0.15">
      <c r="B22" s="147" t="s">
        <v>302</v>
      </c>
      <c r="C22" s="142">
        <f>'PASTELERIA PARA TUESTE'!E190</f>
        <v>88393</v>
      </c>
      <c r="D22" s="142"/>
      <c r="E22" s="148"/>
      <c r="F22" s="149" t="e">
        <f t="shared" si="0"/>
        <v>#DIV/0!</v>
      </c>
    </row>
    <row r="23" spans="2:6" ht="22.5" customHeight="1" x14ac:dyDescent="0.15">
      <c r="B23" s="147" t="s">
        <v>303</v>
      </c>
      <c r="C23" s="142">
        <f>'PASTELERIA CP'!I163</f>
        <v>2401</v>
      </c>
      <c r="D23" s="142"/>
      <c r="E23" s="148">
        <v>5600</v>
      </c>
      <c r="F23" s="149">
        <f t="shared" si="0"/>
        <v>0.57125000000000004</v>
      </c>
    </row>
    <row r="24" spans="2:6" ht="22.5" customHeight="1" x14ac:dyDescent="0.15">
      <c r="B24" s="147" t="s">
        <v>514</v>
      </c>
      <c r="C24" s="142">
        <f>'PASTELERIA CP'!I190</f>
        <v>2011</v>
      </c>
      <c r="D24" s="142"/>
      <c r="E24" s="148">
        <v>3600</v>
      </c>
      <c r="F24" s="149">
        <f t="shared" si="0"/>
        <v>0.44138888888888889</v>
      </c>
    </row>
    <row r="25" spans="2:6" ht="22.5" customHeight="1" x14ac:dyDescent="0.15">
      <c r="B25" s="147" t="s">
        <v>519</v>
      </c>
      <c r="C25" s="142">
        <f>'PASTELERIA CP'!N217</f>
        <v>1545</v>
      </c>
      <c r="D25" s="142"/>
      <c r="E25" s="148">
        <v>3600</v>
      </c>
      <c r="F25" s="149">
        <f t="shared" si="0"/>
        <v>0.5708333333333333</v>
      </c>
    </row>
    <row r="26" spans="2:6" ht="22.5" customHeight="1" x14ac:dyDescent="0.15">
      <c r="B26" s="147" t="s">
        <v>309</v>
      </c>
      <c r="C26" s="142">
        <f>'PASTELERIA PARA TUESTE'!I218</f>
        <v>2434.4444444444443</v>
      </c>
      <c r="D26" s="142"/>
      <c r="E26" s="148">
        <v>6500</v>
      </c>
      <c r="F26" s="149">
        <f t="shared" si="0"/>
        <v>0.62547008547008554</v>
      </c>
    </row>
    <row r="27" spans="2:6" ht="22.5" customHeight="1" x14ac:dyDescent="0.15">
      <c r="B27" s="147" t="s">
        <v>310</v>
      </c>
      <c r="C27" s="142">
        <f>'PASTELERIA PARA TUESTE'!N218</f>
        <v>3390</v>
      </c>
      <c r="D27" s="142"/>
      <c r="E27" s="148">
        <v>7000</v>
      </c>
      <c r="F27" s="149">
        <f t="shared" si="0"/>
        <v>0.51571428571428568</v>
      </c>
    </row>
    <row r="28" spans="2:6" ht="22.5" customHeight="1" x14ac:dyDescent="0.15">
      <c r="B28" s="147" t="s">
        <v>540</v>
      </c>
      <c r="C28" s="142">
        <f>'PASTELERIA CP'!N331</f>
        <v>6515.25</v>
      </c>
      <c r="D28" s="142"/>
      <c r="E28" s="148">
        <v>13000</v>
      </c>
      <c r="F28" s="149">
        <f t="shared" si="0"/>
        <v>0.49882692307692306</v>
      </c>
    </row>
    <row r="29" spans="2:6" ht="22.5" customHeight="1" x14ac:dyDescent="0.15">
      <c r="B29" s="147" t="s">
        <v>539</v>
      </c>
      <c r="C29" s="142">
        <f>'PASTELERIA CP'!I331</f>
        <v>6902.75</v>
      </c>
      <c r="D29" s="142"/>
      <c r="E29" s="148">
        <v>13500</v>
      </c>
      <c r="F29" s="149">
        <f t="shared" si="0"/>
        <v>0.48868518518518517</v>
      </c>
    </row>
    <row r="30" spans="2:6" ht="22.5" customHeight="1" x14ac:dyDescent="0.15">
      <c r="B30" s="147" t="s">
        <v>583</v>
      </c>
      <c r="C30" s="142">
        <f>'PASTELERIA CP'!I587</f>
        <v>2299</v>
      </c>
      <c r="D30" s="142"/>
      <c r="E30" s="148">
        <v>5000</v>
      </c>
      <c r="F30" s="149">
        <f t="shared" si="0"/>
        <v>0.54020000000000001</v>
      </c>
    </row>
    <row r="31" spans="2:6" ht="22.5" customHeight="1" x14ac:dyDescent="0.15">
      <c r="B31" s="147" t="s">
        <v>637</v>
      </c>
      <c r="C31" s="142">
        <v>3803.91</v>
      </c>
      <c r="D31" s="142"/>
      <c r="E31" s="148">
        <v>6800</v>
      </c>
      <c r="F31" s="149">
        <f t="shared" si="0"/>
        <v>0.44060147058823529</v>
      </c>
    </row>
    <row r="32" spans="2:6" ht="22.5" customHeight="1" x14ac:dyDescent="0.15">
      <c r="B32" s="147" t="s">
        <v>638</v>
      </c>
      <c r="C32" s="142">
        <v>3000</v>
      </c>
      <c r="D32" s="142"/>
      <c r="E32" s="148">
        <v>6300</v>
      </c>
      <c r="F32" s="149">
        <f t="shared" si="0"/>
        <v>0.52380952380952384</v>
      </c>
    </row>
    <row r="33" spans="2:6" ht="22.5" customHeight="1" x14ac:dyDescent="0.15">
      <c r="B33" s="147" t="s">
        <v>639</v>
      </c>
      <c r="C33" s="142">
        <v>4180</v>
      </c>
      <c r="D33" s="142"/>
      <c r="E33" s="148">
        <v>6600</v>
      </c>
      <c r="F33" s="149">
        <f t="shared" si="0"/>
        <v>0.36666666666666664</v>
      </c>
    </row>
    <row r="34" spans="2:6" ht="22.5" customHeight="1" x14ac:dyDescent="0.15">
      <c r="B34" s="147" t="s">
        <v>640</v>
      </c>
      <c r="C34" s="142">
        <v>622.22</v>
      </c>
      <c r="D34" s="142"/>
      <c r="E34" s="148">
        <v>2500</v>
      </c>
      <c r="F34" s="149">
        <f t="shared" si="0"/>
        <v>0.751112</v>
      </c>
    </row>
    <row r="35" spans="2:6" ht="22.5" customHeight="1" x14ac:dyDescent="0.15">
      <c r="B35" s="147" t="s">
        <v>160</v>
      </c>
      <c r="C35" s="142">
        <v>1083</v>
      </c>
      <c r="D35" s="142"/>
      <c r="E35" s="148">
        <v>3800</v>
      </c>
      <c r="F35" s="149">
        <f t="shared" si="0"/>
        <v>0.71499999999999997</v>
      </c>
    </row>
    <row r="36" spans="2:6" ht="22.5" customHeight="1" x14ac:dyDescent="0.15">
      <c r="B36" s="147" t="s">
        <v>641</v>
      </c>
      <c r="C36" s="142">
        <v>3708</v>
      </c>
      <c r="D36" s="142"/>
      <c r="E36" s="148">
        <v>6500</v>
      </c>
      <c r="F36" s="149">
        <f t="shared" si="0"/>
        <v>0.42953846153846154</v>
      </c>
    </row>
    <row r="37" spans="2:6" ht="22.5" customHeight="1" x14ac:dyDescent="0.15">
      <c r="B37" s="147" t="s">
        <v>605</v>
      </c>
      <c r="C37" s="142">
        <f>'PASTELERIA CP'!N722</f>
        <v>9347</v>
      </c>
      <c r="D37" s="142"/>
      <c r="E37" s="148">
        <v>17000</v>
      </c>
      <c r="F37" s="149">
        <f t="shared" si="0"/>
        <v>0.45017647058823529</v>
      </c>
    </row>
    <row r="38" spans="2:6" ht="22.5" customHeight="1" x14ac:dyDescent="0.15">
      <c r="B38" s="147" t="s">
        <v>607</v>
      </c>
      <c r="C38" s="142">
        <f>'PASTELERIA CP'!J749</f>
        <v>1602</v>
      </c>
      <c r="D38" s="142"/>
      <c r="E38" s="148">
        <v>3200</v>
      </c>
      <c r="F38" s="149">
        <f t="shared" si="0"/>
        <v>0.49937500000000001</v>
      </c>
    </row>
    <row r="39" spans="2:6" ht="22.5" customHeight="1" x14ac:dyDescent="0.15">
      <c r="B39" s="147" t="s">
        <v>606</v>
      </c>
      <c r="C39" s="142">
        <f>'PASTELERIA CP'!E749</f>
        <v>1710</v>
      </c>
      <c r="D39" s="142"/>
      <c r="E39" s="148">
        <v>3200</v>
      </c>
      <c r="F39" s="149">
        <f t="shared" si="0"/>
        <v>0.46562500000000001</v>
      </c>
    </row>
    <row r="40" spans="2:6" ht="22.5" customHeight="1" x14ac:dyDescent="0.15">
      <c r="B40" s="147" t="s">
        <v>642</v>
      </c>
      <c r="C40" s="142">
        <f>'PASTELERIA CP'!N588</f>
        <v>2113</v>
      </c>
      <c r="D40" s="142"/>
      <c r="E40" s="148">
        <v>5800</v>
      </c>
      <c r="F40" s="149">
        <f t="shared" si="0"/>
        <v>0.63568965517241383</v>
      </c>
    </row>
    <row r="41" spans="2:6" ht="22.5" customHeight="1" x14ac:dyDescent="0.15">
      <c r="B41" s="147" t="s">
        <v>643</v>
      </c>
      <c r="C41" s="142">
        <f>'PASTELERIA CP'!D776</f>
        <v>2323</v>
      </c>
      <c r="D41" s="142"/>
      <c r="E41" s="148">
        <v>5600</v>
      </c>
      <c r="F41" s="149">
        <f t="shared" si="0"/>
        <v>0.58517857142857144</v>
      </c>
    </row>
    <row r="42" spans="2:6" ht="22.5" customHeight="1" x14ac:dyDescent="0.15">
      <c r="B42" s="147" t="s">
        <v>644</v>
      </c>
      <c r="C42" s="142">
        <v>1400</v>
      </c>
      <c r="D42" s="142"/>
      <c r="E42" s="148">
        <v>4000</v>
      </c>
      <c r="F42" s="149">
        <f t="shared" si="0"/>
        <v>0.65</v>
      </c>
    </row>
    <row r="43" spans="2:6" ht="22.5" customHeight="1" x14ac:dyDescent="0.15">
      <c r="B43" s="147" t="s">
        <v>645</v>
      </c>
      <c r="C43" s="142">
        <f>'PASTELERIA CP'!I776</f>
        <v>3213.5555555555557</v>
      </c>
      <c r="D43" s="142"/>
      <c r="E43" s="148">
        <v>6500</v>
      </c>
      <c r="F43" s="149">
        <f t="shared" si="0"/>
        <v>0.50560683760683756</v>
      </c>
    </row>
    <row r="44" spans="2:6" ht="22.5" customHeight="1" x14ac:dyDescent="0.15">
      <c r="B44" s="147" t="s">
        <v>646</v>
      </c>
      <c r="C44" s="142">
        <f>'PASTELERIA CP'!N776</f>
        <v>1775</v>
      </c>
      <c r="D44" s="142"/>
      <c r="E44" s="148">
        <v>5000</v>
      </c>
      <c r="F44" s="149">
        <f t="shared" si="0"/>
        <v>0.64500000000000002</v>
      </c>
    </row>
    <row r="45" spans="2:6" ht="22.5" customHeight="1" x14ac:dyDescent="0.15">
      <c r="B45" s="147" t="s">
        <v>647</v>
      </c>
      <c r="C45" s="142">
        <f>'PASTELERIA CP'!D803</f>
        <v>3861</v>
      </c>
      <c r="D45" s="142"/>
      <c r="E45" s="148">
        <v>6600</v>
      </c>
      <c r="F45" s="149">
        <f t="shared" si="0"/>
        <v>0.41499999999999998</v>
      </c>
    </row>
    <row r="46" spans="2:6" ht="22.5" customHeight="1" x14ac:dyDescent="0.15">
      <c r="B46" s="147" t="s">
        <v>648</v>
      </c>
      <c r="C46" s="142">
        <f>'PASTELERIA CP'!I803</f>
        <v>2054</v>
      </c>
      <c r="D46" s="142"/>
      <c r="E46" s="148">
        <v>5500</v>
      </c>
      <c r="F46" s="149">
        <f t="shared" si="0"/>
        <v>0.62654545454545452</v>
      </c>
    </row>
    <row r="47" spans="2:6" ht="22.5" customHeight="1" x14ac:dyDescent="0.15">
      <c r="B47" s="147" t="s">
        <v>649</v>
      </c>
      <c r="C47" s="142">
        <f>'PASTELERIA CP'!N803</f>
        <v>1322</v>
      </c>
      <c r="D47" s="142"/>
      <c r="E47" s="148">
        <v>4800</v>
      </c>
      <c r="F47" s="149">
        <f t="shared" si="0"/>
        <v>0.72458333333333336</v>
      </c>
    </row>
    <row r="48" spans="2:6" ht="22.5" customHeight="1" x14ac:dyDescent="0.15">
      <c r="B48" s="147" t="s">
        <v>650</v>
      </c>
      <c r="C48" s="142">
        <f>'PASTELERIA CP'!D830</f>
        <v>3681</v>
      </c>
      <c r="D48" s="142"/>
      <c r="E48" s="148">
        <v>6600</v>
      </c>
      <c r="F48" s="149">
        <f t="shared" si="0"/>
        <v>0.44227272727272726</v>
      </c>
    </row>
    <row r="49" spans="2:6" ht="22.5" customHeight="1" x14ac:dyDescent="0.15">
      <c r="B49" s="147" t="s">
        <v>618</v>
      </c>
      <c r="C49" s="142">
        <f>'PASTELERIA CP'!I830</f>
        <v>7350</v>
      </c>
      <c r="D49" s="142"/>
      <c r="E49" s="148">
        <v>10000</v>
      </c>
      <c r="F49" s="149">
        <f t="shared" si="0"/>
        <v>0.26500000000000001</v>
      </c>
    </row>
    <row r="50" spans="2:6" ht="22.5" customHeight="1" x14ac:dyDescent="0.15">
      <c r="B50" s="147" t="s">
        <v>619</v>
      </c>
      <c r="C50" s="142">
        <f>'PASTELERIA CP'!N830</f>
        <v>4317</v>
      </c>
      <c r="D50" s="142"/>
      <c r="E50" s="148">
        <v>7500</v>
      </c>
      <c r="F50" s="149">
        <f t="shared" si="0"/>
        <v>0.4244</v>
      </c>
    </row>
    <row r="51" spans="2:6" ht="22.5" customHeight="1" x14ac:dyDescent="0.15">
      <c r="B51" s="147"/>
      <c r="C51" s="142"/>
      <c r="D51" s="142"/>
      <c r="E51" s="148"/>
      <c r="F51" s="149" t="e">
        <f t="shared" si="0"/>
        <v>#DIV/0!</v>
      </c>
    </row>
    <row r="52" spans="2:6" ht="22.5" customHeight="1" x14ac:dyDescent="0.15">
      <c r="B52" s="147"/>
      <c r="C52" s="142"/>
      <c r="D52" s="142"/>
      <c r="E52" s="148"/>
      <c r="F52" s="149" t="e">
        <f t="shared" si="0"/>
        <v>#DIV/0!</v>
      </c>
    </row>
    <row r="53" spans="2:6" ht="22.5" customHeight="1" x14ac:dyDescent="0.15">
      <c r="B53" s="147"/>
      <c r="C53" s="142"/>
      <c r="D53" s="142"/>
      <c r="E53" s="148"/>
      <c r="F53" s="149" t="e">
        <f t="shared" si="0"/>
        <v>#DIV/0!</v>
      </c>
    </row>
    <row r="54" spans="2:6" ht="22.5" customHeight="1" x14ac:dyDescent="0.15">
      <c r="B54" s="147"/>
      <c r="C54" s="142"/>
      <c r="D54" s="142"/>
      <c r="E54" s="148"/>
      <c r="F54" s="149" t="e">
        <f t="shared" si="0"/>
        <v>#DIV/0!</v>
      </c>
    </row>
    <row r="55" spans="2:6" ht="22.5" customHeight="1" x14ac:dyDescent="0.15">
      <c r="B55" s="147"/>
      <c r="C55" s="142"/>
      <c r="D55" s="142"/>
      <c r="E55" s="148"/>
      <c r="F55" s="149" t="e">
        <f t="shared" si="0"/>
        <v>#DIV/0!</v>
      </c>
    </row>
    <row r="56" spans="2:6" ht="22.5" customHeight="1" x14ac:dyDescent="0.15">
      <c r="B56" s="147" t="s">
        <v>651</v>
      </c>
      <c r="C56" s="142"/>
      <c r="D56" s="142"/>
      <c r="E56" s="148"/>
      <c r="F56" s="149" t="e">
        <f t="shared" si="0"/>
        <v>#DIV/0!</v>
      </c>
    </row>
    <row r="57" spans="2:6" ht="22.5" customHeight="1" x14ac:dyDescent="0.15">
      <c r="B57" s="147"/>
      <c r="C57" s="142">
        <f>'PASTELERIA CP'!F25</f>
        <v>1859.8843333333311</v>
      </c>
      <c r="D57" s="142"/>
      <c r="E57" s="148">
        <v>4000</v>
      </c>
      <c r="F57" s="149">
        <f t="shared" si="0"/>
        <v>0.53502891666666719</v>
      </c>
    </row>
    <row r="58" spans="2:6" ht="22.5" customHeight="1" x14ac:dyDescent="0.15">
      <c r="C58" s="142"/>
      <c r="D58" s="142"/>
      <c r="E58" s="148"/>
      <c r="F58" s="149" t="e">
        <f t="shared" si="0"/>
        <v>#DIV/0!</v>
      </c>
    </row>
    <row r="59" spans="2:6" ht="22.5" customHeight="1" x14ac:dyDescent="0.15">
      <c r="B59" s="147"/>
      <c r="C59" s="142"/>
      <c r="D59" s="142"/>
      <c r="E59" s="148"/>
      <c r="F59" s="149" t="e">
        <f t="shared" si="0"/>
        <v>#DIV/0!</v>
      </c>
    </row>
    <row r="60" spans="2:6" ht="22.5" customHeight="1" x14ac:dyDescent="0.15">
      <c r="C60" s="142"/>
      <c r="D60" s="142"/>
      <c r="E60" s="148"/>
      <c r="F60" s="149" t="e">
        <f t="shared" si="0"/>
        <v>#DIV/0!</v>
      </c>
    </row>
    <row r="61" spans="2:6" ht="22.5" customHeight="1" x14ac:dyDescent="0.15">
      <c r="B61" s="147"/>
      <c r="C61" s="142"/>
      <c r="D61" s="142"/>
      <c r="E61" s="148"/>
      <c r="F61" s="149" t="e">
        <f t="shared" si="0"/>
        <v>#DIV/0!</v>
      </c>
    </row>
    <row r="62" spans="2:6" ht="22.5" customHeight="1" x14ac:dyDescent="0.15">
      <c r="B62" s="147"/>
      <c r="C62" s="142"/>
      <c r="D62" s="142"/>
      <c r="E62" s="148"/>
      <c r="F62" s="149" t="e">
        <f t="shared" si="0"/>
        <v>#DIV/0!</v>
      </c>
    </row>
    <row r="63" spans="2:6" ht="22.5" customHeight="1" x14ac:dyDescent="0.15">
      <c r="B63" s="147"/>
      <c r="C63" s="142"/>
      <c r="D63" s="142"/>
      <c r="E63" s="148"/>
      <c r="F63" s="149" t="e">
        <f t="shared" si="0"/>
        <v>#DIV/0!</v>
      </c>
    </row>
    <row r="64" spans="2:6" ht="22.5" customHeight="1" x14ac:dyDescent="0.15">
      <c r="B64" s="147"/>
      <c r="C64" s="142"/>
      <c r="D64" s="142"/>
      <c r="E64" s="148"/>
      <c r="F64" s="149" t="e">
        <f t="shared" si="0"/>
        <v>#DIV/0!</v>
      </c>
    </row>
    <row r="65" spans="2:6" ht="22.5" customHeight="1" x14ac:dyDescent="0.15">
      <c r="B65" s="147"/>
      <c r="C65" s="142"/>
      <c r="D65" s="142"/>
      <c r="E65" s="148"/>
      <c r="F65" s="149" t="e">
        <f t="shared" si="0"/>
        <v>#DIV/0!</v>
      </c>
    </row>
    <row r="66" spans="2:6" ht="22.5" customHeight="1" x14ac:dyDescent="0.15">
      <c r="B66" s="147"/>
      <c r="C66" s="142"/>
      <c r="D66" s="142"/>
      <c r="E66" s="148"/>
      <c r="F66" s="149" t="e">
        <f t="shared" si="0"/>
        <v>#DIV/0!</v>
      </c>
    </row>
    <row r="67" spans="2:6" ht="22.5" customHeight="1" x14ac:dyDescent="0.15">
      <c r="B67" s="147"/>
      <c r="C67" s="142"/>
      <c r="D67" s="142"/>
      <c r="E67" s="148"/>
      <c r="F67" s="149" t="e">
        <f t="shared" si="0"/>
        <v>#DIV/0!</v>
      </c>
    </row>
    <row r="68" spans="2:6" ht="22.5" customHeight="1" x14ac:dyDescent="0.15">
      <c r="B68" s="147"/>
      <c r="C68" s="142"/>
      <c r="D68" s="142"/>
      <c r="E68" s="148"/>
      <c r="F68" s="149" t="e">
        <f t="shared" si="0"/>
        <v>#DIV/0!</v>
      </c>
    </row>
    <row r="69" spans="2:6" ht="22.5" customHeight="1" x14ac:dyDescent="0.15">
      <c r="B69" s="147"/>
      <c r="C69" s="142"/>
      <c r="D69" s="142"/>
      <c r="E69" s="148"/>
      <c r="F69" s="149" t="e">
        <f t="shared" si="0"/>
        <v>#DIV/0!</v>
      </c>
    </row>
    <row r="70" spans="2:6" ht="22.5" customHeight="1" x14ac:dyDescent="0.15">
      <c r="B70" s="147"/>
      <c r="C70" s="142"/>
      <c r="D70" s="142"/>
      <c r="E70" s="148"/>
      <c r="F70" s="149" t="e">
        <f t="shared" si="0"/>
        <v>#DIV/0!</v>
      </c>
    </row>
    <row r="71" spans="2:6" ht="22.5" customHeight="1" x14ac:dyDescent="0.15">
      <c r="B71" s="147"/>
      <c r="C71" s="142"/>
      <c r="D71" s="142"/>
      <c r="E71" s="148"/>
      <c r="F71" s="149" t="e">
        <f t="shared" si="0"/>
        <v>#DIV/0!</v>
      </c>
    </row>
    <row r="72" spans="2:6" ht="22.5" customHeight="1" x14ac:dyDescent="0.15">
      <c r="B72" s="147"/>
      <c r="C72" s="142"/>
      <c r="D72" s="142"/>
      <c r="E72" s="148"/>
      <c r="F72" s="149" t="e">
        <f t="shared" si="0"/>
        <v>#DIV/0!</v>
      </c>
    </row>
    <row r="73" spans="2:6" ht="22.5" customHeight="1" x14ac:dyDescent="0.15">
      <c r="B73" s="147"/>
      <c r="C73" s="142"/>
      <c r="D73" s="142"/>
      <c r="E73" s="148"/>
      <c r="F73" s="149" t="e">
        <f t="shared" si="0"/>
        <v>#DIV/0!</v>
      </c>
    </row>
    <row r="74" spans="2:6" ht="22.5" customHeight="1" x14ac:dyDescent="0.15">
      <c r="B74" s="147"/>
      <c r="C74" s="142"/>
      <c r="D74" s="142"/>
      <c r="E74" s="148"/>
      <c r="F74" s="149" t="e">
        <f t="shared" si="0"/>
        <v>#DIV/0!</v>
      </c>
    </row>
    <row r="75" spans="2:6" ht="22.5" customHeight="1" x14ac:dyDescent="0.15">
      <c r="B75" s="147"/>
      <c r="C75" s="142"/>
      <c r="D75" s="142"/>
      <c r="E75" s="148"/>
      <c r="F75" s="149" t="e">
        <f t="shared" si="0"/>
        <v>#DIV/0!</v>
      </c>
    </row>
    <row r="76" spans="2:6" ht="22.5" customHeight="1" x14ac:dyDescent="0.15">
      <c r="B76" s="147"/>
      <c r="C76" s="142"/>
      <c r="D76" s="142"/>
      <c r="E76" s="148"/>
      <c r="F76" s="149" t="e">
        <f t="shared" si="0"/>
        <v>#DIV/0!</v>
      </c>
    </row>
  </sheetData>
  <mergeCells count="1">
    <mergeCell ref="H2:I2"/>
  </mergeCells>
  <conditionalFormatting sqref="F4:F76">
    <cfRule type="cellIs" dxfId="3" priority="1" operator="between">
      <formula>"45%"</formula>
      <formula>"60%"</formula>
    </cfRule>
    <cfRule type="cellIs" dxfId="2" priority="2" operator="between">
      <formula>"40%"</formula>
      <formula>"45%"</formula>
    </cfRule>
    <cfRule type="cellIs" dxfId="1" priority="3" operator="lessThan">
      <formula>"40%"</formula>
    </cfRule>
    <cfRule type="cellIs" dxfId="0" priority="4" operator="greaterThan">
      <formula>"60%"</formula>
    </cfRule>
  </conditionalFormatting>
  <dataValidations count="1">
    <dataValidation type="custom" allowBlank="1" showDropDown="1" sqref="C3:C76 E3:F76" xr:uid="{00000000-0002-0000-0600-000000000000}">
      <formula1>AND(ISNUMBER(C3),(NOT(OR(NOT(ISERROR(DATEVALUE(C3))), AND(ISNUMBER(C3), LEFT(CELL("format", C3))="D")))))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sheetPr>
  <dimension ref="A1:Q1029"/>
  <sheetViews>
    <sheetView showGridLines="0" workbookViewId="0">
      <pane ySplit="2" topLeftCell="A3" activePane="bottomLeft" state="frozen"/>
      <selection pane="bottomLeft" activeCell="B4" sqref="B4"/>
    </sheetView>
  </sheetViews>
  <sheetFormatPr baseColWidth="10" defaultColWidth="12.6640625" defaultRowHeight="15" customHeight="1" x14ac:dyDescent="0.15"/>
  <cols>
    <col min="1" max="1" width="28.6640625" customWidth="1"/>
    <col min="2" max="2" width="22.5" customWidth="1"/>
    <col min="3" max="3" width="11.1640625" customWidth="1"/>
    <col min="4" max="4" width="13" customWidth="1"/>
    <col min="5" max="5" width="11" customWidth="1"/>
    <col min="6" max="6" width="13" customWidth="1"/>
    <col min="7" max="7" width="22.6640625" customWidth="1"/>
    <col min="8" max="8" width="4" customWidth="1"/>
    <col min="9" max="9" width="16" customWidth="1"/>
    <col min="10" max="10" width="10.83203125" customWidth="1"/>
    <col min="11" max="11" width="9.33203125" customWidth="1"/>
    <col min="12" max="12" width="11" customWidth="1"/>
    <col min="13" max="25" width="9.33203125" customWidth="1"/>
  </cols>
  <sheetData>
    <row r="1" spans="1:17" x14ac:dyDescent="0.2">
      <c r="A1" s="119"/>
      <c r="B1" s="119"/>
      <c r="C1" s="2"/>
      <c r="D1" s="154"/>
      <c r="E1" s="119"/>
      <c r="F1" s="119"/>
      <c r="G1" s="119"/>
    </row>
    <row r="2" spans="1:17" ht="32" x14ac:dyDescent="0.2">
      <c r="A2" s="155" t="s">
        <v>652</v>
      </c>
      <c r="B2" s="156" t="s">
        <v>653</v>
      </c>
      <c r="C2" s="155" t="s">
        <v>654</v>
      </c>
      <c r="D2" s="157" t="s">
        <v>655</v>
      </c>
      <c r="E2" s="156" t="s">
        <v>656</v>
      </c>
      <c r="F2" s="156" t="s">
        <v>657</v>
      </c>
      <c r="G2" s="155" t="s">
        <v>658</v>
      </c>
      <c r="I2" s="228" t="s">
        <v>659</v>
      </c>
      <c r="J2" s="229"/>
      <c r="K2" s="229"/>
      <c r="L2" s="230"/>
      <c r="M2" s="2"/>
      <c r="N2" s="2"/>
      <c r="O2" s="2"/>
      <c r="P2" s="2"/>
      <c r="Q2" s="2"/>
    </row>
    <row r="3" spans="1:17" x14ac:dyDescent="0.2">
      <c r="A3" s="7" t="s">
        <v>312</v>
      </c>
      <c r="B3" s="158">
        <f t="shared" ref="B3:B257" si="0">D3+(D3*E3)</f>
        <v>4299.01</v>
      </c>
      <c r="C3" s="65" t="s">
        <v>660</v>
      </c>
      <c r="D3" s="159">
        <v>4299.01</v>
      </c>
      <c r="E3" s="160">
        <v>0</v>
      </c>
      <c r="F3" s="27"/>
      <c r="G3" s="7" t="s">
        <v>661</v>
      </c>
      <c r="I3" s="161" t="s">
        <v>662</v>
      </c>
      <c r="J3" s="162" t="s">
        <v>663</v>
      </c>
      <c r="K3" s="162"/>
      <c r="L3" s="163" t="s">
        <v>664</v>
      </c>
      <c r="M3" s="2"/>
      <c r="N3" s="2"/>
      <c r="O3" s="2"/>
      <c r="P3" s="2"/>
      <c r="Q3" s="2"/>
    </row>
    <row r="4" spans="1:17" ht="16" x14ac:dyDescent="0.2">
      <c r="A4" s="38" t="s">
        <v>150</v>
      </c>
      <c r="B4" s="158">
        <f t="shared" si="0"/>
        <v>16595</v>
      </c>
      <c r="C4" s="65" t="s">
        <v>660</v>
      </c>
      <c r="D4" s="159">
        <v>16595</v>
      </c>
      <c r="E4" s="160">
        <v>0</v>
      </c>
      <c r="F4" s="27"/>
      <c r="G4" s="7" t="s">
        <v>661</v>
      </c>
      <c r="I4" s="164" t="s">
        <v>665</v>
      </c>
      <c r="J4" s="165">
        <v>5200</v>
      </c>
      <c r="K4" s="165">
        <v>4500</v>
      </c>
      <c r="L4" s="166">
        <f>SUM(K4-J4)/J4</f>
        <v>-0.13461538461538461</v>
      </c>
      <c r="M4" s="167">
        <f t="shared" ref="M4:N4" si="1">+J4</f>
        <v>5200</v>
      </c>
      <c r="N4" s="167">
        <f t="shared" si="1"/>
        <v>4500</v>
      </c>
      <c r="O4" s="2"/>
      <c r="P4" s="2"/>
      <c r="Q4" s="2"/>
    </row>
    <row r="5" spans="1:17" x14ac:dyDescent="0.2">
      <c r="A5" s="7" t="s">
        <v>666</v>
      </c>
      <c r="B5" s="158">
        <f t="shared" si="0"/>
        <v>169981</v>
      </c>
      <c r="C5" s="65" t="s">
        <v>667</v>
      </c>
      <c r="D5" s="159">
        <v>169981</v>
      </c>
      <c r="E5" s="160"/>
      <c r="F5" s="27"/>
      <c r="G5" s="7" t="s">
        <v>661</v>
      </c>
      <c r="I5" s="5" t="s">
        <v>668</v>
      </c>
      <c r="J5" s="168"/>
      <c r="K5" s="168"/>
      <c r="L5" s="169">
        <f>+N7</f>
        <v>1.1555555555555554</v>
      </c>
      <c r="M5" s="167">
        <v>1</v>
      </c>
      <c r="N5" s="167">
        <f>+M5*N4/M4</f>
        <v>0.86538461538461542</v>
      </c>
      <c r="O5" s="2"/>
      <c r="P5" s="2"/>
      <c r="Q5" s="2"/>
    </row>
    <row r="6" spans="1:17" x14ac:dyDescent="0.2">
      <c r="A6" s="7" t="s">
        <v>191</v>
      </c>
      <c r="B6" s="158">
        <f t="shared" si="0"/>
        <v>1755.33</v>
      </c>
      <c r="C6" s="65" t="s">
        <v>667</v>
      </c>
      <c r="D6" s="159">
        <v>1755.33</v>
      </c>
      <c r="E6" s="160">
        <v>0</v>
      </c>
      <c r="F6" s="27"/>
      <c r="G6" s="7" t="s">
        <v>661</v>
      </c>
      <c r="I6" s="32" t="s">
        <v>669</v>
      </c>
      <c r="J6" s="33"/>
      <c r="K6" s="33"/>
      <c r="L6" s="170">
        <v>15300</v>
      </c>
      <c r="M6" s="171">
        <f>+N5</f>
        <v>0.86538461538461542</v>
      </c>
      <c r="N6" s="171">
        <v>1</v>
      </c>
      <c r="O6" s="2"/>
      <c r="P6" s="2"/>
      <c r="Q6" s="2"/>
    </row>
    <row r="7" spans="1:17" x14ac:dyDescent="0.2">
      <c r="A7" s="7" t="s">
        <v>198</v>
      </c>
      <c r="B7" s="158">
        <f t="shared" si="0"/>
        <v>558.33000000000004</v>
      </c>
      <c r="C7" s="65" t="s">
        <v>667</v>
      </c>
      <c r="D7" s="159">
        <v>558.33000000000004</v>
      </c>
      <c r="E7" s="160"/>
      <c r="F7" s="27"/>
      <c r="G7" s="7" t="s">
        <v>661</v>
      </c>
      <c r="I7" s="172" t="s">
        <v>670</v>
      </c>
      <c r="J7" s="173"/>
      <c r="K7" s="173"/>
      <c r="L7" s="174">
        <f>+L6*L5</f>
        <v>17680</v>
      </c>
      <c r="M7" s="171">
        <v>1</v>
      </c>
      <c r="N7" s="171">
        <f>+M7*N6/M6</f>
        <v>1.1555555555555554</v>
      </c>
      <c r="O7" s="2"/>
      <c r="P7" s="2"/>
      <c r="Q7" s="2"/>
    </row>
    <row r="8" spans="1:17" x14ac:dyDescent="0.2">
      <c r="A8" s="7" t="s">
        <v>671</v>
      </c>
      <c r="B8" s="158">
        <f t="shared" si="0"/>
        <v>3880.72</v>
      </c>
      <c r="C8" s="65" t="s">
        <v>667</v>
      </c>
      <c r="D8" s="175">
        <v>3880.72</v>
      </c>
      <c r="E8" s="160">
        <v>0</v>
      </c>
      <c r="F8" s="27"/>
      <c r="G8" s="7" t="s">
        <v>661</v>
      </c>
      <c r="I8" s="231" t="s">
        <v>672</v>
      </c>
      <c r="J8" s="232"/>
      <c r="K8" s="232"/>
      <c r="L8" s="233"/>
      <c r="M8" s="2"/>
      <c r="N8" s="2"/>
      <c r="O8" s="2"/>
      <c r="P8" s="2"/>
      <c r="Q8" s="2"/>
    </row>
    <row r="9" spans="1:17" ht="16" x14ac:dyDescent="0.2">
      <c r="A9" s="38" t="s">
        <v>81</v>
      </c>
      <c r="B9" s="158">
        <f t="shared" si="0"/>
        <v>10601.56</v>
      </c>
      <c r="C9" s="65" t="s">
        <v>660</v>
      </c>
      <c r="D9" s="159">
        <v>10601.56</v>
      </c>
      <c r="E9" s="160">
        <v>0</v>
      </c>
      <c r="F9" s="27"/>
      <c r="G9" s="7" t="s">
        <v>661</v>
      </c>
      <c r="I9" s="234"/>
      <c r="J9" s="235"/>
      <c r="K9" s="235"/>
      <c r="L9" s="236"/>
      <c r="M9" s="2"/>
      <c r="N9" s="2"/>
      <c r="O9" s="2"/>
      <c r="P9" s="2"/>
      <c r="Q9" s="2"/>
    </row>
    <row r="10" spans="1:17" x14ac:dyDescent="0.2">
      <c r="A10" s="7" t="s">
        <v>595</v>
      </c>
      <c r="B10" s="158">
        <f t="shared" si="0"/>
        <v>88000</v>
      </c>
      <c r="C10" s="65" t="s">
        <v>667</v>
      </c>
      <c r="D10" s="159">
        <v>88000</v>
      </c>
      <c r="E10" s="160">
        <v>0</v>
      </c>
      <c r="F10" s="27"/>
      <c r="G10" s="7" t="s">
        <v>661</v>
      </c>
      <c r="M10" s="2"/>
      <c r="N10" s="2"/>
      <c r="O10" s="2"/>
      <c r="P10" s="2"/>
      <c r="Q10" s="2"/>
    </row>
    <row r="11" spans="1:17" ht="16" x14ac:dyDescent="0.2">
      <c r="A11" s="38" t="s">
        <v>77</v>
      </c>
      <c r="B11" s="158">
        <f t="shared" si="0"/>
        <v>24435.611199999999</v>
      </c>
      <c r="C11" s="65" t="s">
        <v>667</v>
      </c>
      <c r="D11" s="159">
        <v>18372.64</v>
      </c>
      <c r="E11" s="160">
        <v>0.33</v>
      </c>
      <c r="F11" s="27"/>
      <c r="G11" s="7" t="s">
        <v>661</v>
      </c>
    </row>
    <row r="12" spans="1:17" x14ac:dyDescent="0.2">
      <c r="A12" s="7" t="s">
        <v>282</v>
      </c>
      <c r="B12" s="158">
        <f t="shared" si="0"/>
        <v>25872</v>
      </c>
      <c r="C12" s="65" t="s">
        <v>667</v>
      </c>
      <c r="D12" s="159">
        <v>25872</v>
      </c>
      <c r="E12" s="160">
        <v>0</v>
      </c>
      <c r="F12" s="27"/>
      <c r="G12" s="7" t="s">
        <v>661</v>
      </c>
    </row>
    <row r="13" spans="1:17" x14ac:dyDescent="0.2">
      <c r="A13" s="7" t="s">
        <v>320</v>
      </c>
      <c r="B13" s="158">
        <f t="shared" si="0"/>
        <v>312833</v>
      </c>
      <c r="C13" s="65" t="s">
        <v>660</v>
      </c>
      <c r="D13" s="159">
        <v>312833</v>
      </c>
      <c r="E13" s="160">
        <v>0</v>
      </c>
      <c r="F13" s="27"/>
      <c r="G13" s="7" t="s">
        <v>661</v>
      </c>
    </row>
    <row r="14" spans="1:17" x14ac:dyDescent="0.2">
      <c r="A14" s="115" t="s">
        <v>273</v>
      </c>
      <c r="B14" s="158">
        <f t="shared" si="0"/>
        <v>2191</v>
      </c>
      <c r="C14" s="65" t="s">
        <v>667</v>
      </c>
      <c r="D14" s="176">
        <v>2191</v>
      </c>
      <c r="E14" s="160"/>
      <c r="F14" s="177"/>
      <c r="G14" s="115" t="s">
        <v>661</v>
      </c>
    </row>
    <row r="15" spans="1:17" x14ac:dyDescent="0.2">
      <c r="A15" s="7" t="s">
        <v>673</v>
      </c>
      <c r="B15" s="158">
        <f t="shared" si="0"/>
        <v>43700</v>
      </c>
      <c r="C15" s="65" t="s">
        <v>667</v>
      </c>
      <c r="D15" s="159">
        <v>43700</v>
      </c>
      <c r="E15" s="160">
        <v>0</v>
      </c>
      <c r="F15" s="27"/>
      <c r="G15" s="7" t="s">
        <v>661</v>
      </c>
    </row>
    <row r="16" spans="1:17" x14ac:dyDescent="0.2">
      <c r="A16" s="7" t="s">
        <v>148</v>
      </c>
      <c r="B16" s="158">
        <f t="shared" si="0"/>
        <v>9725</v>
      </c>
      <c r="C16" s="65" t="s">
        <v>667</v>
      </c>
      <c r="D16" s="159">
        <v>9725</v>
      </c>
      <c r="E16" s="160">
        <v>0</v>
      </c>
      <c r="F16" s="27"/>
      <c r="G16" s="7" t="s">
        <v>661</v>
      </c>
    </row>
    <row r="17" spans="1:11" ht="16" x14ac:dyDescent="0.2">
      <c r="A17" s="13" t="s">
        <v>674</v>
      </c>
      <c r="B17" s="158">
        <f t="shared" si="0"/>
        <v>1244</v>
      </c>
      <c r="C17" s="65" t="s">
        <v>667</v>
      </c>
      <c r="D17" s="159">
        <v>1244</v>
      </c>
      <c r="E17" s="160"/>
      <c r="F17" s="27"/>
      <c r="G17" s="7" t="s">
        <v>661</v>
      </c>
    </row>
    <row r="18" spans="1:11" x14ac:dyDescent="0.2">
      <c r="A18" s="7" t="s">
        <v>675</v>
      </c>
      <c r="B18" s="158">
        <f t="shared" si="0"/>
        <v>916.5</v>
      </c>
      <c r="C18" s="65" t="s">
        <v>676</v>
      </c>
      <c r="D18" s="159">
        <v>916.5</v>
      </c>
      <c r="E18" s="160"/>
      <c r="F18" s="27"/>
      <c r="G18" s="7" t="s">
        <v>661</v>
      </c>
    </row>
    <row r="19" spans="1:11" x14ac:dyDescent="0.2">
      <c r="A19" s="7" t="s">
        <v>677</v>
      </c>
      <c r="B19" s="158">
        <f t="shared" si="0"/>
        <v>0</v>
      </c>
      <c r="C19" s="65" t="s">
        <v>667</v>
      </c>
      <c r="D19" s="175"/>
      <c r="E19" s="160"/>
      <c r="F19" s="27"/>
      <c r="G19" s="7" t="s">
        <v>661</v>
      </c>
    </row>
    <row r="20" spans="1:11" x14ac:dyDescent="0.2">
      <c r="A20" s="7" t="s">
        <v>678</v>
      </c>
      <c r="B20" s="158">
        <f t="shared" si="0"/>
        <v>0</v>
      </c>
      <c r="C20" s="65" t="s">
        <v>667</v>
      </c>
      <c r="D20" s="175"/>
      <c r="E20" s="160"/>
      <c r="F20" s="27"/>
      <c r="G20" s="7" t="s">
        <v>661</v>
      </c>
    </row>
    <row r="21" spans="1:11" x14ac:dyDescent="0.2">
      <c r="A21" s="7" t="s">
        <v>679</v>
      </c>
      <c r="B21" s="158">
        <f t="shared" si="0"/>
        <v>1524</v>
      </c>
      <c r="C21" s="65" t="s">
        <v>667</v>
      </c>
      <c r="D21" s="159">
        <v>1524</v>
      </c>
      <c r="E21" s="160"/>
      <c r="F21" s="27"/>
      <c r="G21" s="7" t="s">
        <v>661</v>
      </c>
    </row>
    <row r="22" spans="1:11" x14ac:dyDescent="0.2">
      <c r="A22" s="7" t="s">
        <v>216</v>
      </c>
      <c r="B22" s="158">
        <f t="shared" si="0"/>
        <v>4000</v>
      </c>
      <c r="C22" s="65" t="s">
        <v>660</v>
      </c>
      <c r="D22" s="159">
        <v>4000</v>
      </c>
      <c r="E22" s="160"/>
      <c r="F22" s="27"/>
      <c r="G22" s="7" t="s">
        <v>661</v>
      </c>
    </row>
    <row r="23" spans="1:11" x14ac:dyDescent="0.2">
      <c r="A23" s="7" t="s">
        <v>477</v>
      </c>
      <c r="B23" s="158">
        <f t="shared" si="0"/>
        <v>3231.45</v>
      </c>
      <c r="C23" s="65" t="s">
        <v>667</v>
      </c>
      <c r="D23" s="159">
        <v>2505</v>
      </c>
      <c r="E23" s="160">
        <v>0.28999999999999998</v>
      </c>
      <c r="F23" s="27"/>
      <c r="G23" s="7" t="s">
        <v>661</v>
      </c>
    </row>
    <row r="24" spans="1:11" ht="15.75" customHeight="1" x14ac:dyDescent="0.2">
      <c r="A24" s="7" t="s">
        <v>268</v>
      </c>
      <c r="B24" s="158">
        <f t="shared" si="0"/>
        <v>2180</v>
      </c>
      <c r="C24" s="65" t="s">
        <v>667</v>
      </c>
      <c r="D24" s="159">
        <v>2180</v>
      </c>
      <c r="E24" s="160"/>
      <c r="F24" s="27"/>
      <c r="G24" s="7" t="s">
        <v>661</v>
      </c>
    </row>
    <row r="25" spans="1:11" ht="15.75" customHeight="1" x14ac:dyDescent="0.2">
      <c r="A25" s="7" t="s">
        <v>443</v>
      </c>
      <c r="B25" s="158">
        <f t="shared" si="0"/>
        <v>24700</v>
      </c>
      <c r="C25" s="65" t="s">
        <v>667</v>
      </c>
      <c r="D25" s="159">
        <v>24700</v>
      </c>
      <c r="E25" s="160"/>
      <c r="F25" s="27"/>
      <c r="G25" s="7" t="s">
        <v>661</v>
      </c>
    </row>
    <row r="26" spans="1:11" ht="15.75" customHeight="1" x14ac:dyDescent="0.2">
      <c r="A26" s="7" t="s">
        <v>315</v>
      </c>
      <c r="B26" s="158">
        <f t="shared" si="0"/>
        <v>1352</v>
      </c>
      <c r="C26" s="65" t="s">
        <v>667</v>
      </c>
      <c r="D26" s="159">
        <v>1352</v>
      </c>
      <c r="E26" s="160"/>
      <c r="F26" s="27"/>
      <c r="G26" s="7" t="s">
        <v>661</v>
      </c>
    </row>
    <row r="27" spans="1:11" ht="15.75" customHeight="1" x14ac:dyDescent="0.2">
      <c r="A27" s="7" t="s">
        <v>301</v>
      </c>
      <c r="B27" s="158">
        <f t="shared" si="0"/>
        <v>1684</v>
      </c>
      <c r="C27" s="65" t="s">
        <v>667</v>
      </c>
      <c r="D27" s="159">
        <v>1684</v>
      </c>
      <c r="E27" s="160"/>
      <c r="F27" s="27"/>
      <c r="G27" s="7" t="s">
        <v>661</v>
      </c>
    </row>
    <row r="28" spans="1:11" ht="15.75" customHeight="1" x14ac:dyDescent="0.2">
      <c r="A28" s="7" t="s">
        <v>240</v>
      </c>
      <c r="B28" s="158">
        <f t="shared" si="0"/>
        <v>1624.77</v>
      </c>
      <c r="C28" s="65" t="s">
        <v>667</v>
      </c>
      <c r="D28" s="159">
        <v>1624.77</v>
      </c>
      <c r="E28" s="160"/>
      <c r="F28" s="27"/>
      <c r="G28" s="7" t="s">
        <v>661</v>
      </c>
    </row>
    <row r="29" spans="1:11" ht="15.75" customHeight="1" x14ac:dyDescent="0.2">
      <c r="A29" s="7" t="s">
        <v>586</v>
      </c>
      <c r="B29" s="158">
        <f t="shared" si="0"/>
        <v>1911</v>
      </c>
      <c r="C29" s="65" t="s">
        <v>667</v>
      </c>
      <c r="D29" s="159">
        <v>1911</v>
      </c>
      <c r="E29" s="160"/>
      <c r="F29" s="27"/>
      <c r="G29" s="7" t="s">
        <v>661</v>
      </c>
    </row>
    <row r="30" spans="1:11" ht="15.75" customHeight="1" x14ac:dyDescent="0.2">
      <c r="A30" s="7" t="s">
        <v>612</v>
      </c>
      <c r="B30" s="158">
        <f t="shared" si="0"/>
        <v>2517</v>
      </c>
      <c r="C30" s="65" t="s">
        <v>667</v>
      </c>
      <c r="D30" s="159">
        <v>2517</v>
      </c>
      <c r="E30" s="160"/>
      <c r="F30" s="27"/>
      <c r="G30" s="7" t="s">
        <v>661</v>
      </c>
      <c r="I30" s="2"/>
      <c r="J30" s="2"/>
      <c r="K30" s="2"/>
    </row>
    <row r="31" spans="1:11" ht="15.75" customHeight="1" x14ac:dyDescent="0.2">
      <c r="A31" s="7" t="s">
        <v>74</v>
      </c>
      <c r="B31" s="158">
        <f t="shared" si="0"/>
        <v>4800</v>
      </c>
      <c r="C31" s="65" t="s">
        <v>667</v>
      </c>
      <c r="D31" s="159">
        <v>4800</v>
      </c>
      <c r="E31" s="160"/>
      <c r="F31" s="27"/>
      <c r="G31" s="7" t="s">
        <v>661</v>
      </c>
      <c r="I31" s="2"/>
      <c r="J31" s="90"/>
      <c r="K31" s="2"/>
    </row>
    <row r="32" spans="1:11" ht="15.75" customHeight="1" x14ac:dyDescent="0.2">
      <c r="A32" s="7" t="s">
        <v>267</v>
      </c>
      <c r="B32" s="158">
        <f t="shared" si="0"/>
        <v>13205</v>
      </c>
      <c r="C32" s="65" t="s">
        <v>667</v>
      </c>
      <c r="D32" s="159">
        <v>13205</v>
      </c>
      <c r="E32" s="160"/>
      <c r="F32" s="27"/>
      <c r="G32" s="7" t="s">
        <v>661</v>
      </c>
    </row>
    <row r="33" spans="1:7" ht="15.75" customHeight="1" x14ac:dyDescent="0.2">
      <c r="A33" s="7" t="s">
        <v>165</v>
      </c>
      <c r="B33" s="158">
        <f t="shared" si="0"/>
        <v>47093</v>
      </c>
      <c r="C33" s="65" t="s">
        <v>667</v>
      </c>
      <c r="D33" s="159">
        <v>47093</v>
      </c>
      <c r="E33" s="160"/>
      <c r="F33" s="27"/>
      <c r="G33" s="7" t="s">
        <v>661</v>
      </c>
    </row>
    <row r="34" spans="1:7" ht="15.75" customHeight="1" x14ac:dyDescent="0.2">
      <c r="A34" s="7" t="s">
        <v>680</v>
      </c>
      <c r="B34" s="158">
        <f t="shared" si="0"/>
        <v>15367</v>
      </c>
      <c r="C34" s="65" t="s">
        <v>667</v>
      </c>
      <c r="D34" s="175">
        <v>15367</v>
      </c>
      <c r="E34" s="160"/>
      <c r="F34" s="27"/>
      <c r="G34" s="7" t="s">
        <v>661</v>
      </c>
    </row>
    <row r="35" spans="1:7" ht="15.75" customHeight="1" x14ac:dyDescent="0.2">
      <c r="A35" s="7" t="s">
        <v>283</v>
      </c>
      <c r="B35" s="158">
        <f t="shared" si="0"/>
        <v>36376.47</v>
      </c>
      <c r="C35" s="65" t="s">
        <v>667</v>
      </c>
      <c r="D35" s="159">
        <v>36376.47</v>
      </c>
      <c r="E35" s="160"/>
      <c r="F35" s="27"/>
      <c r="G35" s="7" t="s">
        <v>661</v>
      </c>
    </row>
    <row r="36" spans="1:7" ht="15.75" customHeight="1" x14ac:dyDescent="0.2">
      <c r="A36" s="13" t="s">
        <v>295</v>
      </c>
      <c r="B36" s="158">
        <f t="shared" si="0"/>
        <v>28023.56</v>
      </c>
      <c r="C36" s="65" t="s">
        <v>667</v>
      </c>
      <c r="D36" s="159">
        <v>28023.56</v>
      </c>
      <c r="E36" s="160"/>
      <c r="F36" s="27"/>
      <c r="G36" s="7" t="s">
        <v>661</v>
      </c>
    </row>
    <row r="37" spans="1:7" ht="15.75" customHeight="1" x14ac:dyDescent="0.2">
      <c r="A37" s="7" t="s">
        <v>500</v>
      </c>
      <c r="B37" s="158">
        <f t="shared" si="0"/>
        <v>10030</v>
      </c>
      <c r="C37" s="65" t="s">
        <v>667</v>
      </c>
      <c r="D37" s="159">
        <v>10030</v>
      </c>
      <c r="E37" s="160"/>
      <c r="F37" s="27"/>
      <c r="G37" s="7" t="s">
        <v>661</v>
      </c>
    </row>
    <row r="38" spans="1:7" ht="15.75" customHeight="1" x14ac:dyDescent="0.2">
      <c r="A38" s="7" t="s">
        <v>681</v>
      </c>
      <c r="B38" s="158">
        <f t="shared" si="0"/>
        <v>10061.64</v>
      </c>
      <c r="C38" s="65" t="s">
        <v>667</v>
      </c>
      <c r="D38" s="159">
        <v>10061.64</v>
      </c>
      <c r="E38" s="160"/>
      <c r="F38" s="27"/>
      <c r="G38" s="7" t="s">
        <v>661</v>
      </c>
    </row>
    <row r="39" spans="1:7" ht="15.75" customHeight="1" x14ac:dyDescent="0.2">
      <c r="A39" s="7" t="s">
        <v>682</v>
      </c>
      <c r="B39" s="158">
        <f t="shared" si="0"/>
        <v>0</v>
      </c>
      <c r="C39" s="65" t="s">
        <v>667</v>
      </c>
      <c r="D39" s="175"/>
      <c r="E39" s="160"/>
      <c r="F39" s="27"/>
      <c r="G39" s="7" t="s">
        <v>661</v>
      </c>
    </row>
    <row r="40" spans="1:7" ht="15.75" customHeight="1" x14ac:dyDescent="0.2">
      <c r="A40" s="7" t="s">
        <v>503</v>
      </c>
      <c r="B40" s="158">
        <f t="shared" si="0"/>
        <v>7331</v>
      </c>
      <c r="C40" s="65" t="s">
        <v>660</v>
      </c>
      <c r="D40" s="159">
        <v>7331</v>
      </c>
      <c r="E40" s="160"/>
      <c r="F40" s="27"/>
      <c r="G40" s="7" t="s">
        <v>661</v>
      </c>
    </row>
    <row r="41" spans="1:7" ht="15.75" customHeight="1" x14ac:dyDescent="0.2">
      <c r="A41" s="7" t="s">
        <v>449</v>
      </c>
      <c r="B41" s="158">
        <f t="shared" si="0"/>
        <v>9056</v>
      </c>
      <c r="C41" s="65" t="s">
        <v>667</v>
      </c>
      <c r="D41" s="159">
        <v>9056</v>
      </c>
      <c r="E41" s="160"/>
      <c r="F41" s="27"/>
      <c r="G41" s="7" t="s">
        <v>661</v>
      </c>
    </row>
    <row r="42" spans="1:7" ht="15.75" customHeight="1" x14ac:dyDescent="0.2">
      <c r="A42" s="7" t="s">
        <v>305</v>
      </c>
      <c r="B42" s="158">
        <f t="shared" si="0"/>
        <v>12959</v>
      </c>
      <c r="C42" s="65" t="s">
        <v>667</v>
      </c>
      <c r="D42" s="159">
        <v>12959</v>
      </c>
      <c r="E42" s="160"/>
      <c r="F42" s="27"/>
      <c r="G42" s="7" t="s">
        <v>661</v>
      </c>
    </row>
    <row r="43" spans="1:7" ht="15.75" customHeight="1" x14ac:dyDescent="0.2">
      <c r="A43" s="93" t="s">
        <v>683</v>
      </c>
      <c r="B43" s="158">
        <f t="shared" si="0"/>
        <v>9050</v>
      </c>
      <c r="C43" s="65" t="s">
        <v>667</v>
      </c>
      <c r="D43" s="159">
        <v>9050</v>
      </c>
      <c r="E43" s="160"/>
      <c r="F43" s="27"/>
      <c r="G43" s="7" t="s">
        <v>661</v>
      </c>
    </row>
    <row r="44" spans="1:7" ht="15.75" customHeight="1" x14ac:dyDescent="0.2">
      <c r="A44" s="93" t="s">
        <v>172</v>
      </c>
      <c r="B44" s="158">
        <f t="shared" si="0"/>
        <v>9561</v>
      </c>
      <c r="C44" s="65" t="s">
        <v>667</v>
      </c>
      <c r="D44" s="159">
        <v>9561</v>
      </c>
      <c r="E44" s="160"/>
      <c r="F44" s="27"/>
      <c r="G44" s="7" t="s">
        <v>661</v>
      </c>
    </row>
    <row r="45" spans="1:7" ht="15.75" customHeight="1" x14ac:dyDescent="0.2">
      <c r="A45" s="108" t="s">
        <v>248</v>
      </c>
      <c r="B45" s="158">
        <f t="shared" si="0"/>
        <v>39988</v>
      </c>
      <c r="C45" s="65" t="s">
        <v>667</v>
      </c>
      <c r="D45" s="159">
        <v>39988</v>
      </c>
      <c r="E45" s="160"/>
      <c r="F45" s="27"/>
      <c r="G45" s="7" t="s">
        <v>661</v>
      </c>
    </row>
    <row r="46" spans="1:7" ht="15.75" customHeight="1" x14ac:dyDescent="0.2">
      <c r="A46" s="107" t="s">
        <v>238</v>
      </c>
      <c r="B46" s="158">
        <f t="shared" si="0"/>
        <v>36068</v>
      </c>
      <c r="C46" s="65" t="s">
        <v>667</v>
      </c>
      <c r="D46" s="159">
        <v>36068</v>
      </c>
      <c r="E46" s="160"/>
      <c r="F46" s="27"/>
      <c r="G46" s="7" t="s">
        <v>661</v>
      </c>
    </row>
    <row r="47" spans="1:7" ht="15.75" customHeight="1" x14ac:dyDescent="0.2">
      <c r="A47" s="108" t="s">
        <v>256</v>
      </c>
      <c r="B47" s="158">
        <f t="shared" si="0"/>
        <v>34892</v>
      </c>
      <c r="C47" s="65" t="s">
        <v>667</v>
      </c>
      <c r="D47" s="159">
        <v>34892</v>
      </c>
      <c r="E47" s="160"/>
      <c r="F47" s="27"/>
      <c r="G47" s="7" t="s">
        <v>661</v>
      </c>
    </row>
    <row r="48" spans="1:7" ht="15.75" customHeight="1" x14ac:dyDescent="0.2">
      <c r="A48" s="121" t="s">
        <v>444</v>
      </c>
      <c r="B48" s="158">
        <f t="shared" si="0"/>
        <v>9506</v>
      </c>
      <c r="C48" s="65" t="s">
        <v>667</v>
      </c>
      <c r="D48" s="159">
        <v>9506</v>
      </c>
      <c r="E48" s="160"/>
      <c r="F48" s="27"/>
      <c r="G48" s="7" t="s">
        <v>661</v>
      </c>
    </row>
    <row r="49" spans="1:7" ht="15.75" customHeight="1" x14ac:dyDescent="0.2">
      <c r="A49" s="121" t="s">
        <v>684</v>
      </c>
      <c r="B49" s="158">
        <f t="shared" si="0"/>
        <v>11721</v>
      </c>
      <c r="C49" s="65" t="s">
        <v>667</v>
      </c>
      <c r="D49" s="159">
        <v>11721</v>
      </c>
      <c r="E49" s="160"/>
      <c r="F49" s="27"/>
      <c r="G49" s="7" t="s">
        <v>661</v>
      </c>
    </row>
    <row r="50" spans="1:7" ht="15.75" customHeight="1" x14ac:dyDescent="0.2">
      <c r="A50" s="7" t="s">
        <v>685</v>
      </c>
      <c r="B50" s="158">
        <f t="shared" si="0"/>
        <v>10164</v>
      </c>
      <c r="C50" s="65" t="s">
        <v>667</v>
      </c>
      <c r="D50" s="159">
        <v>10164</v>
      </c>
      <c r="E50" s="160"/>
      <c r="F50" s="27"/>
      <c r="G50" s="7" t="s">
        <v>661</v>
      </c>
    </row>
    <row r="51" spans="1:7" ht="15.75" customHeight="1" x14ac:dyDescent="0.2">
      <c r="A51" s="7" t="s">
        <v>686</v>
      </c>
      <c r="B51" s="158">
        <f t="shared" si="0"/>
        <v>7925.85</v>
      </c>
      <c r="C51" s="65" t="s">
        <v>667</v>
      </c>
      <c r="D51" s="159">
        <v>7925.85</v>
      </c>
      <c r="E51" s="160"/>
      <c r="F51" s="27"/>
      <c r="G51" s="7" t="s">
        <v>661</v>
      </c>
    </row>
    <row r="52" spans="1:7" ht="15.75" customHeight="1" x14ac:dyDescent="0.2">
      <c r="A52" s="7" t="s">
        <v>348</v>
      </c>
      <c r="B52" s="158">
        <f t="shared" si="0"/>
        <v>4340</v>
      </c>
      <c r="C52" s="65" t="s">
        <v>667</v>
      </c>
      <c r="D52" s="159">
        <v>4340</v>
      </c>
      <c r="E52" s="160"/>
      <c r="F52" s="27"/>
      <c r="G52" s="7" t="s">
        <v>661</v>
      </c>
    </row>
    <row r="53" spans="1:7" ht="15.75" customHeight="1" x14ac:dyDescent="0.2">
      <c r="A53" s="7" t="s">
        <v>455</v>
      </c>
      <c r="B53" s="158">
        <f t="shared" si="0"/>
        <v>3109</v>
      </c>
      <c r="C53" s="65" t="s">
        <v>667</v>
      </c>
      <c r="D53" s="175">
        <v>3109</v>
      </c>
      <c r="E53" s="160"/>
      <c r="F53" s="27"/>
      <c r="G53" s="7" t="s">
        <v>661</v>
      </c>
    </row>
    <row r="54" spans="1:7" ht="15.75" customHeight="1" x14ac:dyDescent="0.2">
      <c r="A54" s="7" t="s">
        <v>687</v>
      </c>
      <c r="B54" s="158">
        <f t="shared" si="0"/>
        <v>0</v>
      </c>
      <c r="C54" s="65" t="s">
        <v>667</v>
      </c>
      <c r="D54" s="175"/>
      <c r="E54" s="160"/>
      <c r="F54" s="27"/>
      <c r="G54" s="7" t="s">
        <v>661</v>
      </c>
    </row>
    <row r="55" spans="1:7" ht="15.75" customHeight="1" x14ac:dyDescent="0.2">
      <c r="A55" s="7" t="s">
        <v>688</v>
      </c>
      <c r="B55" s="158">
        <f t="shared" si="0"/>
        <v>5009.3999999999996</v>
      </c>
      <c r="C55" s="65" t="s">
        <v>667</v>
      </c>
      <c r="D55" s="159">
        <v>5009.3999999999996</v>
      </c>
      <c r="E55" s="160"/>
      <c r="F55" s="27"/>
      <c r="G55" s="7" t="s">
        <v>661</v>
      </c>
    </row>
    <row r="56" spans="1:7" ht="15.75" customHeight="1" x14ac:dyDescent="0.2">
      <c r="A56" s="7" t="s">
        <v>689</v>
      </c>
      <c r="B56" s="158">
        <f t="shared" si="0"/>
        <v>14102.4</v>
      </c>
      <c r="C56" s="65" t="s">
        <v>667</v>
      </c>
      <c r="D56" s="159">
        <v>12480</v>
      </c>
      <c r="E56" s="160">
        <v>0.13</v>
      </c>
      <c r="F56" s="27"/>
      <c r="G56" s="7" t="s">
        <v>661</v>
      </c>
    </row>
    <row r="57" spans="1:7" ht="15.75" customHeight="1" x14ac:dyDescent="0.2">
      <c r="A57" s="7" t="s">
        <v>690</v>
      </c>
      <c r="B57" s="158">
        <f t="shared" si="0"/>
        <v>0</v>
      </c>
      <c r="C57" s="65" t="s">
        <v>667</v>
      </c>
      <c r="D57" s="175"/>
      <c r="E57" s="160">
        <v>0.3</v>
      </c>
      <c r="F57" s="27"/>
      <c r="G57" s="7" t="s">
        <v>661</v>
      </c>
    </row>
    <row r="58" spans="1:7" ht="15.75" customHeight="1" x14ac:dyDescent="0.2">
      <c r="A58" s="7" t="s">
        <v>691</v>
      </c>
      <c r="B58" s="158">
        <f t="shared" si="0"/>
        <v>9200</v>
      </c>
      <c r="C58" s="65" t="s">
        <v>660</v>
      </c>
      <c r="D58" s="175">
        <v>9200</v>
      </c>
      <c r="E58" s="160"/>
      <c r="F58" s="27"/>
      <c r="G58" s="7" t="s">
        <v>661</v>
      </c>
    </row>
    <row r="59" spans="1:7" ht="15.75" customHeight="1" x14ac:dyDescent="0.2">
      <c r="A59" s="7" t="s">
        <v>249</v>
      </c>
      <c r="B59" s="158">
        <f t="shared" si="0"/>
        <v>2118</v>
      </c>
      <c r="C59" s="65" t="s">
        <v>660</v>
      </c>
      <c r="D59" s="159">
        <v>2118</v>
      </c>
      <c r="E59" s="160"/>
      <c r="F59" s="27"/>
      <c r="G59" s="7" t="s">
        <v>661</v>
      </c>
    </row>
    <row r="60" spans="1:7" ht="15.75" customHeight="1" x14ac:dyDescent="0.2">
      <c r="A60" s="7" t="s">
        <v>506</v>
      </c>
      <c r="B60" s="158">
        <f t="shared" si="0"/>
        <v>93400</v>
      </c>
      <c r="C60" s="65" t="s">
        <v>667</v>
      </c>
      <c r="D60" s="159">
        <v>93400</v>
      </c>
      <c r="E60" s="160"/>
      <c r="F60" s="27"/>
      <c r="G60" s="7" t="s">
        <v>661</v>
      </c>
    </row>
    <row r="61" spans="1:7" ht="15.75" customHeight="1" x14ac:dyDescent="0.2">
      <c r="A61" s="7" t="s">
        <v>692</v>
      </c>
      <c r="B61" s="158">
        <f t="shared" si="0"/>
        <v>0</v>
      </c>
      <c r="C61" s="65" t="s">
        <v>667</v>
      </c>
      <c r="D61" s="175"/>
      <c r="E61" s="160"/>
      <c r="F61" s="27"/>
      <c r="G61" s="7" t="s">
        <v>661</v>
      </c>
    </row>
    <row r="62" spans="1:7" ht="15.75" customHeight="1" x14ac:dyDescent="0.2">
      <c r="A62" s="7" t="s">
        <v>693</v>
      </c>
      <c r="B62" s="158">
        <f t="shared" si="0"/>
        <v>0</v>
      </c>
      <c r="C62" s="65" t="s">
        <v>667</v>
      </c>
      <c r="D62" s="175"/>
      <c r="E62" s="160"/>
      <c r="F62" s="27"/>
      <c r="G62" s="7" t="s">
        <v>661</v>
      </c>
    </row>
    <row r="63" spans="1:7" ht="15.75" customHeight="1" x14ac:dyDescent="0.2">
      <c r="A63" s="7" t="s">
        <v>326</v>
      </c>
      <c r="B63" s="158">
        <f t="shared" si="0"/>
        <v>4134</v>
      </c>
      <c r="C63" s="65" t="s">
        <v>667</v>
      </c>
      <c r="D63" s="159">
        <v>4134</v>
      </c>
      <c r="E63" s="160">
        <v>0</v>
      </c>
      <c r="F63" s="27"/>
      <c r="G63" s="7" t="s">
        <v>661</v>
      </c>
    </row>
    <row r="64" spans="1:7" ht="15.75" customHeight="1" x14ac:dyDescent="0.2">
      <c r="A64" s="7" t="s">
        <v>694</v>
      </c>
      <c r="B64" s="158">
        <f t="shared" si="0"/>
        <v>0</v>
      </c>
      <c r="C64" s="65" t="s">
        <v>667</v>
      </c>
      <c r="D64" s="175"/>
      <c r="E64" s="160">
        <v>-0.5</v>
      </c>
      <c r="F64" s="27"/>
      <c r="G64" s="7" t="s">
        <v>661</v>
      </c>
    </row>
    <row r="65" spans="1:10" ht="15.75" customHeight="1" x14ac:dyDescent="0.2">
      <c r="A65" s="7" t="s">
        <v>695</v>
      </c>
      <c r="B65" s="158">
        <f t="shared" si="0"/>
        <v>0</v>
      </c>
      <c r="C65" s="65" t="s">
        <v>667</v>
      </c>
      <c r="D65" s="175"/>
      <c r="E65" s="160">
        <v>-0.5</v>
      </c>
      <c r="F65" s="27"/>
      <c r="G65" s="7" t="s">
        <v>661</v>
      </c>
    </row>
    <row r="66" spans="1:10" ht="15.75" customHeight="1" x14ac:dyDescent="0.2">
      <c r="A66" s="7" t="s">
        <v>696</v>
      </c>
      <c r="B66" s="158">
        <f t="shared" si="0"/>
        <v>0</v>
      </c>
      <c r="C66" s="65" t="s">
        <v>667</v>
      </c>
      <c r="D66" s="175"/>
      <c r="E66" s="160">
        <v>-0.5</v>
      </c>
      <c r="F66" s="27"/>
      <c r="G66" s="7" t="s">
        <v>661</v>
      </c>
    </row>
    <row r="67" spans="1:10" ht="15.75" customHeight="1" x14ac:dyDescent="0.2">
      <c r="A67" s="7" t="s">
        <v>697</v>
      </c>
      <c r="B67" s="158">
        <f t="shared" si="0"/>
        <v>0</v>
      </c>
      <c r="C67" s="65" t="s">
        <v>667</v>
      </c>
      <c r="D67" s="175"/>
      <c r="E67" s="160">
        <v>-0.5</v>
      </c>
      <c r="F67" s="27"/>
      <c r="G67" s="7" t="s">
        <v>661</v>
      </c>
    </row>
    <row r="68" spans="1:10" ht="15.75" customHeight="1" x14ac:dyDescent="0.2">
      <c r="A68" s="7" t="s">
        <v>698</v>
      </c>
      <c r="B68" s="158">
        <f t="shared" si="0"/>
        <v>2846.31</v>
      </c>
      <c r="C68" s="65" t="s">
        <v>667</v>
      </c>
      <c r="D68" s="178">
        <v>2846.31</v>
      </c>
      <c r="E68" s="160"/>
      <c r="F68" s="27"/>
      <c r="G68" s="7" t="s">
        <v>661</v>
      </c>
    </row>
    <row r="69" spans="1:10" ht="15.75" customHeight="1" x14ac:dyDescent="0.2">
      <c r="A69" s="7" t="s">
        <v>699</v>
      </c>
      <c r="B69" s="158">
        <f t="shared" si="0"/>
        <v>0</v>
      </c>
      <c r="C69" s="65" t="s">
        <v>667</v>
      </c>
      <c r="D69" s="175"/>
      <c r="E69" s="160"/>
      <c r="F69" s="27"/>
      <c r="G69" s="7" t="s">
        <v>661</v>
      </c>
    </row>
    <row r="70" spans="1:10" ht="15.75" customHeight="1" x14ac:dyDescent="0.2">
      <c r="A70" s="109" t="s">
        <v>244</v>
      </c>
      <c r="B70" s="158">
        <f t="shared" si="0"/>
        <v>24829</v>
      </c>
      <c r="C70" s="65" t="s">
        <v>667</v>
      </c>
      <c r="D70" s="179">
        <v>24829</v>
      </c>
      <c r="E70" s="160"/>
      <c r="F70" s="180"/>
      <c r="G70" s="109" t="s">
        <v>661</v>
      </c>
      <c r="J70" s="1" t="s">
        <v>700</v>
      </c>
    </row>
    <row r="71" spans="1:10" ht="15.75" customHeight="1" x14ac:dyDescent="0.2">
      <c r="A71" s="7" t="s">
        <v>38</v>
      </c>
      <c r="B71" s="158">
        <f t="shared" si="0"/>
        <v>3330</v>
      </c>
      <c r="C71" s="65" t="s">
        <v>667</v>
      </c>
      <c r="D71" s="159">
        <v>3330</v>
      </c>
      <c r="E71" s="160"/>
      <c r="F71" s="27"/>
      <c r="G71" s="7" t="s">
        <v>661</v>
      </c>
    </row>
    <row r="72" spans="1:10" ht="15.75" customHeight="1" x14ac:dyDescent="0.2">
      <c r="A72" s="7" t="s">
        <v>299</v>
      </c>
      <c r="B72" s="158">
        <f t="shared" si="0"/>
        <v>18329</v>
      </c>
      <c r="C72" s="65" t="s">
        <v>667</v>
      </c>
      <c r="D72" s="159">
        <v>18329</v>
      </c>
      <c r="E72" s="160"/>
      <c r="F72" s="27"/>
      <c r="G72" s="7" t="s">
        <v>661</v>
      </c>
    </row>
    <row r="73" spans="1:10" ht="15.75" customHeight="1" x14ac:dyDescent="0.2">
      <c r="A73" s="7" t="s">
        <v>701</v>
      </c>
      <c r="B73" s="158">
        <f t="shared" si="0"/>
        <v>1470.15</v>
      </c>
      <c r="C73" s="65" t="s">
        <v>667</v>
      </c>
      <c r="D73" s="159">
        <v>1470.15</v>
      </c>
      <c r="E73" s="160"/>
      <c r="F73" s="27"/>
      <c r="G73" s="7" t="s">
        <v>661</v>
      </c>
    </row>
    <row r="74" spans="1:10" ht="15.75" customHeight="1" x14ac:dyDescent="0.2">
      <c r="A74" s="7" t="s">
        <v>702</v>
      </c>
      <c r="B74" s="158">
        <f t="shared" si="0"/>
        <v>1470.15</v>
      </c>
      <c r="C74" s="65" t="s">
        <v>660</v>
      </c>
      <c r="D74" s="159">
        <v>1470.15</v>
      </c>
      <c r="E74" s="160"/>
      <c r="F74" s="27"/>
      <c r="G74" s="7" t="s">
        <v>661</v>
      </c>
    </row>
    <row r="75" spans="1:10" ht="15.75" customHeight="1" x14ac:dyDescent="0.2">
      <c r="A75" s="66" t="s">
        <v>413</v>
      </c>
      <c r="B75" s="158">
        <f t="shared" si="0"/>
        <v>25360</v>
      </c>
      <c r="C75" s="65" t="s">
        <v>667</v>
      </c>
      <c r="D75" s="159">
        <v>25360</v>
      </c>
      <c r="E75" s="160"/>
      <c r="F75" s="27"/>
      <c r="G75" s="7" t="s">
        <v>661</v>
      </c>
    </row>
    <row r="76" spans="1:10" ht="15.75" customHeight="1" x14ac:dyDescent="0.2">
      <c r="A76" s="7" t="s">
        <v>703</v>
      </c>
      <c r="B76" s="158">
        <f t="shared" si="0"/>
        <v>0</v>
      </c>
      <c r="C76" s="65" t="s">
        <v>667</v>
      </c>
      <c r="D76" s="175"/>
      <c r="E76" s="160"/>
      <c r="F76" s="27"/>
      <c r="G76" s="7" t="s">
        <v>661</v>
      </c>
    </row>
    <row r="77" spans="1:10" ht="15.75" customHeight="1" x14ac:dyDescent="0.2">
      <c r="A77" s="7" t="s">
        <v>429</v>
      </c>
      <c r="B77" s="158">
        <f t="shared" si="0"/>
        <v>592</v>
      </c>
      <c r="C77" s="65" t="s">
        <v>667</v>
      </c>
      <c r="D77" s="159">
        <v>592</v>
      </c>
      <c r="E77" s="160"/>
      <c r="F77" s="27"/>
      <c r="G77" s="7" t="s">
        <v>661</v>
      </c>
    </row>
    <row r="78" spans="1:10" ht="15.75" customHeight="1" x14ac:dyDescent="0.2">
      <c r="A78" s="7" t="s">
        <v>311</v>
      </c>
      <c r="B78" s="158">
        <f t="shared" si="0"/>
        <v>890</v>
      </c>
      <c r="C78" s="65" t="s">
        <v>667</v>
      </c>
      <c r="D78" s="159">
        <v>890</v>
      </c>
      <c r="E78" s="160"/>
      <c r="F78" s="27"/>
      <c r="G78" s="7" t="s">
        <v>661</v>
      </c>
    </row>
    <row r="79" spans="1:10" ht="15.75" customHeight="1" x14ac:dyDescent="0.2">
      <c r="A79" s="114" t="s">
        <v>319</v>
      </c>
      <c r="B79" s="158">
        <f t="shared" si="0"/>
        <v>1043.22</v>
      </c>
      <c r="C79" s="65" t="s">
        <v>667</v>
      </c>
      <c r="D79" s="181">
        <v>1043.22</v>
      </c>
      <c r="E79" s="160"/>
      <c r="F79" s="182"/>
      <c r="G79" s="114" t="s">
        <v>661</v>
      </c>
    </row>
    <row r="80" spans="1:10" ht="15.75" customHeight="1" x14ac:dyDescent="0.2">
      <c r="A80" s="7" t="s">
        <v>704</v>
      </c>
      <c r="B80" s="158">
        <f t="shared" si="0"/>
        <v>0</v>
      </c>
      <c r="C80" s="65" t="s">
        <v>667</v>
      </c>
      <c r="D80" s="175"/>
      <c r="E80" s="160"/>
      <c r="F80" s="27"/>
      <c r="G80" s="7" t="s">
        <v>661</v>
      </c>
    </row>
    <row r="81" spans="1:7" ht="15.75" customHeight="1" x14ac:dyDescent="0.2">
      <c r="A81" s="7" t="s">
        <v>705</v>
      </c>
      <c r="B81" s="158">
        <f t="shared" si="0"/>
        <v>28695</v>
      </c>
      <c r="C81" s="65" t="s">
        <v>667</v>
      </c>
      <c r="D81" s="159">
        <v>28695</v>
      </c>
      <c r="E81" s="160">
        <v>0</v>
      </c>
      <c r="F81" s="27"/>
      <c r="G81" s="7" t="s">
        <v>661</v>
      </c>
    </row>
    <row r="82" spans="1:7" ht="15.75" customHeight="1" x14ac:dyDescent="0.2">
      <c r="A82" s="7" t="s">
        <v>706</v>
      </c>
      <c r="B82" s="158">
        <f t="shared" si="0"/>
        <v>0</v>
      </c>
      <c r="C82" s="65" t="s">
        <v>667</v>
      </c>
      <c r="D82" s="175"/>
      <c r="E82" s="160">
        <v>-0.5</v>
      </c>
      <c r="F82" s="27"/>
      <c r="G82" s="7" t="s">
        <v>661</v>
      </c>
    </row>
    <row r="83" spans="1:7" ht="15.75" customHeight="1" x14ac:dyDescent="0.2">
      <c r="A83" s="7" t="s">
        <v>118</v>
      </c>
      <c r="B83" s="158">
        <f t="shared" si="0"/>
        <v>5595</v>
      </c>
      <c r="C83" s="65" t="s">
        <v>667</v>
      </c>
      <c r="D83" s="159">
        <v>5595</v>
      </c>
      <c r="E83" s="160"/>
      <c r="F83" s="27"/>
      <c r="G83" s="7" t="s">
        <v>661</v>
      </c>
    </row>
    <row r="84" spans="1:7" ht="15.75" customHeight="1" x14ac:dyDescent="0.2">
      <c r="A84" s="7" t="s">
        <v>327</v>
      </c>
      <c r="B84" s="158">
        <f t="shared" si="0"/>
        <v>12915</v>
      </c>
      <c r="C84" s="65" t="s">
        <v>667</v>
      </c>
      <c r="D84" s="159">
        <v>12915</v>
      </c>
      <c r="E84" s="160"/>
      <c r="F84" s="27"/>
      <c r="G84" s="7" t="s">
        <v>661</v>
      </c>
    </row>
    <row r="85" spans="1:7" ht="15.75" customHeight="1" x14ac:dyDescent="0.2">
      <c r="A85" s="109" t="s">
        <v>173</v>
      </c>
      <c r="B85" s="158">
        <f t="shared" si="0"/>
        <v>12675</v>
      </c>
      <c r="C85" s="65" t="s">
        <v>667</v>
      </c>
      <c r="D85" s="179">
        <v>12675</v>
      </c>
      <c r="E85" s="160"/>
      <c r="F85" s="180"/>
      <c r="G85" s="109" t="s">
        <v>661</v>
      </c>
    </row>
    <row r="86" spans="1:7" ht="15.75" customHeight="1" x14ac:dyDescent="0.2">
      <c r="A86" s="7" t="s">
        <v>171</v>
      </c>
      <c r="B86" s="158">
        <f t="shared" si="0"/>
        <v>287980</v>
      </c>
      <c r="C86" s="65" t="s">
        <v>660</v>
      </c>
      <c r="D86" s="159">
        <v>287980</v>
      </c>
      <c r="E86" s="160"/>
      <c r="F86" s="27"/>
      <c r="G86" s="7" t="s">
        <v>661</v>
      </c>
    </row>
    <row r="87" spans="1:7" ht="15.75" customHeight="1" x14ac:dyDescent="0.2">
      <c r="A87" s="7" t="s">
        <v>707</v>
      </c>
      <c r="B87" s="158">
        <f t="shared" si="0"/>
        <v>0</v>
      </c>
      <c r="C87" s="65" t="s">
        <v>667</v>
      </c>
      <c r="D87" s="175"/>
      <c r="E87" s="160">
        <v>-0.5</v>
      </c>
      <c r="F87" s="27"/>
      <c r="G87" s="7" t="s">
        <v>661</v>
      </c>
    </row>
    <row r="88" spans="1:7" ht="15.75" customHeight="1" x14ac:dyDescent="0.2">
      <c r="A88" s="7" t="s">
        <v>708</v>
      </c>
      <c r="B88" s="158">
        <f t="shared" si="0"/>
        <v>4987.5</v>
      </c>
      <c r="C88" s="65" t="s">
        <v>667</v>
      </c>
      <c r="D88" s="175">
        <v>4987.5</v>
      </c>
      <c r="E88" s="160"/>
      <c r="F88" s="27"/>
      <c r="G88" s="7" t="s">
        <v>661</v>
      </c>
    </row>
    <row r="89" spans="1:7" ht="15.75" customHeight="1" x14ac:dyDescent="0.2">
      <c r="A89" s="7" t="s">
        <v>317</v>
      </c>
      <c r="B89" s="158">
        <f t="shared" si="0"/>
        <v>17780</v>
      </c>
      <c r="C89" s="65" t="s">
        <v>667</v>
      </c>
      <c r="D89" s="159">
        <v>17780</v>
      </c>
      <c r="E89" s="160"/>
      <c r="F89" s="27"/>
      <c r="G89" s="7" t="s">
        <v>661</v>
      </c>
    </row>
    <row r="90" spans="1:7" ht="15.75" customHeight="1" x14ac:dyDescent="0.2">
      <c r="A90" s="7" t="s">
        <v>709</v>
      </c>
      <c r="B90" s="158">
        <f t="shared" si="0"/>
        <v>0</v>
      </c>
      <c r="C90" s="65" t="s">
        <v>667</v>
      </c>
      <c r="D90" s="175"/>
      <c r="E90" s="160">
        <v>0.3</v>
      </c>
      <c r="F90" s="27"/>
      <c r="G90" s="7" t="s">
        <v>661</v>
      </c>
    </row>
    <row r="91" spans="1:7" ht="15.75" customHeight="1" x14ac:dyDescent="0.2">
      <c r="A91" s="130" t="s">
        <v>182</v>
      </c>
      <c r="B91" s="158">
        <f t="shared" si="0"/>
        <v>22687.5</v>
      </c>
      <c r="C91" s="65" t="s">
        <v>667</v>
      </c>
      <c r="D91" s="183">
        <v>22687.5</v>
      </c>
      <c r="E91" s="160">
        <v>0</v>
      </c>
      <c r="F91" s="182"/>
      <c r="G91" s="114" t="s">
        <v>661</v>
      </c>
    </row>
    <row r="92" spans="1:7" ht="15.75" customHeight="1" x14ac:dyDescent="0.2">
      <c r="A92" s="7" t="s">
        <v>710</v>
      </c>
      <c r="B92" s="158">
        <f t="shared" si="0"/>
        <v>2210</v>
      </c>
      <c r="C92" s="65" t="s">
        <v>660</v>
      </c>
      <c r="D92" s="159">
        <v>2210</v>
      </c>
      <c r="E92" s="160"/>
      <c r="F92" s="27"/>
      <c r="G92" s="7" t="s">
        <v>661</v>
      </c>
    </row>
    <row r="93" spans="1:7" ht="15.75" customHeight="1" x14ac:dyDescent="0.2">
      <c r="A93" s="109" t="s">
        <v>228</v>
      </c>
      <c r="B93" s="158">
        <f t="shared" si="0"/>
        <v>650000</v>
      </c>
      <c r="C93" s="65" t="s">
        <v>667</v>
      </c>
      <c r="D93" s="179">
        <v>650000</v>
      </c>
      <c r="E93" s="160"/>
      <c r="F93" s="180"/>
      <c r="G93" s="109" t="s">
        <v>661</v>
      </c>
    </row>
    <row r="94" spans="1:7" ht="15.75" customHeight="1" x14ac:dyDescent="0.2">
      <c r="A94" s="109" t="s">
        <v>274</v>
      </c>
      <c r="B94" s="158">
        <f t="shared" si="0"/>
        <v>5987</v>
      </c>
      <c r="C94" s="65" t="s">
        <v>667</v>
      </c>
      <c r="D94" s="184">
        <v>5987</v>
      </c>
      <c r="E94" s="160"/>
      <c r="F94" s="185"/>
      <c r="G94" s="109" t="s">
        <v>661</v>
      </c>
    </row>
    <row r="95" spans="1:7" ht="15.75" customHeight="1" x14ac:dyDescent="0.2">
      <c r="A95" s="7" t="s">
        <v>711</v>
      </c>
      <c r="B95" s="158">
        <f t="shared" si="0"/>
        <v>6062</v>
      </c>
      <c r="C95" s="65" t="s">
        <v>667</v>
      </c>
      <c r="D95" s="159">
        <v>6062</v>
      </c>
      <c r="E95" s="160"/>
      <c r="F95" s="27"/>
      <c r="G95" s="109" t="s">
        <v>661</v>
      </c>
    </row>
    <row r="96" spans="1:7" ht="15.75" customHeight="1" x14ac:dyDescent="0.2">
      <c r="A96" s="7" t="s">
        <v>83</v>
      </c>
      <c r="B96" s="158">
        <f t="shared" si="0"/>
        <v>5952.89</v>
      </c>
      <c r="C96" s="65" t="s">
        <v>667</v>
      </c>
      <c r="D96" s="159">
        <v>5952.89</v>
      </c>
      <c r="E96" s="160"/>
      <c r="F96" s="27"/>
      <c r="G96" s="7" t="s">
        <v>661</v>
      </c>
    </row>
    <row r="97" spans="1:7" ht="15.75" customHeight="1" x14ac:dyDescent="0.2">
      <c r="A97" s="7" t="s">
        <v>478</v>
      </c>
      <c r="B97" s="158">
        <f t="shared" si="0"/>
        <v>18460</v>
      </c>
      <c r="C97" s="65" t="s">
        <v>667</v>
      </c>
      <c r="D97" s="159">
        <v>18460</v>
      </c>
      <c r="E97" s="160"/>
      <c r="F97" s="27"/>
      <c r="G97" s="7" t="s">
        <v>661</v>
      </c>
    </row>
    <row r="98" spans="1:7" ht="15.75" customHeight="1" x14ac:dyDescent="0.2">
      <c r="A98" s="7" t="s">
        <v>712</v>
      </c>
      <c r="B98" s="158">
        <f t="shared" si="0"/>
        <v>0</v>
      </c>
      <c r="C98" s="65" t="s">
        <v>660</v>
      </c>
      <c r="D98" s="175"/>
      <c r="E98" s="160">
        <v>0.5</v>
      </c>
      <c r="F98" s="27"/>
      <c r="G98" s="7" t="s">
        <v>661</v>
      </c>
    </row>
    <row r="99" spans="1:7" ht="15.75" customHeight="1" x14ac:dyDescent="0.2">
      <c r="A99" s="7" t="s">
        <v>272</v>
      </c>
      <c r="B99" s="158">
        <f t="shared" si="0"/>
        <v>27769.5</v>
      </c>
      <c r="C99" s="65" t="s">
        <v>667</v>
      </c>
      <c r="D99" s="159">
        <v>27769.5</v>
      </c>
      <c r="E99" s="160"/>
      <c r="F99" s="27"/>
      <c r="G99" s="7" t="s">
        <v>661</v>
      </c>
    </row>
    <row r="100" spans="1:7" ht="15.75" customHeight="1" x14ac:dyDescent="0.2">
      <c r="A100" s="7" t="s">
        <v>713</v>
      </c>
      <c r="B100" s="158">
        <f t="shared" si="0"/>
        <v>0</v>
      </c>
      <c r="C100" s="65" t="s">
        <v>667</v>
      </c>
      <c r="D100" s="175"/>
      <c r="E100" s="160"/>
      <c r="F100" s="27"/>
      <c r="G100" s="7" t="s">
        <v>661</v>
      </c>
    </row>
    <row r="101" spans="1:7" ht="15.75" customHeight="1" x14ac:dyDescent="0.2">
      <c r="A101" s="7" t="s">
        <v>36</v>
      </c>
      <c r="B101" s="158">
        <f t="shared" si="0"/>
        <v>35691.97</v>
      </c>
      <c r="C101" s="65" t="s">
        <v>660</v>
      </c>
      <c r="D101" s="159">
        <v>35691.97</v>
      </c>
      <c r="E101" s="160"/>
      <c r="F101" s="27"/>
      <c r="G101" s="7" t="s">
        <v>661</v>
      </c>
    </row>
    <row r="102" spans="1:7" ht="15.75" customHeight="1" x14ac:dyDescent="0.2">
      <c r="A102" s="114" t="s">
        <v>714</v>
      </c>
      <c r="B102" s="158">
        <f t="shared" si="0"/>
        <v>6751.8</v>
      </c>
      <c r="C102" s="65" t="s">
        <v>667</v>
      </c>
      <c r="D102" s="181">
        <v>6751.8</v>
      </c>
      <c r="E102" s="160"/>
      <c r="F102" s="182"/>
      <c r="G102" s="114" t="s">
        <v>661</v>
      </c>
    </row>
    <row r="103" spans="1:7" ht="15.75" customHeight="1" x14ac:dyDescent="0.2">
      <c r="A103" s="7" t="s">
        <v>542</v>
      </c>
      <c r="B103" s="158">
        <f t="shared" si="0"/>
        <v>15284</v>
      </c>
      <c r="C103" s="65" t="s">
        <v>667</v>
      </c>
      <c r="D103" s="159">
        <v>15284</v>
      </c>
      <c r="E103" s="160"/>
      <c r="F103" s="27"/>
      <c r="G103" s="7" t="s">
        <v>661</v>
      </c>
    </row>
    <row r="104" spans="1:7" ht="15.75" customHeight="1" x14ac:dyDescent="0.2">
      <c r="A104" s="7" t="s">
        <v>218</v>
      </c>
      <c r="B104" s="158">
        <f t="shared" si="0"/>
        <v>8666</v>
      </c>
      <c r="C104" s="65" t="s">
        <v>667</v>
      </c>
      <c r="D104" s="159">
        <v>8666</v>
      </c>
      <c r="E104" s="160"/>
      <c r="F104" s="27"/>
      <c r="G104" s="7" t="s">
        <v>661</v>
      </c>
    </row>
    <row r="105" spans="1:7" ht="15.75" customHeight="1" x14ac:dyDescent="0.2">
      <c r="A105" s="7" t="s">
        <v>715</v>
      </c>
      <c r="B105" s="158">
        <f t="shared" si="0"/>
        <v>10000</v>
      </c>
      <c r="C105" s="65" t="s">
        <v>676</v>
      </c>
      <c r="D105" s="159">
        <v>10000</v>
      </c>
      <c r="E105" s="160"/>
      <c r="F105" s="27"/>
      <c r="G105" s="7" t="s">
        <v>661</v>
      </c>
    </row>
    <row r="106" spans="1:7" ht="15.75" customHeight="1" x14ac:dyDescent="0.2">
      <c r="A106" s="7" t="s">
        <v>716</v>
      </c>
      <c r="B106" s="158">
        <f t="shared" si="0"/>
        <v>10000</v>
      </c>
      <c r="C106" s="65" t="s">
        <v>660</v>
      </c>
      <c r="D106" s="159">
        <v>10000</v>
      </c>
      <c r="E106" s="160"/>
      <c r="F106" s="27"/>
      <c r="G106" s="7" t="s">
        <v>661</v>
      </c>
    </row>
    <row r="107" spans="1:7" ht="15.75" customHeight="1" x14ac:dyDescent="0.2">
      <c r="A107" s="7" t="s">
        <v>717</v>
      </c>
      <c r="B107" s="158">
        <f t="shared" si="0"/>
        <v>8666</v>
      </c>
      <c r="C107" s="65" t="s">
        <v>660</v>
      </c>
      <c r="D107" s="159">
        <v>8666</v>
      </c>
      <c r="E107" s="160"/>
      <c r="F107" s="27"/>
      <c r="G107" s="7" t="s">
        <v>661</v>
      </c>
    </row>
    <row r="108" spans="1:7" ht="15.75" customHeight="1" x14ac:dyDescent="0.2">
      <c r="A108" s="7" t="s">
        <v>270</v>
      </c>
      <c r="B108" s="158">
        <f t="shared" si="0"/>
        <v>6292</v>
      </c>
      <c r="C108" s="65" t="s">
        <v>660</v>
      </c>
      <c r="D108" s="159">
        <v>6292</v>
      </c>
      <c r="E108" s="160"/>
      <c r="F108" s="27"/>
      <c r="G108" s="7" t="s">
        <v>661</v>
      </c>
    </row>
    <row r="109" spans="1:7" ht="15.75" customHeight="1" x14ac:dyDescent="0.2">
      <c r="A109" s="7" t="s">
        <v>152</v>
      </c>
      <c r="B109" s="158">
        <f t="shared" si="0"/>
        <v>8566.7999999999993</v>
      </c>
      <c r="C109" s="65" t="s">
        <v>667</v>
      </c>
      <c r="D109" s="186">
        <v>8566.7999999999993</v>
      </c>
      <c r="E109" s="160"/>
      <c r="F109" s="27"/>
      <c r="G109" s="7" t="s">
        <v>661</v>
      </c>
    </row>
    <row r="110" spans="1:7" ht="15.75" customHeight="1" x14ac:dyDescent="0.2">
      <c r="A110" s="7" t="s">
        <v>718</v>
      </c>
      <c r="B110" s="158">
        <f t="shared" si="0"/>
        <v>12000</v>
      </c>
      <c r="C110" s="65" t="s">
        <v>660</v>
      </c>
      <c r="D110" s="159">
        <v>12000</v>
      </c>
      <c r="E110" s="160"/>
      <c r="F110" s="27"/>
      <c r="G110" s="7" t="s">
        <v>661</v>
      </c>
    </row>
    <row r="111" spans="1:7" ht="15.75" customHeight="1" x14ac:dyDescent="0.2">
      <c r="A111" s="115" t="s">
        <v>719</v>
      </c>
      <c r="B111" s="158">
        <f t="shared" si="0"/>
        <v>22269</v>
      </c>
      <c r="C111" s="65" t="s">
        <v>667</v>
      </c>
      <c r="D111" s="176">
        <v>22269</v>
      </c>
      <c r="E111" s="160"/>
      <c r="F111" s="177"/>
      <c r="G111" s="115" t="s">
        <v>661</v>
      </c>
    </row>
    <row r="112" spans="1:7" ht="15.75" customHeight="1" x14ac:dyDescent="0.2">
      <c r="A112" s="7" t="s">
        <v>51</v>
      </c>
      <c r="B112" s="158">
        <f t="shared" si="0"/>
        <v>22269</v>
      </c>
      <c r="C112" s="65" t="s">
        <v>667</v>
      </c>
      <c r="D112" s="159">
        <v>22269</v>
      </c>
      <c r="E112" s="160"/>
      <c r="F112" s="27"/>
      <c r="G112" s="7" t="s">
        <v>661</v>
      </c>
    </row>
    <row r="113" spans="1:7" ht="15.75" customHeight="1" x14ac:dyDescent="0.2">
      <c r="A113" s="7" t="s">
        <v>222</v>
      </c>
      <c r="B113" s="158">
        <f t="shared" si="0"/>
        <v>1166</v>
      </c>
      <c r="C113" s="65" t="s">
        <v>667</v>
      </c>
      <c r="D113" s="159">
        <v>1166</v>
      </c>
      <c r="E113" s="160"/>
      <c r="F113" s="27"/>
      <c r="G113" s="7" t="s">
        <v>661</v>
      </c>
    </row>
    <row r="114" spans="1:7" ht="15.75" customHeight="1" x14ac:dyDescent="0.2">
      <c r="A114" s="7" t="s">
        <v>236</v>
      </c>
      <c r="B114" s="158">
        <f t="shared" si="0"/>
        <v>78338</v>
      </c>
      <c r="C114" s="65" t="s">
        <v>667</v>
      </c>
      <c r="D114" s="159">
        <v>78338</v>
      </c>
      <c r="E114" s="160"/>
      <c r="F114" s="27"/>
      <c r="G114" s="7" t="s">
        <v>661</v>
      </c>
    </row>
    <row r="115" spans="1:7" ht="15.75" customHeight="1" x14ac:dyDescent="0.2">
      <c r="A115" s="7" t="s">
        <v>246</v>
      </c>
      <c r="B115" s="158">
        <f t="shared" si="0"/>
        <v>6040</v>
      </c>
      <c r="C115" s="65" t="s">
        <v>667</v>
      </c>
      <c r="D115" s="159">
        <v>6040</v>
      </c>
      <c r="E115" s="160"/>
      <c r="F115" s="27"/>
      <c r="G115" s="7" t="s">
        <v>661</v>
      </c>
    </row>
    <row r="116" spans="1:7" ht="15.75" customHeight="1" x14ac:dyDescent="0.2">
      <c r="A116" s="7" t="s">
        <v>328</v>
      </c>
      <c r="B116" s="158">
        <f t="shared" si="0"/>
        <v>16900</v>
      </c>
      <c r="C116" s="65" t="s">
        <v>667</v>
      </c>
      <c r="D116" s="159">
        <v>16900</v>
      </c>
      <c r="E116" s="160"/>
      <c r="F116" s="27"/>
      <c r="G116" s="7" t="s">
        <v>661</v>
      </c>
    </row>
    <row r="117" spans="1:7" ht="15.75" customHeight="1" x14ac:dyDescent="0.2">
      <c r="A117" s="7" t="s">
        <v>602</v>
      </c>
      <c r="B117" s="158">
        <f t="shared" si="0"/>
        <v>2381</v>
      </c>
      <c r="C117" s="65" t="s">
        <v>667</v>
      </c>
      <c r="D117" s="159">
        <v>2381</v>
      </c>
      <c r="E117" s="160"/>
      <c r="F117" s="27"/>
      <c r="G117" s="7" t="s">
        <v>661</v>
      </c>
    </row>
    <row r="118" spans="1:7" ht="15.75" customHeight="1" x14ac:dyDescent="0.2">
      <c r="A118" s="7" t="s">
        <v>616</v>
      </c>
      <c r="B118" s="158">
        <f t="shared" si="0"/>
        <v>93744</v>
      </c>
      <c r="C118" s="65" t="s">
        <v>667</v>
      </c>
      <c r="D118" s="159">
        <v>93744</v>
      </c>
      <c r="E118" s="160"/>
      <c r="F118" s="27"/>
      <c r="G118" s="7" t="s">
        <v>661</v>
      </c>
    </row>
    <row r="119" spans="1:7" ht="15.75" customHeight="1" x14ac:dyDescent="0.2">
      <c r="A119" s="7" t="s">
        <v>720</v>
      </c>
      <c r="B119" s="158">
        <f t="shared" si="0"/>
        <v>0</v>
      </c>
      <c r="C119" s="65" t="s">
        <v>667</v>
      </c>
      <c r="D119" s="175"/>
      <c r="E119" s="160"/>
      <c r="F119" s="27"/>
      <c r="G119" s="7" t="s">
        <v>661</v>
      </c>
    </row>
    <row r="120" spans="1:7" ht="15.75" customHeight="1" x14ac:dyDescent="0.2">
      <c r="A120" s="7" t="s">
        <v>721</v>
      </c>
      <c r="B120" s="158">
        <f t="shared" si="0"/>
        <v>15000</v>
      </c>
      <c r="C120" s="65" t="s">
        <v>660</v>
      </c>
      <c r="D120" s="159">
        <v>15000</v>
      </c>
      <c r="E120" s="160"/>
      <c r="F120" s="27"/>
      <c r="G120" s="7" t="s">
        <v>661</v>
      </c>
    </row>
    <row r="121" spans="1:7" ht="15.75" customHeight="1" x14ac:dyDescent="0.2">
      <c r="A121" s="7" t="s">
        <v>722</v>
      </c>
      <c r="B121" s="158">
        <f t="shared" si="0"/>
        <v>0</v>
      </c>
      <c r="C121" s="65" t="s">
        <v>667</v>
      </c>
      <c r="D121" s="175"/>
      <c r="E121" s="160"/>
      <c r="F121" s="27"/>
      <c r="G121" s="7" t="s">
        <v>661</v>
      </c>
    </row>
    <row r="122" spans="1:7" ht="15.75" customHeight="1" x14ac:dyDescent="0.2">
      <c r="A122" s="7" t="s">
        <v>723</v>
      </c>
      <c r="B122" s="158">
        <f t="shared" si="0"/>
        <v>0</v>
      </c>
      <c r="C122" s="65" t="s">
        <v>667</v>
      </c>
      <c r="D122" s="175"/>
      <c r="E122" s="160"/>
      <c r="F122" s="27"/>
      <c r="G122" s="7" t="s">
        <v>661</v>
      </c>
    </row>
    <row r="123" spans="1:7" ht="15.75" customHeight="1" x14ac:dyDescent="0.2">
      <c r="A123" s="7" t="s">
        <v>151</v>
      </c>
      <c r="B123" s="158">
        <f t="shared" si="0"/>
        <v>1633</v>
      </c>
      <c r="C123" s="65" t="s">
        <v>667</v>
      </c>
      <c r="D123" s="159">
        <v>1633</v>
      </c>
      <c r="E123" s="160">
        <v>0</v>
      </c>
      <c r="F123" s="27"/>
      <c r="G123" s="7" t="s">
        <v>661</v>
      </c>
    </row>
    <row r="124" spans="1:7" ht="15.75" customHeight="1" x14ac:dyDescent="0.2">
      <c r="A124" s="7" t="s">
        <v>724</v>
      </c>
      <c r="B124" s="158">
        <f t="shared" si="0"/>
        <v>0</v>
      </c>
      <c r="C124" s="65" t="s">
        <v>667</v>
      </c>
      <c r="D124" s="175"/>
      <c r="E124" s="160"/>
      <c r="F124" s="27"/>
      <c r="G124" s="7" t="s">
        <v>661</v>
      </c>
    </row>
    <row r="125" spans="1:7" ht="15.75" customHeight="1" x14ac:dyDescent="0.2">
      <c r="A125" s="7" t="s">
        <v>725</v>
      </c>
      <c r="B125" s="158">
        <f t="shared" si="0"/>
        <v>1897</v>
      </c>
      <c r="C125" s="65" t="s">
        <v>660</v>
      </c>
      <c r="D125" s="159">
        <v>1897</v>
      </c>
      <c r="E125" s="160">
        <v>0</v>
      </c>
      <c r="F125" s="27"/>
      <c r="G125" s="7" t="s">
        <v>661</v>
      </c>
    </row>
    <row r="126" spans="1:7" ht="15.75" customHeight="1" x14ac:dyDescent="0.2">
      <c r="A126" s="7" t="s">
        <v>726</v>
      </c>
      <c r="B126" s="158">
        <f t="shared" si="0"/>
        <v>0</v>
      </c>
      <c r="C126" s="65" t="s">
        <v>660</v>
      </c>
      <c r="D126" s="175"/>
      <c r="E126" s="160"/>
      <c r="F126" s="27"/>
      <c r="G126" s="7" t="s">
        <v>661</v>
      </c>
    </row>
    <row r="127" spans="1:7" ht="15.75" customHeight="1" x14ac:dyDescent="0.2">
      <c r="A127" s="7" t="s">
        <v>727</v>
      </c>
      <c r="B127" s="158">
        <f t="shared" si="0"/>
        <v>0</v>
      </c>
      <c r="C127" s="65" t="s">
        <v>660</v>
      </c>
      <c r="D127" s="175"/>
      <c r="E127" s="160"/>
      <c r="F127" s="27"/>
      <c r="G127" s="7" t="s">
        <v>661</v>
      </c>
    </row>
    <row r="128" spans="1:7" ht="15.75" customHeight="1" x14ac:dyDescent="0.2">
      <c r="A128" s="7" t="s">
        <v>728</v>
      </c>
      <c r="B128" s="158">
        <f t="shared" si="0"/>
        <v>16260</v>
      </c>
      <c r="C128" s="65" t="s">
        <v>667</v>
      </c>
      <c r="D128" s="159">
        <v>16260</v>
      </c>
      <c r="E128" s="160"/>
      <c r="F128" s="27"/>
      <c r="G128" s="7" t="s">
        <v>661</v>
      </c>
    </row>
    <row r="129" spans="1:7" ht="15.75" customHeight="1" x14ac:dyDescent="0.2">
      <c r="A129" s="7" t="s">
        <v>300</v>
      </c>
      <c r="B129" s="158">
        <f t="shared" si="0"/>
        <v>15044</v>
      </c>
      <c r="C129" s="65" t="s">
        <v>667</v>
      </c>
      <c r="D129" s="159">
        <v>15044</v>
      </c>
      <c r="E129" s="160"/>
      <c r="F129" s="27"/>
      <c r="G129" s="7" t="s">
        <v>661</v>
      </c>
    </row>
    <row r="130" spans="1:7" ht="15.75" customHeight="1" x14ac:dyDescent="0.2">
      <c r="A130" s="7" t="s">
        <v>729</v>
      </c>
      <c r="B130" s="158">
        <f t="shared" si="0"/>
        <v>0</v>
      </c>
      <c r="C130" s="65" t="s">
        <v>667</v>
      </c>
      <c r="D130" s="175"/>
      <c r="E130" s="160"/>
      <c r="F130" s="27"/>
      <c r="G130" s="7" t="s">
        <v>661</v>
      </c>
    </row>
    <row r="131" spans="1:7" ht="15.75" customHeight="1" x14ac:dyDescent="0.2">
      <c r="A131" s="7" t="s">
        <v>730</v>
      </c>
      <c r="B131" s="158">
        <f t="shared" si="0"/>
        <v>0</v>
      </c>
      <c r="C131" s="65" t="s">
        <v>667</v>
      </c>
      <c r="D131" s="175"/>
      <c r="E131" s="160"/>
      <c r="F131" s="27"/>
      <c r="G131" s="7" t="s">
        <v>661</v>
      </c>
    </row>
    <row r="132" spans="1:7" ht="15.75" customHeight="1" x14ac:dyDescent="0.2">
      <c r="A132" s="7" t="s">
        <v>731</v>
      </c>
      <c r="B132" s="158">
        <f t="shared" si="0"/>
        <v>10641</v>
      </c>
      <c r="C132" s="65" t="s">
        <v>667</v>
      </c>
      <c r="D132" s="159">
        <v>10641</v>
      </c>
      <c r="E132" s="160"/>
      <c r="F132" s="27"/>
      <c r="G132" s="7" t="s">
        <v>661</v>
      </c>
    </row>
    <row r="133" spans="1:7" ht="15.75" customHeight="1" x14ac:dyDescent="0.2">
      <c r="A133" s="7" t="s">
        <v>732</v>
      </c>
      <c r="B133" s="158">
        <f t="shared" si="0"/>
        <v>0</v>
      </c>
      <c r="C133" s="65" t="s">
        <v>667</v>
      </c>
      <c r="D133" s="175"/>
      <c r="E133" s="160"/>
      <c r="F133" s="27"/>
      <c r="G133" s="7" t="s">
        <v>661</v>
      </c>
    </row>
    <row r="134" spans="1:7" ht="15.75" customHeight="1" x14ac:dyDescent="0.2">
      <c r="A134" s="7" t="s">
        <v>174</v>
      </c>
      <c r="B134" s="158">
        <f t="shared" si="0"/>
        <v>15388</v>
      </c>
      <c r="C134" s="65" t="s">
        <v>667</v>
      </c>
      <c r="D134" s="159">
        <v>15388</v>
      </c>
      <c r="E134" s="160"/>
      <c r="F134" s="27"/>
      <c r="G134" s="7" t="s">
        <v>661</v>
      </c>
    </row>
    <row r="135" spans="1:7" ht="15.75" customHeight="1" x14ac:dyDescent="0.2">
      <c r="A135" s="13" t="s">
        <v>193</v>
      </c>
      <c r="B135" s="158">
        <f t="shared" si="0"/>
        <v>18007</v>
      </c>
      <c r="C135" s="65" t="s">
        <v>667</v>
      </c>
      <c r="D135" s="159">
        <v>18007</v>
      </c>
      <c r="E135" s="160"/>
      <c r="F135" s="27"/>
      <c r="G135" s="7" t="s">
        <v>661</v>
      </c>
    </row>
    <row r="136" spans="1:7" ht="15.75" customHeight="1" x14ac:dyDescent="0.2">
      <c r="A136" s="13" t="s">
        <v>181</v>
      </c>
      <c r="B136" s="158">
        <f t="shared" si="0"/>
        <v>90016</v>
      </c>
      <c r="C136" s="65" t="s">
        <v>667</v>
      </c>
      <c r="D136" s="159">
        <v>90016</v>
      </c>
      <c r="E136" s="160"/>
      <c r="F136" s="27"/>
      <c r="G136" s="7" t="s">
        <v>661</v>
      </c>
    </row>
    <row r="137" spans="1:7" ht="15.75" customHeight="1" x14ac:dyDescent="0.2">
      <c r="A137" s="7" t="s">
        <v>403</v>
      </c>
      <c r="B137" s="158">
        <f t="shared" si="0"/>
        <v>90016</v>
      </c>
      <c r="C137" s="65" t="s">
        <v>667</v>
      </c>
      <c r="D137" s="159">
        <v>90016</v>
      </c>
      <c r="E137" s="160"/>
      <c r="F137" s="27"/>
      <c r="G137" s="7" t="s">
        <v>661</v>
      </c>
    </row>
    <row r="138" spans="1:7" ht="15.75" customHeight="1" x14ac:dyDescent="0.2">
      <c r="A138" s="7" t="s">
        <v>733</v>
      </c>
      <c r="B138" s="158">
        <f t="shared" si="0"/>
        <v>0</v>
      </c>
      <c r="C138" s="65" t="s">
        <v>667</v>
      </c>
      <c r="D138" s="175"/>
      <c r="E138" s="160">
        <v>0.5</v>
      </c>
      <c r="F138" s="27"/>
      <c r="G138" s="7" t="s">
        <v>661</v>
      </c>
    </row>
    <row r="139" spans="1:7" ht="15.75" customHeight="1" x14ac:dyDescent="0.2">
      <c r="A139" s="7" t="s">
        <v>734</v>
      </c>
      <c r="B139" s="158">
        <f t="shared" si="0"/>
        <v>0</v>
      </c>
      <c r="C139" s="65" t="s">
        <v>667</v>
      </c>
      <c r="D139" s="175"/>
      <c r="E139" s="160">
        <v>0.4</v>
      </c>
      <c r="F139" s="27"/>
      <c r="G139" s="7" t="s">
        <v>661</v>
      </c>
    </row>
    <row r="140" spans="1:7" ht="15.75" customHeight="1" x14ac:dyDescent="0.2">
      <c r="A140" s="7" t="s">
        <v>37</v>
      </c>
      <c r="B140" s="158">
        <f t="shared" si="0"/>
        <v>17587.349999999999</v>
      </c>
      <c r="C140" s="65" t="s">
        <v>667</v>
      </c>
      <c r="D140" s="159">
        <v>17587.349999999999</v>
      </c>
      <c r="E140" s="160"/>
      <c r="F140" s="27"/>
      <c r="G140" s="7" t="s">
        <v>661</v>
      </c>
    </row>
    <row r="141" spans="1:7" ht="15.75" customHeight="1" x14ac:dyDescent="0.2">
      <c r="A141" s="7" t="s">
        <v>735</v>
      </c>
      <c r="B141" s="158">
        <f t="shared" si="0"/>
        <v>2670</v>
      </c>
      <c r="C141" s="65" t="s">
        <v>667</v>
      </c>
      <c r="D141" s="175">
        <v>2670</v>
      </c>
      <c r="E141" s="160"/>
      <c r="F141" s="27"/>
      <c r="G141" s="7" t="s">
        <v>661</v>
      </c>
    </row>
    <row r="142" spans="1:7" ht="15.75" customHeight="1" x14ac:dyDescent="0.2">
      <c r="A142" s="7" t="s">
        <v>736</v>
      </c>
      <c r="B142" s="158">
        <f t="shared" si="0"/>
        <v>0</v>
      </c>
      <c r="C142" s="65" t="s">
        <v>667</v>
      </c>
      <c r="D142" s="175"/>
      <c r="E142" s="160">
        <v>-1</v>
      </c>
      <c r="F142" s="27"/>
      <c r="G142" s="7" t="s">
        <v>661</v>
      </c>
    </row>
    <row r="143" spans="1:7" ht="15.75" customHeight="1" x14ac:dyDescent="0.2">
      <c r="A143" s="7" t="s">
        <v>291</v>
      </c>
      <c r="B143" s="158">
        <f t="shared" si="0"/>
        <v>1037</v>
      </c>
      <c r="C143" s="65" t="s">
        <v>660</v>
      </c>
      <c r="D143" s="159">
        <v>1037</v>
      </c>
      <c r="E143" s="160"/>
      <c r="F143" s="27"/>
      <c r="G143" s="7" t="s">
        <v>661</v>
      </c>
    </row>
    <row r="144" spans="1:7" ht="15.75" customHeight="1" x14ac:dyDescent="0.2">
      <c r="A144" s="7" t="s">
        <v>737</v>
      </c>
      <c r="B144" s="158">
        <f t="shared" si="0"/>
        <v>677.6</v>
      </c>
      <c r="C144" s="65" t="s">
        <v>660</v>
      </c>
      <c r="D144" s="175">
        <v>677.6</v>
      </c>
      <c r="E144" s="160"/>
      <c r="F144" s="27"/>
      <c r="G144" s="7" t="s">
        <v>661</v>
      </c>
    </row>
    <row r="145" spans="1:9" ht="15.75" customHeight="1" x14ac:dyDescent="0.2">
      <c r="A145" s="7" t="s">
        <v>738</v>
      </c>
      <c r="B145" s="158">
        <f t="shared" si="0"/>
        <v>0</v>
      </c>
      <c r="C145" s="65" t="s">
        <v>660</v>
      </c>
      <c r="D145" s="175"/>
      <c r="E145" s="160"/>
      <c r="F145" s="27"/>
      <c r="G145" s="7" t="s">
        <v>661</v>
      </c>
    </row>
    <row r="146" spans="1:9" ht="15.75" customHeight="1" x14ac:dyDescent="0.2">
      <c r="A146" s="7" t="s">
        <v>450</v>
      </c>
      <c r="B146" s="158">
        <f t="shared" si="0"/>
        <v>2000</v>
      </c>
      <c r="C146" s="65" t="s">
        <v>660</v>
      </c>
      <c r="D146" s="159">
        <v>2000</v>
      </c>
      <c r="E146" s="160"/>
      <c r="F146" s="27"/>
      <c r="G146" s="7" t="s">
        <v>661</v>
      </c>
      <c r="I146" s="187"/>
    </row>
    <row r="147" spans="1:9" ht="15.75" customHeight="1" x14ac:dyDescent="0.2">
      <c r="A147" s="7" t="s">
        <v>358</v>
      </c>
      <c r="B147" s="158">
        <f t="shared" si="0"/>
        <v>7000</v>
      </c>
      <c r="C147" s="65" t="s">
        <v>667</v>
      </c>
      <c r="D147" s="159">
        <v>7000</v>
      </c>
      <c r="E147" s="160">
        <v>0</v>
      </c>
      <c r="F147" s="27"/>
      <c r="G147" s="7" t="s">
        <v>739</v>
      </c>
    </row>
    <row r="148" spans="1:9" ht="15.75" customHeight="1" x14ac:dyDescent="0.2">
      <c r="A148" s="7" t="s">
        <v>740</v>
      </c>
      <c r="B148" s="158">
        <f t="shared" si="0"/>
        <v>8200</v>
      </c>
      <c r="C148" s="65" t="s">
        <v>667</v>
      </c>
      <c r="D148" s="159">
        <v>8200</v>
      </c>
      <c r="E148" s="160">
        <v>0</v>
      </c>
      <c r="F148" s="27"/>
      <c r="G148" s="7" t="s">
        <v>739</v>
      </c>
    </row>
    <row r="149" spans="1:9" ht="15.75" customHeight="1" x14ac:dyDescent="0.2">
      <c r="A149" s="7" t="s">
        <v>464</v>
      </c>
      <c r="B149" s="158">
        <f t="shared" si="0"/>
        <v>15800</v>
      </c>
      <c r="C149" s="65" t="s">
        <v>667</v>
      </c>
      <c r="D149" s="159">
        <v>15800</v>
      </c>
      <c r="E149" s="160"/>
      <c r="F149" s="27"/>
      <c r="G149" s="7" t="s">
        <v>739</v>
      </c>
    </row>
    <row r="150" spans="1:9" ht="15.75" customHeight="1" x14ac:dyDescent="0.2">
      <c r="A150" s="7" t="s">
        <v>130</v>
      </c>
      <c r="B150" s="158">
        <f t="shared" si="0"/>
        <v>15378.580952380953</v>
      </c>
      <c r="C150" s="65" t="s">
        <v>667</v>
      </c>
      <c r="D150" s="175">
        <f>'SUBRECETAS TUESTE  CP'!J258</f>
        <v>15378.580952380953</v>
      </c>
      <c r="E150" s="160"/>
      <c r="F150" s="27"/>
      <c r="G150" s="7" t="s">
        <v>739</v>
      </c>
    </row>
    <row r="151" spans="1:9" ht="15.75" customHeight="1" x14ac:dyDescent="0.2">
      <c r="A151" s="7"/>
      <c r="B151" s="158">
        <f t="shared" si="0"/>
        <v>0</v>
      </c>
      <c r="C151" s="65" t="s">
        <v>667</v>
      </c>
      <c r="D151" s="175"/>
      <c r="E151" s="160"/>
      <c r="F151" s="27"/>
      <c r="G151" s="7" t="s">
        <v>739</v>
      </c>
    </row>
    <row r="152" spans="1:9" ht="15.75" customHeight="1" x14ac:dyDescent="0.2">
      <c r="A152" s="7"/>
      <c r="B152" s="158">
        <f t="shared" si="0"/>
        <v>0</v>
      </c>
      <c r="C152" s="65" t="s">
        <v>667</v>
      </c>
      <c r="D152" s="175"/>
      <c r="E152" s="160"/>
      <c r="F152" s="27"/>
      <c r="G152" s="7" t="s">
        <v>739</v>
      </c>
    </row>
    <row r="153" spans="1:9" ht="15.75" customHeight="1" x14ac:dyDescent="0.2">
      <c r="A153" s="7"/>
      <c r="B153" s="158">
        <f t="shared" si="0"/>
        <v>0</v>
      </c>
      <c r="C153" s="65" t="s">
        <v>667</v>
      </c>
      <c r="D153" s="175"/>
      <c r="E153" s="160"/>
      <c r="F153" s="27"/>
      <c r="G153" s="7" t="s">
        <v>739</v>
      </c>
    </row>
    <row r="154" spans="1:9" ht="15.75" customHeight="1" x14ac:dyDescent="0.2">
      <c r="A154" s="7"/>
      <c r="B154" s="158">
        <f t="shared" si="0"/>
        <v>0</v>
      </c>
      <c r="C154" s="65" t="s">
        <v>667</v>
      </c>
      <c r="D154" s="175"/>
      <c r="E154" s="160"/>
      <c r="F154" s="27"/>
      <c r="G154" s="7" t="s">
        <v>739</v>
      </c>
    </row>
    <row r="155" spans="1:9" ht="15.75" customHeight="1" x14ac:dyDescent="0.2">
      <c r="A155" s="7"/>
      <c r="B155" s="158">
        <f t="shared" si="0"/>
        <v>0</v>
      </c>
      <c r="C155" s="65" t="s">
        <v>667</v>
      </c>
      <c r="D155" s="175"/>
      <c r="E155" s="160"/>
      <c r="F155" s="27"/>
      <c r="G155" s="7" t="s">
        <v>739</v>
      </c>
    </row>
    <row r="156" spans="1:9" ht="15.75" customHeight="1" x14ac:dyDescent="0.2">
      <c r="A156" s="7"/>
      <c r="B156" s="158">
        <f t="shared" si="0"/>
        <v>0</v>
      </c>
      <c r="C156" s="65" t="s">
        <v>667</v>
      </c>
      <c r="D156" s="175"/>
      <c r="E156" s="160"/>
      <c r="F156" s="27"/>
      <c r="G156" s="7" t="s">
        <v>739</v>
      </c>
    </row>
    <row r="157" spans="1:9" ht="15.75" customHeight="1" x14ac:dyDescent="0.2">
      <c r="A157" s="7"/>
      <c r="B157" s="158">
        <f t="shared" si="0"/>
        <v>0</v>
      </c>
      <c r="C157" s="65" t="s">
        <v>667</v>
      </c>
      <c r="D157" s="175"/>
      <c r="E157" s="160">
        <v>0.4</v>
      </c>
      <c r="F157" s="27"/>
      <c r="G157" s="7" t="s">
        <v>739</v>
      </c>
    </row>
    <row r="158" spans="1:9" ht="15.75" customHeight="1" x14ac:dyDescent="0.2">
      <c r="A158" s="7"/>
      <c r="B158" s="158">
        <f t="shared" si="0"/>
        <v>0</v>
      </c>
      <c r="C158" s="65" t="s">
        <v>667</v>
      </c>
      <c r="D158" s="175"/>
      <c r="E158" s="160"/>
      <c r="F158" s="27"/>
      <c r="G158" s="7" t="s">
        <v>739</v>
      </c>
    </row>
    <row r="159" spans="1:9" ht="15.75" customHeight="1" x14ac:dyDescent="0.2">
      <c r="A159" s="7"/>
      <c r="B159" s="158">
        <f t="shared" si="0"/>
        <v>0</v>
      </c>
      <c r="C159" s="65" t="s">
        <v>667</v>
      </c>
      <c r="D159" s="175"/>
      <c r="E159" s="160"/>
      <c r="F159" s="27"/>
      <c r="G159" s="7" t="s">
        <v>739</v>
      </c>
    </row>
    <row r="160" spans="1:9" ht="15.75" customHeight="1" x14ac:dyDescent="0.2">
      <c r="A160" s="7"/>
      <c r="B160" s="158">
        <f t="shared" si="0"/>
        <v>0</v>
      </c>
      <c r="C160" s="65" t="s">
        <v>667</v>
      </c>
      <c r="D160" s="175"/>
      <c r="E160" s="160">
        <v>0.6</v>
      </c>
      <c r="F160" s="27"/>
      <c r="G160" s="7" t="s">
        <v>739</v>
      </c>
    </row>
    <row r="161" spans="1:7" ht="15.75" customHeight="1" x14ac:dyDescent="0.2">
      <c r="A161" s="7" t="s">
        <v>741</v>
      </c>
      <c r="B161" s="158">
        <f t="shared" si="0"/>
        <v>16346.8822</v>
      </c>
      <c r="C161" s="65" t="s">
        <v>667</v>
      </c>
      <c r="D161" s="159">
        <v>13853.29</v>
      </c>
      <c r="E161" s="160">
        <v>0.18</v>
      </c>
      <c r="F161" s="27"/>
      <c r="G161" s="7" t="s">
        <v>739</v>
      </c>
    </row>
    <row r="162" spans="1:7" ht="15.75" customHeight="1" x14ac:dyDescent="0.2">
      <c r="A162" s="7" t="s">
        <v>742</v>
      </c>
      <c r="B162" s="158">
        <f t="shared" si="0"/>
        <v>7700</v>
      </c>
      <c r="C162" s="65" t="s">
        <v>667</v>
      </c>
      <c r="D162" s="159">
        <v>7700</v>
      </c>
      <c r="E162" s="160"/>
      <c r="F162" s="27"/>
      <c r="G162" s="7" t="s">
        <v>739</v>
      </c>
    </row>
    <row r="163" spans="1:7" ht="15.75" customHeight="1" x14ac:dyDescent="0.2">
      <c r="A163" s="7" t="s">
        <v>147</v>
      </c>
      <c r="B163" s="158">
        <f t="shared" si="0"/>
        <v>7700</v>
      </c>
      <c r="C163" s="65" t="s">
        <v>667</v>
      </c>
      <c r="D163" s="159">
        <v>7700</v>
      </c>
      <c r="E163" s="160"/>
      <c r="F163" s="27"/>
      <c r="G163" s="7" t="s">
        <v>739</v>
      </c>
    </row>
    <row r="164" spans="1:7" ht="15.75" customHeight="1" x14ac:dyDescent="0.2">
      <c r="A164" s="7"/>
      <c r="B164" s="158">
        <f t="shared" si="0"/>
        <v>0</v>
      </c>
      <c r="C164" s="65" t="s">
        <v>667</v>
      </c>
      <c r="D164" s="175"/>
      <c r="E164" s="160">
        <v>0.27</v>
      </c>
      <c r="F164" s="27"/>
      <c r="G164" s="7" t="s">
        <v>739</v>
      </c>
    </row>
    <row r="165" spans="1:7" ht="15.75" customHeight="1" x14ac:dyDescent="0.2">
      <c r="A165" s="7" t="s">
        <v>743</v>
      </c>
      <c r="B165" s="158">
        <f t="shared" si="0"/>
        <v>17289</v>
      </c>
      <c r="C165" s="65" t="s">
        <v>667</v>
      </c>
      <c r="D165" s="159">
        <v>15300</v>
      </c>
      <c r="E165" s="160">
        <v>0.13</v>
      </c>
      <c r="F165" s="27"/>
      <c r="G165" s="7" t="s">
        <v>739</v>
      </c>
    </row>
    <row r="166" spans="1:7" ht="15.75" customHeight="1" x14ac:dyDescent="0.2">
      <c r="A166" s="7" t="s">
        <v>744</v>
      </c>
      <c r="B166" s="158">
        <f t="shared" si="0"/>
        <v>4406.82</v>
      </c>
      <c r="C166" s="65" t="s">
        <v>676</v>
      </c>
      <c r="D166" s="175">
        <v>4406.82</v>
      </c>
      <c r="E166" s="160"/>
      <c r="F166" s="27"/>
      <c r="G166" s="7" t="s">
        <v>745</v>
      </c>
    </row>
    <row r="167" spans="1:7" ht="15.75" customHeight="1" x14ac:dyDescent="0.2">
      <c r="A167" s="7" t="s">
        <v>156</v>
      </c>
      <c r="B167" s="158">
        <f t="shared" si="0"/>
        <v>155</v>
      </c>
      <c r="C167" s="65" t="s">
        <v>676</v>
      </c>
      <c r="D167" s="159">
        <v>155</v>
      </c>
      <c r="E167" s="160"/>
      <c r="F167" s="27"/>
      <c r="G167" s="7" t="s">
        <v>745</v>
      </c>
    </row>
    <row r="168" spans="1:7" ht="15.75" customHeight="1" x14ac:dyDescent="0.2">
      <c r="A168" s="7" t="s">
        <v>159</v>
      </c>
      <c r="B168" s="158">
        <f t="shared" si="0"/>
        <v>392</v>
      </c>
      <c r="C168" s="65" t="s">
        <v>676</v>
      </c>
      <c r="D168" s="159">
        <v>392</v>
      </c>
      <c r="E168" s="160"/>
      <c r="F168" s="27"/>
      <c r="G168" s="7" t="s">
        <v>745</v>
      </c>
    </row>
    <row r="169" spans="1:7" ht="15.75" customHeight="1" x14ac:dyDescent="0.2">
      <c r="A169" s="7" t="s">
        <v>746</v>
      </c>
      <c r="B169" s="158">
        <f t="shared" si="0"/>
        <v>0</v>
      </c>
      <c r="C169" s="65" t="s">
        <v>676</v>
      </c>
      <c r="D169" s="175"/>
      <c r="E169" s="160"/>
      <c r="F169" s="27"/>
      <c r="G169" s="7" t="s">
        <v>745</v>
      </c>
    </row>
    <row r="170" spans="1:7" ht="15.75" customHeight="1" x14ac:dyDescent="0.2">
      <c r="A170" s="7" t="s">
        <v>747</v>
      </c>
      <c r="B170" s="158">
        <f t="shared" si="0"/>
        <v>3354.12</v>
      </c>
      <c r="C170" s="65" t="s">
        <v>676</v>
      </c>
      <c r="D170" s="159">
        <v>3354.12</v>
      </c>
      <c r="E170" s="160"/>
      <c r="F170" s="27"/>
      <c r="G170" s="7" t="s">
        <v>745</v>
      </c>
    </row>
    <row r="171" spans="1:7" ht="15.75" customHeight="1" x14ac:dyDescent="0.2">
      <c r="A171" s="7" t="s">
        <v>748</v>
      </c>
      <c r="B171" s="158">
        <f t="shared" si="0"/>
        <v>0</v>
      </c>
      <c r="C171" s="65" t="s">
        <v>676</v>
      </c>
      <c r="D171" s="175"/>
      <c r="E171" s="160"/>
      <c r="F171" s="27"/>
      <c r="G171" s="7" t="s">
        <v>745</v>
      </c>
    </row>
    <row r="172" spans="1:7" ht="15.75" customHeight="1" x14ac:dyDescent="0.2">
      <c r="A172" s="7" t="s">
        <v>157</v>
      </c>
      <c r="B172" s="158">
        <f t="shared" si="0"/>
        <v>86</v>
      </c>
      <c r="C172" s="65" t="s">
        <v>676</v>
      </c>
      <c r="D172" s="159">
        <v>86</v>
      </c>
      <c r="E172" s="160"/>
      <c r="F172" s="27"/>
      <c r="G172" s="7" t="s">
        <v>745</v>
      </c>
    </row>
    <row r="173" spans="1:7" ht="15.75" customHeight="1" x14ac:dyDescent="0.2">
      <c r="A173" s="7" t="s">
        <v>749</v>
      </c>
      <c r="B173" s="158">
        <f t="shared" si="0"/>
        <v>21859.5</v>
      </c>
      <c r="C173" s="65" t="s">
        <v>750</v>
      </c>
      <c r="D173" s="175">
        <v>21859.5</v>
      </c>
      <c r="E173" s="160"/>
      <c r="F173" s="27"/>
      <c r="G173" s="7" t="s">
        <v>745</v>
      </c>
    </row>
    <row r="174" spans="1:7" ht="15.75" customHeight="1" x14ac:dyDescent="0.2">
      <c r="A174" s="7" t="s">
        <v>154</v>
      </c>
      <c r="B174" s="158">
        <f t="shared" si="0"/>
        <v>620</v>
      </c>
      <c r="C174" s="65" t="s">
        <v>676</v>
      </c>
      <c r="D174" s="159">
        <v>620</v>
      </c>
      <c r="E174" s="160"/>
      <c r="F174" s="27"/>
      <c r="G174" s="7" t="s">
        <v>745</v>
      </c>
    </row>
    <row r="175" spans="1:7" ht="15.75" customHeight="1" x14ac:dyDescent="0.2">
      <c r="A175" s="7" t="s">
        <v>155</v>
      </c>
      <c r="B175" s="158">
        <f t="shared" si="0"/>
        <v>974</v>
      </c>
      <c r="C175" s="65" t="s">
        <v>676</v>
      </c>
      <c r="D175" s="159">
        <v>974</v>
      </c>
      <c r="E175" s="160"/>
      <c r="F175" s="27"/>
      <c r="G175" s="7" t="s">
        <v>745</v>
      </c>
    </row>
    <row r="176" spans="1:7" ht="15.75" customHeight="1" x14ac:dyDescent="0.2">
      <c r="A176" s="7" t="s">
        <v>153</v>
      </c>
      <c r="B176" s="158">
        <f t="shared" si="0"/>
        <v>160.5</v>
      </c>
      <c r="C176" s="65" t="s">
        <v>676</v>
      </c>
      <c r="D176" s="159">
        <v>160.5</v>
      </c>
      <c r="E176" s="160"/>
      <c r="F176" s="27"/>
      <c r="G176" s="7" t="s">
        <v>745</v>
      </c>
    </row>
    <row r="177" spans="1:7" ht="15.75" customHeight="1" x14ac:dyDescent="0.2">
      <c r="A177" s="7" t="s">
        <v>751</v>
      </c>
      <c r="B177" s="158">
        <f t="shared" si="0"/>
        <v>0</v>
      </c>
      <c r="C177" s="65" t="s">
        <v>750</v>
      </c>
      <c r="D177" s="175"/>
      <c r="E177" s="160"/>
      <c r="F177" s="27"/>
      <c r="G177" s="7" t="s">
        <v>745</v>
      </c>
    </row>
    <row r="178" spans="1:7" ht="15.75" customHeight="1" x14ac:dyDescent="0.2">
      <c r="A178" s="7" t="s">
        <v>752</v>
      </c>
      <c r="B178" s="158">
        <f t="shared" si="0"/>
        <v>12281.07</v>
      </c>
      <c r="C178" s="65" t="s">
        <v>676</v>
      </c>
      <c r="D178" s="159">
        <v>12281.07</v>
      </c>
      <c r="E178" s="160"/>
      <c r="F178" s="27"/>
      <c r="G178" s="7" t="s">
        <v>745</v>
      </c>
    </row>
    <row r="179" spans="1:7" ht="15.75" customHeight="1" x14ac:dyDescent="0.2">
      <c r="A179" s="7" t="s">
        <v>753</v>
      </c>
      <c r="B179" s="158">
        <f t="shared" si="0"/>
        <v>0</v>
      </c>
      <c r="C179" s="65" t="s">
        <v>676</v>
      </c>
      <c r="D179" s="175"/>
      <c r="E179" s="160"/>
      <c r="F179" s="27"/>
      <c r="G179" s="7" t="s">
        <v>745</v>
      </c>
    </row>
    <row r="180" spans="1:7" ht="15.75" customHeight="1" x14ac:dyDescent="0.2">
      <c r="A180" s="7" t="s">
        <v>754</v>
      </c>
      <c r="B180" s="158">
        <f t="shared" si="0"/>
        <v>0</v>
      </c>
      <c r="C180" s="65" t="s">
        <v>676</v>
      </c>
      <c r="D180" s="175"/>
      <c r="E180" s="160"/>
      <c r="F180" s="27"/>
      <c r="G180" s="7" t="s">
        <v>745</v>
      </c>
    </row>
    <row r="181" spans="1:7" ht="15.75" customHeight="1" x14ac:dyDescent="0.2">
      <c r="A181" s="7" t="s">
        <v>755</v>
      </c>
      <c r="B181" s="158">
        <f t="shared" si="0"/>
        <v>14453.21</v>
      </c>
      <c r="C181" s="65" t="s">
        <v>676</v>
      </c>
      <c r="D181" s="159">
        <v>14453.21</v>
      </c>
      <c r="E181" s="160"/>
      <c r="F181" s="27"/>
      <c r="G181" s="7" t="s">
        <v>745</v>
      </c>
    </row>
    <row r="182" spans="1:7" ht="15.75" customHeight="1" x14ac:dyDescent="0.2">
      <c r="A182" s="7" t="s">
        <v>756</v>
      </c>
      <c r="B182" s="158">
        <f t="shared" si="0"/>
        <v>0</v>
      </c>
      <c r="C182" s="65" t="s">
        <v>676</v>
      </c>
      <c r="D182" s="175"/>
      <c r="E182" s="160"/>
      <c r="F182" s="27"/>
      <c r="G182" s="7" t="s">
        <v>745</v>
      </c>
    </row>
    <row r="183" spans="1:7" ht="15.75" customHeight="1" x14ac:dyDescent="0.2">
      <c r="A183" s="7" t="s">
        <v>555</v>
      </c>
      <c r="B183" s="158">
        <f t="shared" si="0"/>
        <v>98.65</v>
      </c>
      <c r="C183" s="65" t="s">
        <v>676</v>
      </c>
      <c r="D183" s="159">
        <v>98.65</v>
      </c>
      <c r="E183" s="160"/>
      <c r="F183" s="27"/>
      <c r="G183" s="7" t="s">
        <v>745</v>
      </c>
    </row>
    <row r="184" spans="1:7" ht="15.75" customHeight="1" x14ac:dyDescent="0.2">
      <c r="A184" s="7" t="s">
        <v>757</v>
      </c>
      <c r="B184" s="158">
        <f t="shared" si="0"/>
        <v>0</v>
      </c>
      <c r="C184" s="65" t="s">
        <v>676</v>
      </c>
      <c r="D184" s="175"/>
      <c r="E184" s="160"/>
      <c r="F184" s="27"/>
      <c r="G184" s="7" t="s">
        <v>745</v>
      </c>
    </row>
    <row r="185" spans="1:7" ht="15.75" customHeight="1" x14ac:dyDescent="0.2">
      <c r="A185" s="7" t="s">
        <v>758</v>
      </c>
      <c r="B185" s="158">
        <f t="shared" si="0"/>
        <v>0</v>
      </c>
      <c r="C185" s="65" t="s">
        <v>667</v>
      </c>
      <c r="D185" s="175"/>
      <c r="E185" s="160"/>
      <c r="F185" s="27"/>
      <c r="G185" s="7" t="s">
        <v>759</v>
      </c>
    </row>
    <row r="186" spans="1:7" ht="15.75" customHeight="1" x14ac:dyDescent="0.2">
      <c r="A186" s="7" t="s">
        <v>760</v>
      </c>
      <c r="B186" s="158">
        <f t="shared" si="0"/>
        <v>6850</v>
      </c>
      <c r="C186" s="65"/>
      <c r="D186" s="175">
        <v>6850</v>
      </c>
      <c r="E186" s="160"/>
      <c r="F186" s="27"/>
      <c r="G186" s="7" t="s">
        <v>759</v>
      </c>
    </row>
    <row r="187" spans="1:7" ht="15.75" customHeight="1" x14ac:dyDescent="0.2">
      <c r="A187" s="7" t="s">
        <v>209</v>
      </c>
      <c r="B187" s="158">
        <f t="shared" si="0"/>
        <v>12874.4</v>
      </c>
      <c r="C187" s="65" t="s">
        <v>667</v>
      </c>
      <c r="D187" s="159">
        <v>12874.4</v>
      </c>
      <c r="E187" s="160">
        <v>0</v>
      </c>
      <c r="F187" s="27"/>
      <c r="G187" s="7" t="s">
        <v>759</v>
      </c>
    </row>
    <row r="188" spans="1:7" ht="15.75" customHeight="1" x14ac:dyDescent="0.2">
      <c r="A188" s="7" t="s">
        <v>761</v>
      </c>
      <c r="B188" s="158">
        <f t="shared" si="0"/>
        <v>0</v>
      </c>
      <c r="C188" s="65" t="s">
        <v>667</v>
      </c>
      <c r="D188" s="175"/>
      <c r="E188" s="160"/>
      <c r="F188" s="27"/>
      <c r="G188" s="7" t="s">
        <v>759</v>
      </c>
    </row>
    <row r="189" spans="1:7" ht="15.75" customHeight="1" x14ac:dyDescent="0.2">
      <c r="A189" s="7" t="s">
        <v>329</v>
      </c>
      <c r="B189" s="158">
        <f t="shared" si="0"/>
        <v>8765</v>
      </c>
      <c r="C189" s="65" t="s">
        <v>667</v>
      </c>
      <c r="D189" s="159">
        <v>8765</v>
      </c>
      <c r="E189" s="160"/>
      <c r="F189" s="27"/>
      <c r="G189" s="7" t="s">
        <v>762</v>
      </c>
    </row>
    <row r="190" spans="1:7" ht="15.75" customHeight="1" x14ac:dyDescent="0.2">
      <c r="A190" s="7" t="s">
        <v>192</v>
      </c>
      <c r="B190" s="158">
        <f t="shared" si="0"/>
        <v>400</v>
      </c>
      <c r="C190" s="65" t="s">
        <v>667</v>
      </c>
      <c r="D190" s="159">
        <v>400</v>
      </c>
      <c r="E190" s="160"/>
      <c r="F190" s="27"/>
      <c r="G190" s="7" t="s">
        <v>762</v>
      </c>
    </row>
    <row r="191" spans="1:7" ht="15.75" customHeight="1" x14ac:dyDescent="0.2">
      <c r="A191" s="7" t="s">
        <v>763</v>
      </c>
      <c r="B191" s="158">
        <f t="shared" si="0"/>
        <v>0</v>
      </c>
      <c r="C191" s="65" t="s">
        <v>667</v>
      </c>
      <c r="D191" s="175"/>
      <c r="E191" s="160"/>
      <c r="F191" s="27"/>
      <c r="G191" s="7" t="s">
        <v>762</v>
      </c>
    </row>
    <row r="192" spans="1:7" ht="15.75" customHeight="1" x14ac:dyDescent="0.2">
      <c r="A192" s="7" t="s">
        <v>764</v>
      </c>
      <c r="B192" s="158">
        <f t="shared" si="0"/>
        <v>0</v>
      </c>
      <c r="C192" s="65" t="s">
        <v>667</v>
      </c>
      <c r="D192" s="175"/>
      <c r="E192" s="160"/>
      <c r="F192" s="27"/>
      <c r="G192" s="7" t="s">
        <v>762</v>
      </c>
    </row>
    <row r="193" spans="1:7" ht="15.75" customHeight="1" x14ac:dyDescent="0.2">
      <c r="A193" s="7" t="s">
        <v>492</v>
      </c>
      <c r="B193" s="158">
        <f t="shared" si="0"/>
        <v>10373</v>
      </c>
      <c r="C193" s="65" t="s">
        <v>667</v>
      </c>
      <c r="D193" s="159">
        <v>10373</v>
      </c>
      <c r="E193" s="160"/>
      <c r="F193" s="27"/>
      <c r="G193" s="7" t="s">
        <v>762</v>
      </c>
    </row>
    <row r="194" spans="1:7" ht="15.75" customHeight="1" x14ac:dyDescent="0.2">
      <c r="A194" s="7" t="s">
        <v>318</v>
      </c>
      <c r="B194" s="158">
        <f t="shared" si="0"/>
        <v>6809</v>
      </c>
      <c r="C194" s="65" t="s">
        <v>667</v>
      </c>
      <c r="D194" s="159">
        <v>6809</v>
      </c>
      <c r="E194" s="160"/>
      <c r="F194" s="27"/>
      <c r="G194" s="7" t="s">
        <v>762</v>
      </c>
    </row>
    <row r="195" spans="1:7" ht="15.75" customHeight="1" x14ac:dyDescent="0.2">
      <c r="A195" s="7" t="s">
        <v>219</v>
      </c>
      <c r="B195" s="158">
        <f t="shared" si="0"/>
        <v>2017.07</v>
      </c>
      <c r="C195" s="65" t="s">
        <v>660</v>
      </c>
      <c r="D195" s="159">
        <v>2017.07</v>
      </c>
      <c r="E195" s="160"/>
      <c r="F195" s="27"/>
      <c r="G195" s="7" t="s">
        <v>762</v>
      </c>
    </row>
    <row r="196" spans="1:7" ht="15.75" customHeight="1" x14ac:dyDescent="0.2">
      <c r="A196" s="7" t="s">
        <v>258</v>
      </c>
      <c r="B196" s="158">
        <f t="shared" si="0"/>
        <v>10203</v>
      </c>
      <c r="C196" s="65" t="s">
        <v>660</v>
      </c>
      <c r="D196" s="159">
        <v>10203</v>
      </c>
      <c r="E196" s="160"/>
      <c r="F196" s="27"/>
      <c r="G196" s="7" t="s">
        <v>762</v>
      </c>
    </row>
    <row r="197" spans="1:7" ht="15.75" customHeight="1" x14ac:dyDescent="0.2">
      <c r="A197" s="7" t="s">
        <v>281</v>
      </c>
      <c r="B197" s="158">
        <f t="shared" si="0"/>
        <v>3356</v>
      </c>
      <c r="C197" s="65" t="s">
        <v>667</v>
      </c>
      <c r="D197" s="159">
        <v>3356</v>
      </c>
      <c r="E197" s="160"/>
      <c r="F197" s="27"/>
      <c r="G197" s="7" t="s">
        <v>762</v>
      </c>
    </row>
    <row r="198" spans="1:7" ht="15.75" customHeight="1" x14ac:dyDescent="0.2">
      <c r="A198" s="7" t="s">
        <v>316</v>
      </c>
      <c r="B198" s="158">
        <f t="shared" si="0"/>
        <v>1940</v>
      </c>
      <c r="C198" s="65" t="s">
        <v>660</v>
      </c>
      <c r="D198" s="159">
        <v>1940</v>
      </c>
      <c r="E198" s="160"/>
      <c r="F198" s="27"/>
      <c r="G198" s="7" t="s">
        <v>762</v>
      </c>
    </row>
    <row r="199" spans="1:7" ht="15.75" customHeight="1" x14ac:dyDescent="0.2">
      <c r="A199" s="7" t="s">
        <v>493</v>
      </c>
      <c r="B199" s="158">
        <f t="shared" si="0"/>
        <v>12000</v>
      </c>
      <c r="C199" s="65" t="s">
        <v>667</v>
      </c>
      <c r="D199" s="159">
        <v>12000</v>
      </c>
      <c r="E199" s="160"/>
      <c r="F199" s="27"/>
      <c r="G199" s="7" t="s">
        <v>762</v>
      </c>
    </row>
    <row r="200" spans="1:7" ht="15.75" customHeight="1" x14ac:dyDescent="0.2">
      <c r="A200" s="7" t="s">
        <v>235</v>
      </c>
      <c r="B200" s="158">
        <f t="shared" si="0"/>
        <v>13662</v>
      </c>
      <c r="C200" s="65" t="s">
        <v>667</v>
      </c>
      <c r="D200" s="159">
        <v>13662</v>
      </c>
      <c r="E200" s="160"/>
      <c r="F200" s="27"/>
      <c r="G200" s="7" t="s">
        <v>762</v>
      </c>
    </row>
    <row r="201" spans="1:7" ht="15.75" customHeight="1" x14ac:dyDescent="0.2">
      <c r="A201" s="7" t="s">
        <v>73</v>
      </c>
      <c r="B201" s="158">
        <f t="shared" si="0"/>
        <v>16343</v>
      </c>
      <c r="C201" s="65" t="s">
        <v>667</v>
      </c>
      <c r="D201" s="159">
        <v>16343</v>
      </c>
      <c r="E201" s="160"/>
      <c r="F201" s="27"/>
      <c r="G201" s="7" t="s">
        <v>762</v>
      </c>
    </row>
    <row r="202" spans="1:7" ht="15.75" customHeight="1" x14ac:dyDescent="0.2">
      <c r="A202" s="7" t="s">
        <v>28</v>
      </c>
      <c r="B202" s="158">
        <f t="shared" si="0"/>
        <v>10697</v>
      </c>
      <c r="C202" s="65" t="s">
        <v>667</v>
      </c>
      <c r="D202" s="178">
        <v>10697</v>
      </c>
      <c r="E202" s="160"/>
      <c r="F202" s="27"/>
      <c r="G202" s="7" t="s">
        <v>762</v>
      </c>
    </row>
    <row r="203" spans="1:7" ht="15.75" customHeight="1" x14ac:dyDescent="0.2">
      <c r="A203" s="7"/>
      <c r="B203" s="158">
        <f t="shared" si="0"/>
        <v>0</v>
      </c>
      <c r="C203" s="65" t="s">
        <v>667</v>
      </c>
      <c r="D203" s="178"/>
      <c r="E203" s="160"/>
      <c r="F203" s="7"/>
      <c r="G203" s="7" t="s">
        <v>762</v>
      </c>
    </row>
    <row r="204" spans="1:7" ht="15.75" customHeight="1" x14ac:dyDescent="0.2">
      <c r="A204" s="7" t="s">
        <v>765</v>
      </c>
      <c r="B204" s="158">
        <f t="shared" si="0"/>
        <v>20535</v>
      </c>
      <c r="C204" s="65" t="s">
        <v>667</v>
      </c>
      <c r="D204" s="178">
        <v>20535</v>
      </c>
      <c r="E204" s="160"/>
      <c r="F204" s="7"/>
      <c r="G204" s="7" t="s">
        <v>762</v>
      </c>
    </row>
    <row r="205" spans="1:7" ht="15.75" customHeight="1" x14ac:dyDescent="0.2">
      <c r="A205" s="7" t="s">
        <v>766</v>
      </c>
      <c r="B205" s="158">
        <f t="shared" si="0"/>
        <v>6600</v>
      </c>
      <c r="C205" s="65" t="s">
        <v>667</v>
      </c>
      <c r="D205" s="178">
        <v>6600</v>
      </c>
      <c r="E205" s="160"/>
      <c r="F205" s="7"/>
      <c r="G205" s="7" t="s">
        <v>762</v>
      </c>
    </row>
    <row r="206" spans="1:7" ht="15.75" customHeight="1" x14ac:dyDescent="0.2">
      <c r="A206" s="19"/>
      <c r="B206" s="158">
        <f t="shared" si="0"/>
        <v>0</v>
      </c>
      <c r="C206" s="65" t="s">
        <v>667</v>
      </c>
      <c r="D206" s="178"/>
      <c r="E206" s="160"/>
      <c r="F206" s="7"/>
      <c r="G206" s="7" t="s">
        <v>762</v>
      </c>
    </row>
    <row r="207" spans="1:7" ht="15.75" customHeight="1" x14ac:dyDescent="0.2">
      <c r="A207" s="13" t="s">
        <v>26</v>
      </c>
      <c r="B207" s="158">
        <f t="shared" si="0"/>
        <v>6000</v>
      </c>
      <c r="C207" s="65" t="s">
        <v>667</v>
      </c>
      <c r="D207" s="178">
        <v>6000</v>
      </c>
      <c r="E207" s="160"/>
      <c r="F207" s="7"/>
      <c r="G207" s="7" t="s">
        <v>762</v>
      </c>
    </row>
    <row r="208" spans="1:7" ht="15.75" customHeight="1" x14ac:dyDescent="0.2">
      <c r="A208" s="7"/>
      <c r="B208" s="158">
        <f t="shared" si="0"/>
        <v>0</v>
      </c>
      <c r="C208" s="65" t="s">
        <v>667</v>
      </c>
      <c r="D208" s="178"/>
      <c r="E208" s="160"/>
      <c r="F208" s="7"/>
      <c r="G208" s="7" t="s">
        <v>762</v>
      </c>
    </row>
    <row r="209" spans="1:7" ht="15.75" customHeight="1" x14ac:dyDescent="0.2">
      <c r="A209" s="7" t="s">
        <v>767</v>
      </c>
      <c r="B209" s="158">
        <f t="shared" si="0"/>
        <v>16000</v>
      </c>
      <c r="C209" s="65" t="s">
        <v>667</v>
      </c>
      <c r="D209" s="178">
        <v>16000</v>
      </c>
      <c r="E209" s="160"/>
      <c r="F209" s="7"/>
      <c r="G209" s="7" t="s">
        <v>762</v>
      </c>
    </row>
    <row r="210" spans="1:7" ht="15.75" customHeight="1" x14ac:dyDescent="0.2">
      <c r="A210" s="38" t="s">
        <v>132</v>
      </c>
      <c r="B210" s="158">
        <f t="shared" si="0"/>
        <v>17376</v>
      </c>
      <c r="C210" s="65" t="s">
        <v>667</v>
      </c>
      <c r="D210" s="178">
        <v>17376</v>
      </c>
      <c r="E210" s="160"/>
      <c r="F210" s="7"/>
      <c r="G210" s="7" t="s">
        <v>762</v>
      </c>
    </row>
    <row r="211" spans="1:7" ht="15.75" customHeight="1" x14ac:dyDescent="0.2">
      <c r="A211" s="7" t="s">
        <v>507</v>
      </c>
      <c r="B211" s="158">
        <f t="shared" si="0"/>
        <v>15314</v>
      </c>
      <c r="C211" s="65" t="s">
        <v>667</v>
      </c>
      <c r="D211" s="178">
        <v>15314</v>
      </c>
      <c r="E211" s="160"/>
      <c r="F211" s="7"/>
      <c r="G211" s="7" t="s">
        <v>762</v>
      </c>
    </row>
    <row r="212" spans="1:7" ht="15.75" customHeight="1" x14ac:dyDescent="0.2">
      <c r="A212" s="7" t="s">
        <v>537</v>
      </c>
      <c r="B212" s="158">
        <f t="shared" si="0"/>
        <v>5672</v>
      </c>
      <c r="C212" s="65" t="s">
        <v>667</v>
      </c>
      <c r="D212" s="178">
        <v>5672</v>
      </c>
      <c r="E212" s="160"/>
      <c r="F212" s="7"/>
      <c r="G212" s="7" t="s">
        <v>768</v>
      </c>
    </row>
    <row r="213" spans="1:7" ht="15.75" customHeight="1" x14ac:dyDescent="0.2">
      <c r="A213" s="7" t="s">
        <v>769</v>
      </c>
      <c r="B213" s="158">
        <f t="shared" si="0"/>
        <v>20370</v>
      </c>
      <c r="C213" s="65" t="s">
        <v>667</v>
      </c>
      <c r="D213" s="178">
        <v>16296</v>
      </c>
      <c r="E213" s="160">
        <v>0.25</v>
      </c>
      <c r="F213" s="7"/>
      <c r="G213" s="7" t="s">
        <v>768</v>
      </c>
    </row>
    <row r="214" spans="1:7" ht="15.75" customHeight="1" x14ac:dyDescent="0.2">
      <c r="A214" s="7" t="s">
        <v>588</v>
      </c>
      <c r="B214" s="158">
        <f t="shared" si="0"/>
        <v>14881</v>
      </c>
      <c r="C214" s="65" t="s">
        <v>667</v>
      </c>
      <c r="D214" s="178">
        <v>14881</v>
      </c>
      <c r="E214" s="160">
        <v>0</v>
      </c>
      <c r="F214" s="7"/>
      <c r="G214" s="7" t="s">
        <v>770</v>
      </c>
    </row>
    <row r="215" spans="1:7" ht="15.75" customHeight="1" x14ac:dyDescent="0.2">
      <c r="A215" s="7"/>
      <c r="B215" s="158">
        <f t="shared" si="0"/>
        <v>0</v>
      </c>
      <c r="C215" s="65" t="s">
        <v>667</v>
      </c>
      <c r="D215" s="178"/>
      <c r="E215" s="160"/>
      <c r="F215" s="7"/>
      <c r="G215" s="7" t="s">
        <v>770</v>
      </c>
    </row>
    <row r="216" spans="1:7" ht="15.75" customHeight="1" x14ac:dyDescent="0.2">
      <c r="A216" s="7"/>
      <c r="B216" s="158">
        <f t="shared" si="0"/>
        <v>0</v>
      </c>
      <c r="C216" s="65" t="s">
        <v>667</v>
      </c>
      <c r="D216" s="178"/>
      <c r="E216" s="160"/>
      <c r="F216" s="7"/>
      <c r="G216" s="7" t="s">
        <v>770</v>
      </c>
    </row>
    <row r="217" spans="1:7" ht="15.75" customHeight="1" x14ac:dyDescent="0.2">
      <c r="A217" s="7"/>
      <c r="B217" s="158">
        <f t="shared" si="0"/>
        <v>0</v>
      </c>
      <c r="C217" s="65" t="s">
        <v>667</v>
      </c>
      <c r="D217" s="178"/>
      <c r="E217" s="160"/>
      <c r="F217" s="7"/>
      <c r="G217" s="7" t="s">
        <v>770</v>
      </c>
    </row>
    <row r="218" spans="1:7" ht="15.75" customHeight="1" x14ac:dyDescent="0.2">
      <c r="A218" s="7" t="s">
        <v>32</v>
      </c>
      <c r="B218" s="158">
        <f t="shared" si="0"/>
        <v>12206</v>
      </c>
      <c r="C218" s="65" t="s">
        <v>667</v>
      </c>
      <c r="D218" s="178">
        <v>12206</v>
      </c>
      <c r="E218" s="160"/>
      <c r="F218" s="7"/>
      <c r="G218" s="7" t="s">
        <v>770</v>
      </c>
    </row>
    <row r="219" spans="1:7" ht="15.75" customHeight="1" x14ac:dyDescent="0.2">
      <c r="A219" s="7" t="s">
        <v>98</v>
      </c>
      <c r="B219" s="158">
        <f t="shared" si="0"/>
        <v>20000</v>
      </c>
      <c r="C219" s="65" t="s">
        <v>667</v>
      </c>
      <c r="D219" s="178">
        <v>20000</v>
      </c>
      <c r="E219" s="160"/>
      <c r="F219" s="7"/>
      <c r="G219" s="7" t="s">
        <v>770</v>
      </c>
    </row>
    <row r="220" spans="1:7" ht="15.75" customHeight="1" x14ac:dyDescent="0.2">
      <c r="A220" s="7" t="s">
        <v>771</v>
      </c>
      <c r="B220" s="158">
        <f t="shared" si="0"/>
        <v>0</v>
      </c>
      <c r="C220" s="65" t="s">
        <v>667</v>
      </c>
      <c r="D220" s="188"/>
      <c r="E220" s="160"/>
      <c r="F220" s="7"/>
      <c r="G220" s="7" t="s">
        <v>772</v>
      </c>
    </row>
    <row r="221" spans="1:7" ht="15.75" customHeight="1" x14ac:dyDescent="0.2">
      <c r="A221" s="7" t="s">
        <v>21</v>
      </c>
      <c r="B221" s="158">
        <f t="shared" si="0"/>
        <v>11881</v>
      </c>
      <c r="C221" s="65" t="s">
        <v>667</v>
      </c>
      <c r="D221" s="178">
        <v>11881</v>
      </c>
      <c r="E221" s="160"/>
      <c r="F221" s="7"/>
      <c r="G221" s="7" t="s">
        <v>772</v>
      </c>
    </row>
    <row r="222" spans="1:7" ht="15.75" customHeight="1" x14ac:dyDescent="0.2">
      <c r="A222" s="7" t="s">
        <v>75</v>
      </c>
      <c r="B222" s="158">
        <f t="shared" si="0"/>
        <v>15813</v>
      </c>
      <c r="C222" s="65" t="s">
        <v>667</v>
      </c>
      <c r="D222" s="178">
        <v>15813</v>
      </c>
      <c r="E222" s="160"/>
      <c r="F222" s="7"/>
      <c r="G222" s="7" t="s">
        <v>772</v>
      </c>
    </row>
    <row r="223" spans="1:7" ht="15.75" customHeight="1" x14ac:dyDescent="0.2">
      <c r="A223" s="17" t="s">
        <v>40</v>
      </c>
      <c r="B223" s="158">
        <f t="shared" si="0"/>
        <v>18256.349999999999</v>
      </c>
      <c r="C223" s="65" t="s">
        <v>667</v>
      </c>
      <c r="D223" s="178">
        <v>17387</v>
      </c>
      <c r="E223" s="160">
        <v>0.05</v>
      </c>
      <c r="F223" s="7"/>
      <c r="G223" s="7" t="s">
        <v>772</v>
      </c>
    </row>
    <row r="224" spans="1:7" ht="15.75" customHeight="1" x14ac:dyDescent="0.2">
      <c r="A224" s="7" t="s">
        <v>773</v>
      </c>
      <c r="B224" s="158">
        <f t="shared" si="0"/>
        <v>8455.2800000000007</v>
      </c>
      <c r="C224" s="65" t="s">
        <v>667</v>
      </c>
      <c r="D224" s="178">
        <v>8455.2800000000007</v>
      </c>
      <c r="E224" s="160"/>
      <c r="F224" s="7"/>
      <c r="G224" s="7" t="s">
        <v>772</v>
      </c>
    </row>
    <row r="225" spans="1:10" ht="15.75" customHeight="1" x14ac:dyDescent="0.2">
      <c r="A225" s="16" t="s">
        <v>19</v>
      </c>
      <c r="B225" s="158">
        <f t="shared" si="0"/>
        <v>1650</v>
      </c>
      <c r="C225" s="65" t="s">
        <v>774</v>
      </c>
      <c r="D225" s="178">
        <v>1500</v>
      </c>
      <c r="E225" s="160">
        <v>0.1</v>
      </c>
      <c r="F225" s="7"/>
      <c r="G225" s="7" t="s">
        <v>775</v>
      </c>
    </row>
    <row r="226" spans="1:10" ht="15.75" customHeight="1" x14ac:dyDescent="0.2">
      <c r="A226" s="7" t="s">
        <v>112</v>
      </c>
      <c r="B226" s="158">
        <f t="shared" si="0"/>
        <v>1100</v>
      </c>
      <c r="C226" s="65" t="s">
        <v>774</v>
      </c>
      <c r="D226" s="178">
        <v>1000</v>
      </c>
      <c r="E226" s="160">
        <v>0.1</v>
      </c>
      <c r="F226" s="7"/>
      <c r="G226" s="7" t="s">
        <v>775</v>
      </c>
    </row>
    <row r="227" spans="1:10" ht="15.75" customHeight="1" x14ac:dyDescent="0.2">
      <c r="A227" s="19" t="s">
        <v>139</v>
      </c>
      <c r="B227" s="158">
        <f t="shared" si="0"/>
        <v>1574</v>
      </c>
      <c r="C227" s="65" t="s">
        <v>676</v>
      </c>
      <c r="D227" s="178">
        <v>1574</v>
      </c>
      <c r="E227" s="160"/>
      <c r="F227" s="7"/>
      <c r="G227" s="7" t="s">
        <v>775</v>
      </c>
    </row>
    <row r="228" spans="1:10" ht="15.75" customHeight="1" x14ac:dyDescent="0.2">
      <c r="A228" s="7" t="s">
        <v>66</v>
      </c>
      <c r="B228" s="158">
        <f t="shared" si="0"/>
        <v>1252.8</v>
      </c>
      <c r="C228" s="65" t="s">
        <v>774</v>
      </c>
      <c r="D228" s="178">
        <v>1044</v>
      </c>
      <c r="E228" s="160">
        <v>0.2</v>
      </c>
      <c r="F228" s="7"/>
      <c r="G228" s="7" t="s">
        <v>775</v>
      </c>
    </row>
    <row r="229" spans="1:10" ht="15.75" customHeight="1" x14ac:dyDescent="0.2">
      <c r="A229" s="7" t="s">
        <v>12</v>
      </c>
      <c r="B229" s="158">
        <f t="shared" si="0"/>
        <v>243.1</v>
      </c>
      <c r="C229" s="65" t="s">
        <v>774</v>
      </c>
      <c r="D229" s="178">
        <v>221</v>
      </c>
      <c r="E229" s="160">
        <v>0.1</v>
      </c>
      <c r="F229" s="7"/>
      <c r="G229" s="7" t="s">
        <v>775</v>
      </c>
      <c r="J229" s="1" t="s">
        <v>776</v>
      </c>
    </row>
    <row r="230" spans="1:10" ht="15.75" customHeight="1" x14ac:dyDescent="0.2">
      <c r="A230" s="13" t="s">
        <v>72</v>
      </c>
      <c r="B230" s="158">
        <f t="shared" si="0"/>
        <v>531</v>
      </c>
      <c r="C230" s="65" t="s">
        <v>676</v>
      </c>
      <c r="D230" s="178">
        <f>'PASTELERIA CP'!E420</f>
        <v>531</v>
      </c>
      <c r="E230" s="160"/>
      <c r="F230" s="7"/>
      <c r="G230" s="7" t="s">
        <v>775</v>
      </c>
    </row>
    <row r="231" spans="1:10" ht="15.75" customHeight="1" x14ac:dyDescent="0.2">
      <c r="A231" s="13" t="s">
        <v>15</v>
      </c>
      <c r="B231" s="158">
        <f t="shared" si="0"/>
        <v>992.2</v>
      </c>
      <c r="C231" s="65" t="s">
        <v>667</v>
      </c>
      <c r="D231" s="188">
        <v>992.2</v>
      </c>
      <c r="E231" s="160"/>
      <c r="F231" s="7"/>
      <c r="G231" s="7" t="s">
        <v>775</v>
      </c>
    </row>
    <row r="232" spans="1:10" ht="15.75" customHeight="1" x14ac:dyDescent="0.2">
      <c r="A232" s="7" t="s">
        <v>70</v>
      </c>
      <c r="B232" s="158">
        <f t="shared" si="0"/>
        <v>675</v>
      </c>
      <c r="C232" s="65" t="s">
        <v>667</v>
      </c>
      <c r="D232" s="178">
        <v>675</v>
      </c>
      <c r="E232" s="160"/>
      <c r="F232" s="7"/>
      <c r="G232" s="7" t="s">
        <v>775</v>
      </c>
    </row>
    <row r="233" spans="1:10" ht="15.75" customHeight="1" x14ac:dyDescent="0.2">
      <c r="A233" s="7" t="s">
        <v>92</v>
      </c>
      <c r="B233" s="158">
        <f t="shared" si="0"/>
        <v>1350</v>
      </c>
      <c r="C233" s="65" t="s">
        <v>777</v>
      </c>
      <c r="D233" s="178">
        <v>1350</v>
      </c>
      <c r="E233" s="160"/>
      <c r="F233" s="7"/>
      <c r="G233" s="7" t="s">
        <v>775</v>
      </c>
    </row>
    <row r="234" spans="1:10" ht="15.75" customHeight="1" x14ac:dyDescent="0.2">
      <c r="A234" s="7" t="s">
        <v>778</v>
      </c>
      <c r="B234" s="158">
        <f t="shared" si="0"/>
        <v>425</v>
      </c>
      <c r="C234" s="65" t="s">
        <v>777</v>
      </c>
      <c r="D234" s="178">
        <v>425</v>
      </c>
      <c r="E234" s="160"/>
      <c r="F234" s="7"/>
      <c r="G234" s="7" t="s">
        <v>775</v>
      </c>
    </row>
    <row r="235" spans="1:10" ht="15.75" customHeight="1" x14ac:dyDescent="0.2">
      <c r="A235" s="7" t="s">
        <v>93</v>
      </c>
      <c r="B235" s="158">
        <f t="shared" si="0"/>
        <v>1307</v>
      </c>
      <c r="C235" s="65" t="s">
        <v>667</v>
      </c>
      <c r="D235" s="178">
        <v>1307</v>
      </c>
      <c r="E235" s="160"/>
      <c r="F235" s="7"/>
      <c r="G235" s="7" t="s">
        <v>775</v>
      </c>
    </row>
    <row r="236" spans="1:10" ht="15.75" customHeight="1" x14ac:dyDescent="0.2">
      <c r="A236" s="7" t="s">
        <v>95</v>
      </c>
      <c r="B236" s="158">
        <f t="shared" si="0"/>
        <v>1574</v>
      </c>
      <c r="C236" s="65" t="s">
        <v>667</v>
      </c>
      <c r="D236" s="178">
        <v>1574</v>
      </c>
      <c r="E236" s="160"/>
      <c r="F236" s="7"/>
      <c r="G236" s="7" t="s">
        <v>775</v>
      </c>
    </row>
    <row r="237" spans="1:10" ht="15.75" customHeight="1" x14ac:dyDescent="0.2">
      <c r="A237" s="7" t="s">
        <v>779</v>
      </c>
      <c r="B237" s="158">
        <f t="shared" si="0"/>
        <v>350</v>
      </c>
      <c r="C237" s="65" t="s">
        <v>667</v>
      </c>
      <c r="D237" s="178">
        <v>350</v>
      </c>
      <c r="E237" s="160"/>
      <c r="F237" s="7"/>
      <c r="G237" s="7" t="s">
        <v>775</v>
      </c>
    </row>
    <row r="238" spans="1:10" ht="15.75" customHeight="1" x14ac:dyDescent="0.2">
      <c r="A238" s="7" t="s">
        <v>780</v>
      </c>
      <c r="B238" s="158">
        <f t="shared" si="0"/>
        <v>325</v>
      </c>
      <c r="C238" s="65" t="s">
        <v>667</v>
      </c>
      <c r="D238" s="178">
        <v>325</v>
      </c>
      <c r="E238" s="160"/>
      <c r="F238" s="7"/>
      <c r="G238" s="7" t="s">
        <v>775</v>
      </c>
    </row>
    <row r="239" spans="1:10" ht="15.75" customHeight="1" x14ac:dyDescent="0.2">
      <c r="A239" s="7" t="s">
        <v>781</v>
      </c>
      <c r="B239" s="158">
        <f t="shared" si="0"/>
        <v>175.87</v>
      </c>
      <c r="C239" s="65" t="s">
        <v>667</v>
      </c>
      <c r="D239" s="178">
        <v>175.87</v>
      </c>
      <c r="E239" s="160"/>
      <c r="F239" s="7"/>
      <c r="G239" s="7" t="s">
        <v>775</v>
      </c>
    </row>
    <row r="240" spans="1:10" ht="15.75" customHeight="1" x14ac:dyDescent="0.2">
      <c r="A240" s="5" t="s">
        <v>782</v>
      </c>
      <c r="B240" s="158">
        <f t="shared" si="0"/>
        <v>5200</v>
      </c>
      <c r="C240" s="65" t="s">
        <v>667</v>
      </c>
      <c r="D240" s="178">
        <v>5200</v>
      </c>
      <c r="E240" s="160"/>
      <c r="F240" s="7"/>
      <c r="G240" s="7" t="s">
        <v>775</v>
      </c>
    </row>
    <row r="241" spans="1:7" ht="15.75" customHeight="1" x14ac:dyDescent="0.2">
      <c r="A241" s="7" t="s">
        <v>580</v>
      </c>
      <c r="B241" s="158">
        <f t="shared" si="0"/>
        <v>5004.437777777779</v>
      </c>
      <c r="C241" s="65" t="s">
        <v>667</v>
      </c>
      <c r="D241" s="188">
        <f>'SUBRECETAS TUESTE  CP'!T262</f>
        <v>5004.437777777779</v>
      </c>
      <c r="E241" s="160"/>
      <c r="F241" s="7"/>
      <c r="G241" s="7" t="s">
        <v>775</v>
      </c>
    </row>
    <row r="242" spans="1:7" ht="15.75" customHeight="1" x14ac:dyDescent="0.2">
      <c r="A242" s="7"/>
      <c r="B242" s="158">
        <f t="shared" si="0"/>
        <v>0</v>
      </c>
      <c r="C242" s="65" t="s">
        <v>667</v>
      </c>
      <c r="D242" s="188"/>
      <c r="E242" s="160"/>
      <c r="F242" s="7"/>
      <c r="G242" s="7" t="s">
        <v>775</v>
      </c>
    </row>
    <row r="243" spans="1:7" ht="15.75" customHeight="1" x14ac:dyDescent="0.2">
      <c r="A243" s="7" t="s">
        <v>313</v>
      </c>
      <c r="B243" s="158">
        <f t="shared" si="0"/>
        <v>289.05799999999999</v>
      </c>
      <c r="C243" s="65" t="s">
        <v>667</v>
      </c>
      <c r="D243" s="188">
        <f>'PASTELERIA PARA TUESTE'!O21</f>
        <v>289.05799999999999</v>
      </c>
      <c r="E243" s="160">
        <v>0</v>
      </c>
      <c r="F243" s="7"/>
      <c r="G243" s="7" t="s">
        <v>775</v>
      </c>
    </row>
    <row r="244" spans="1:7" ht="15.75" customHeight="1" x14ac:dyDescent="0.2">
      <c r="A244" s="7"/>
      <c r="B244" s="158">
        <f t="shared" si="0"/>
        <v>0</v>
      </c>
      <c r="C244" s="65" t="s">
        <v>667</v>
      </c>
      <c r="D244" s="188"/>
      <c r="E244" s="160">
        <v>0.52</v>
      </c>
      <c r="F244" s="7"/>
      <c r="G244" s="7" t="s">
        <v>775</v>
      </c>
    </row>
    <row r="245" spans="1:7" ht="15.75" customHeight="1" x14ac:dyDescent="0.2">
      <c r="A245" s="7"/>
      <c r="B245" s="158">
        <f t="shared" si="0"/>
        <v>0</v>
      </c>
      <c r="C245" s="65" t="s">
        <v>667</v>
      </c>
      <c r="D245" s="188"/>
      <c r="E245" s="160">
        <v>0.45</v>
      </c>
      <c r="F245" s="7"/>
      <c r="G245" s="7" t="s">
        <v>775</v>
      </c>
    </row>
    <row r="246" spans="1:7" ht="15.75" customHeight="1" x14ac:dyDescent="0.2">
      <c r="A246" s="7"/>
      <c r="B246" s="158">
        <f t="shared" si="0"/>
        <v>0</v>
      </c>
      <c r="C246" s="65" t="s">
        <v>667</v>
      </c>
      <c r="D246" s="188"/>
      <c r="E246" s="160">
        <v>0.1</v>
      </c>
      <c r="F246" s="7"/>
      <c r="G246" s="7" t="s">
        <v>775</v>
      </c>
    </row>
    <row r="247" spans="1:7" ht="15.75" customHeight="1" x14ac:dyDescent="0.2">
      <c r="A247" s="7"/>
      <c r="B247" s="158">
        <f t="shared" si="0"/>
        <v>0</v>
      </c>
      <c r="C247" s="65" t="s">
        <v>667</v>
      </c>
      <c r="D247" s="188"/>
      <c r="E247" s="160"/>
      <c r="F247" s="7"/>
      <c r="G247" s="7" t="s">
        <v>775</v>
      </c>
    </row>
    <row r="248" spans="1:7" ht="15.75" customHeight="1" x14ac:dyDescent="0.2">
      <c r="A248" s="7"/>
      <c r="B248" s="158">
        <f t="shared" si="0"/>
        <v>0</v>
      </c>
      <c r="C248" s="65" t="s">
        <v>667</v>
      </c>
      <c r="D248" s="188"/>
      <c r="E248" s="160">
        <v>0.35</v>
      </c>
      <c r="F248" s="7"/>
      <c r="G248" s="7" t="s">
        <v>775</v>
      </c>
    </row>
    <row r="249" spans="1:7" ht="15.75" customHeight="1" x14ac:dyDescent="0.2">
      <c r="A249" s="7"/>
      <c r="B249" s="158">
        <f t="shared" si="0"/>
        <v>0</v>
      </c>
      <c r="C249" s="65" t="s">
        <v>667</v>
      </c>
      <c r="D249" s="188"/>
      <c r="E249" s="160">
        <v>0.45</v>
      </c>
      <c r="F249" s="7"/>
      <c r="G249" s="7" t="s">
        <v>775</v>
      </c>
    </row>
    <row r="250" spans="1:7" ht="15.75" customHeight="1" x14ac:dyDescent="0.2">
      <c r="A250" s="7"/>
      <c r="B250" s="158">
        <f t="shared" si="0"/>
        <v>0</v>
      </c>
      <c r="C250" s="65" t="s">
        <v>667</v>
      </c>
      <c r="D250" s="188"/>
      <c r="E250" s="160">
        <v>0.18</v>
      </c>
      <c r="F250" s="7"/>
      <c r="G250" s="7" t="s">
        <v>775</v>
      </c>
    </row>
    <row r="251" spans="1:7" ht="15.75" customHeight="1" x14ac:dyDescent="0.2">
      <c r="A251" s="7"/>
      <c r="B251" s="158">
        <f t="shared" si="0"/>
        <v>0</v>
      </c>
      <c r="C251" s="65" t="s">
        <v>667</v>
      </c>
      <c r="D251" s="188"/>
      <c r="E251" s="160">
        <v>0.35</v>
      </c>
      <c r="F251" s="7"/>
      <c r="G251" s="7" t="s">
        <v>775</v>
      </c>
    </row>
    <row r="252" spans="1:7" ht="15.75" customHeight="1" x14ac:dyDescent="0.2">
      <c r="A252" s="7"/>
      <c r="B252" s="158">
        <f t="shared" si="0"/>
        <v>0</v>
      </c>
      <c r="C252" s="65" t="s">
        <v>667</v>
      </c>
      <c r="D252" s="188"/>
      <c r="E252" s="160">
        <v>0.45</v>
      </c>
      <c r="F252" s="7"/>
      <c r="G252" s="7" t="s">
        <v>775</v>
      </c>
    </row>
    <row r="253" spans="1:7" ht="15.75" customHeight="1" x14ac:dyDescent="0.2">
      <c r="A253" s="7"/>
      <c r="B253" s="158">
        <f t="shared" si="0"/>
        <v>0</v>
      </c>
      <c r="C253" s="65" t="s">
        <v>667</v>
      </c>
      <c r="D253" s="188"/>
      <c r="E253" s="160"/>
      <c r="F253" s="7"/>
      <c r="G253" s="7" t="s">
        <v>775</v>
      </c>
    </row>
    <row r="254" spans="1:7" ht="15.75" customHeight="1" x14ac:dyDescent="0.2">
      <c r="A254" s="7"/>
      <c r="B254" s="158">
        <f t="shared" si="0"/>
        <v>0</v>
      </c>
      <c r="C254" s="65" t="s">
        <v>667</v>
      </c>
      <c r="D254" s="188"/>
      <c r="E254" s="160">
        <v>0.25</v>
      </c>
      <c r="F254" s="7"/>
      <c r="G254" s="7" t="s">
        <v>775</v>
      </c>
    </row>
    <row r="255" spans="1:7" ht="15.75" customHeight="1" x14ac:dyDescent="0.2">
      <c r="A255" s="7"/>
      <c r="B255" s="158">
        <f t="shared" si="0"/>
        <v>0</v>
      </c>
      <c r="C255" s="65" t="s">
        <v>667</v>
      </c>
      <c r="D255" s="188"/>
      <c r="E255" s="160">
        <v>0.25</v>
      </c>
      <c r="F255" s="7"/>
      <c r="G255" s="7" t="s">
        <v>775</v>
      </c>
    </row>
    <row r="256" spans="1:7" ht="15.75" customHeight="1" x14ac:dyDescent="0.2">
      <c r="A256" s="7"/>
      <c r="B256" s="158">
        <f t="shared" si="0"/>
        <v>0</v>
      </c>
      <c r="C256" s="65" t="s">
        <v>667</v>
      </c>
      <c r="D256" s="188"/>
      <c r="E256" s="160">
        <v>0.25</v>
      </c>
      <c r="F256" s="7"/>
      <c r="G256" s="7" t="s">
        <v>775</v>
      </c>
    </row>
    <row r="257" spans="1:7" ht="15.75" customHeight="1" x14ac:dyDescent="0.2">
      <c r="A257" s="7"/>
      <c r="B257" s="158">
        <f t="shared" si="0"/>
        <v>0</v>
      </c>
      <c r="C257" s="65" t="s">
        <v>667</v>
      </c>
      <c r="D257" s="188"/>
      <c r="E257" s="160">
        <v>0.16</v>
      </c>
      <c r="F257" s="7"/>
      <c r="G257" s="7" t="s">
        <v>775</v>
      </c>
    </row>
    <row r="258" spans="1:7" ht="15.75" customHeight="1" x14ac:dyDescent="0.2">
      <c r="A258" s="7" t="s">
        <v>783</v>
      </c>
      <c r="B258" s="158">
        <f t="shared" ref="B258:B499" si="2">D258+(D258*E258)</f>
        <v>0</v>
      </c>
      <c r="C258" s="65" t="s">
        <v>667</v>
      </c>
      <c r="D258" s="188"/>
      <c r="E258" s="160">
        <v>0.4</v>
      </c>
      <c r="F258" s="7"/>
      <c r="G258" s="7" t="s">
        <v>784</v>
      </c>
    </row>
    <row r="259" spans="1:7" ht="15.75" customHeight="1" x14ac:dyDescent="0.2">
      <c r="A259" s="7" t="s">
        <v>113</v>
      </c>
      <c r="B259" s="158">
        <f t="shared" si="2"/>
        <v>15760</v>
      </c>
      <c r="C259" s="65" t="s">
        <v>667</v>
      </c>
      <c r="D259" s="178">
        <v>15760</v>
      </c>
      <c r="E259" s="160"/>
      <c r="F259" s="7"/>
      <c r="G259" s="7" t="s">
        <v>784</v>
      </c>
    </row>
    <row r="260" spans="1:7" ht="15.75" customHeight="1" x14ac:dyDescent="0.2">
      <c r="A260" s="7" t="s">
        <v>785</v>
      </c>
      <c r="B260" s="158">
        <f t="shared" si="2"/>
        <v>0</v>
      </c>
      <c r="C260" s="65" t="s">
        <v>667</v>
      </c>
      <c r="D260" s="188"/>
      <c r="E260" s="160">
        <v>0.26</v>
      </c>
      <c r="F260" s="7"/>
      <c r="G260" s="7" t="s">
        <v>784</v>
      </c>
    </row>
    <row r="261" spans="1:7" ht="15.75" customHeight="1" x14ac:dyDescent="0.2">
      <c r="A261" s="7" t="s">
        <v>22</v>
      </c>
      <c r="B261" s="158">
        <f t="shared" si="2"/>
        <v>4788</v>
      </c>
      <c r="C261" s="65" t="s">
        <v>667</v>
      </c>
      <c r="D261" s="178">
        <v>3800</v>
      </c>
      <c r="E261" s="160">
        <v>0.26</v>
      </c>
      <c r="F261" s="7"/>
      <c r="G261" s="7" t="s">
        <v>784</v>
      </c>
    </row>
    <row r="262" spans="1:7" ht="15.75" customHeight="1" x14ac:dyDescent="0.2">
      <c r="A262" s="7" t="s">
        <v>786</v>
      </c>
      <c r="B262" s="158">
        <f t="shared" si="2"/>
        <v>0</v>
      </c>
      <c r="C262" s="65" t="s">
        <v>667</v>
      </c>
      <c r="D262" s="188"/>
      <c r="E262" s="160">
        <v>0.26</v>
      </c>
      <c r="F262" s="7"/>
      <c r="G262" s="7" t="s">
        <v>784</v>
      </c>
    </row>
    <row r="263" spans="1:7" ht="15.75" customHeight="1" x14ac:dyDescent="0.2">
      <c r="A263" s="7" t="s">
        <v>787</v>
      </c>
      <c r="B263" s="158">
        <f t="shared" si="2"/>
        <v>0</v>
      </c>
      <c r="C263" s="65" t="s">
        <v>667</v>
      </c>
      <c r="D263" s="188"/>
      <c r="E263" s="160">
        <v>0.26</v>
      </c>
      <c r="F263" s="7"/>
      <c r="G263" s="7" t="s">
        <v>784</v>
      </c>
    </row>
    <row r="264" spans="1:7" ht="15.75" customHeight="1" x14ac:dyDescent="0.2">
      <c r="A264" s="38" t="s">
        <v>788</v>
      </c>
      <c r="B264" s="158">
        <f t="shared" si="2"/>
        <v>1800</v>
      </c>
      <c r="C264" s="65" t="s">
        <v>789</v>
      </c>
      <c r="D264" s="178">
        <v>1500</v>
      </c>
      <c r="E264" s="160">
        <v>0.2</v>
      </c>
      <c r="F264" s="7"/>
      <c r="G264" s="7" t="s">
        <v>784</v>
      </c>
    </row>
    <row r="265" spans="1:7" ht="15.75" customHeight="1" x14ac:dyDescent="0.2">
      <c r="A265" s="7" t="s">
        <v>790</v>
      </c>
      <c r="B265" s="158">
        <f t="shared" si="2"/>
        <v>0</v>
      </c>
      <c r="C265" s="65" t="s">
        <v>667</v>
      </c>
      <c r="D265" s="188"/>
      <c r="E265" s="160">
        <v>0.25</v>
      </c>
      <c r="F265" s="7"/>
      <c r="G265" s="7" t="s">
        <v>784</v>
      </c>
    </row>
    <row r="266" spans="1:7" ht="15.75" customHeight="1" x14ac:dyDescent="0.2">
      <c r="A266" s="7" t="s">
        <v>791</v>
      </c>
      <c r="B266" s="158">
        <f t="shared" si="2"/>
        <v>0</v>
      </c>
      <c r="C266" s="65" t="s">
        <v>667</v>
      </c>
      <c r="D266" s="188"/>
      <c r="E266" s="160">
        <v>0.52</v>
      </c>
      <c r="F266" s="7"/>
      <c r="G266" s="7" t="s">
        <v>784</v>
      </c>
    </row>
    <row r="267" spans="1:7" ht="15.75" customHeight="1" x14ac:dyDescent="0.2">
      <c r="A267" s="7" t="s">
        <v>229</v>
      </c>
      <c r="B267" s="158">
        <f t="shared" si="2"/>
        <v>8760</v>
      </c>
      <c r="C267" s="65" t="s">
        <v>667</v>
      </c>
      <c r="D267" s="178">
        <v>8760</v>
      </c>
      <c r="E267" s="160"/>
      <c r="F267" s="7"/>
      <c r="G267" s="7" t="s">
        <v>784</v>
      </c>
    </row>
    <row r="268" spans="1:7" ht="15.75" customHeight="1" x14ac:dyDescent="0.2">
      <c r="A268" s="7" t="s">
        <v>792</v>
      </c>
      <c r="B268" s="158">
        <f t="shared" si="2"/>
        <v>0</v>
      </c>
      <c r="C268" s="65" t="s">
        <v>667</v>
      </c>
      <c r="D268" s="188"/>
      <c r="E268" s="160"/>
      <c r="F268" s="7"/>
      <c r="G268" s="7" t="s">
        <v>784</v>
      </c>
    </row>
    <row r="269" spans="1:7" ht="15.75" customHeight="1" x14ac:dyDescent="0.2">
      <c r="A269" s="7" t="s">
        <v>793</v>
      </c>
      <c r="B269" s="158">
        <f t="shared" si="2"/>
        <v>0</v>
      </c>
      <c r="C269" s="65" t="s">
        <v>667</v>
      </c>
      <c r="D269" s="188"/>
      <c r="E269" s="160">
        <v>0.37</v>
      </c>
      <c r="F269" s="7"/>
      <c r="G269" s="7" t="s">
        <v>784</v>
      </c>
    </row>
    <row r="270" spans="1:7" ht="15.75" customHeight="1" x14ac:dyDescent="0.2">
      <c r="A270" s="7" t="s">
        <v>794</v>
      </c>
      <c r="B270" s="158">
        <f t="shared" si="2"/>
        <v>56000</v>
      </c>
      <c r="C270" s="65" t="s">
        <v>667</v>
      </c>
      <c r="D270" s="178">
        <v>56000</v>
      </c>
      <c r="E270" s="160"/>
      <c r="F270" s="7"/>
      <c r="G270" s="7" t="s">
        <v>784</v>
      </c>
    </row>
    <row r="271" spans="1:7" ht="15.75" customHeight="1" x14ac:dyDescent="0.2">
      <c r="A271" s="7" t="s">
        <v>795</v>
      </c>
      <c r="B271" s="158">
        <f t="shared" si="2"/>
        <v>0</v>
      </c>
      <c r="C271" s="65" t="s">
        <v>667</v>
      </c>
      <c r="D271" s="188"/>
      <c r="E271" s="160">
        <v>0.55000000000000004</v>
      </c>
      <c r="F271" s="7"/>
      <c r="G271" s="7" t="s">
        <v>784</v>
      </c>
    </row>
    <row r="272" spans="1:7" ht="15.75" customHeight="1" x14ac:dyDescent="0.2">
      <c r="A272" s="7" t="s">
        <v>25</v>
      </c>
      <c r="B272" s="158">
        <f t="shared" si="2"/>
        <v>3360</v>
      </c>
      <c r="C272" s="65" t="s">
        <v>667</v>
      </c>
      <c r="D272" s="178">
        <v>2800</v>
      </c>
      <c r="E272" s="160">
        <v>0.2</v>
      </c>
      <c r="F272" s="7"/>
      <c r="G272" s="7" t="s">
        <v>784</v>
      </c>
    </row>
    <row r="273" spans="1:7" ht="15.75" customHeight="1" x14ac:dyDescent="0.2">
      <c r="A273" s="7" t="s">
        <v>796</v>
      </c>
      <c r="B273" s="158">
        <f t="shared" si="2"/>
        <v>1601.25</v>
      </c>
      <c r="C273" s="65" t="s">
        <v>667</v>
      </c>
      <c r="D273" s="188">
        <v>1281</v>
      </c>
      <c r="E273" s="160">
        <v>0.25</v>
      </c>
      <c r="F273" s="7"/>
      <c r="G273" s="7" t="s">
        <v>784</v>
      </c>
    </row>
    <row r="274" spans="1:7" ht="15.75" customHeight="1" x14ac:dyDescent="0.2">
      <c r="A274" s="7" t="s">
        <v>382</v>
      </c>
      <c r="B274" s="158">
        <f t="shared" si="2"/>
        <v>2530</v>
      </c>
      <c r="C274" s="65" t="s">
        <v>667</v>
      </c>
      <c r="D274" s="178">
        <v>2300</v>
      </c>
      <c r="E274" s="160">
        <v>0.1</v>
      </c>
      <c r="F274" s="7"/>
      <c r="G274" s="7" t="s">
        <v>784</v>
      </c>
    </row>
    <row r="275" spans="1:7" ht="15.75" customHeight="1" x14ac:dyDescent="0.2">
      <c r="A275" s="7" t="s">
        <v>797</v>
      </c>
      <c r="B275" s="158">
        <f t="shared" si="2"/>
        <v>0</v>
      </c>
      <c r="C275" s="65" t="s">
        <v>667</v>
      </c>
      <c r="D275" s="188"/>
      <c r="E275" s="160"/>
      <c r="F275" s="7"/>
      <c r="G275" s="7" t="s">
        <v>784</v>
      </c>
    </row>
    <row r="276" spans="1:7" ht="15.75" customHeight="1" x14ac:dyDescent="0.2">
      <c r="A276" s="7" t="s">
        <v>798</v>
      </c>
      <c r="B276" s="158">
        <f t="shared" si="2"/>
        <v>0</v>
      </c>
      <c r="C276" s="65" t="s">
        <v>667</v>
      </c>
      <c r="D276" s="188"/>
      <c r="E276" s="160"/>
      <c r="F276" s="7"/>
      <c r="G276" s="7" t="s">
        <v>784</v>
      </c>
    </row>
    <row r="277" spans="1:7" ht="15.75" customHeight="1" x14ac:dyDescent="0.2">
      <c r="A277" s="7" t="s">
        <v>799</v>
      </c>
      <c r="B277" s="158">
        <f t="shared" si="2"/>
        <v>4200</v>
      </c>
      <c r="C277" s="65" t="s">
        <v>676</v>
      </c>
      <c r="D277" s="178">
        <v>2800</v>
      </c>
      <c r="E277" s="160">
        <v>0.5</v>
      </c>
      <c r="F277" s="7"/>
      <c r="G277" s="7" t="s">
        <v>784</v>
      </c>
    </row>
    <row r="278" spans="1:7" ht="15.75" customHeight="1" x14ac:dyDescent="0.2">
      <c r="A278" s="7" t="s">
        <v>548</v>
      </c>
      <c r="B278" s="158">
        <f t="shared" si="2"/>
        <v>9500</v>
      </c>
      <c r="C278" s="65" t="s">
        <v>667</v>
      </c>
      <c r="D278" s="178">
        <v>9500</v>
      </c>
      <c r="E278" s="160"/>
      <c r="F278" s="7"/>
      <c r="G278" s="7" t="s">
        <v>784</v>
      </c>
    </row>
    <row r="279" spans="1:7" ht="15.75" customHeight="1" x14ac:dyDescent="0.2">
      <c r="A279" s="7" t="s">
        <v>800</v>
      </c>
      <c r="B279" s="158">
        <f t="shared" si="2"/>
        <v>0</v>
      </c>
      <c r="C279" s="65" t="s">
        <v>667</v>
      </c>
      <c r="D279" s="188"/>
      <c r="E279" s="160"/>
      <c r="F279" s="7"/>
      <c r="G279" s="7" t="s">
        <v>784</v>
      </c>
    </row>
    <row r="280" spans="1:7" ht="15.75" customHeight="1" x14ac:dyDescent="0.2">
      <c r="A280" s="7" t="s">
        <v>801</v>
      </c>
      <c r="B280" s="158">
        <f t="shared" si="2"/>
        <v>0</v>
      </c>
      <c r="C280" s="65" t="s">
        <v>667</v>
      </c>
      <c r="D280" s="188"/>
      <c r="E280" s="160"/>
      <c r="F280" s="7"/>
      <c r="G280" s="7" t="s">
        <v>784</v>
      </c>
    </row>
    <row r="281" spans="1:7" ht="15.75" customHeight="1" x14ac:dyDescent="0.2">
      <c r="A281" s="7" t="s">
        <v>802</v>
      </c>
      <c r="B281" s="158">
        <f t="shared" si="2"/>
        <v>0</v>
      </c>
      <c r="C281" s="65" t="s">
        <v>667</v>
      </c>
      <c r="D281" s="188"/>
      <c r="E281" s="160">
        <v>0.2</v>
      </c>
      <c r="F281" s="7"/>
      <c r="G281" s="7" t="s">
        <v>803</v>
      </c>
    </row>
    <row r="282" spans="1:7" ht="15.75" customHeight="1" x14ac:dyDescent="0.2">
      <c r="A282" s="7" t="s">
        <v>804</v>
      </c>
      <c r="B282" s="158">
        <f t="shared" si="2"/>
        <v>0</v>
      </c>
      <c r="C282" s="65" t="s">
        <v>667</v>
      </c>
      <c r="D282" s="188"/>
      <c r="E282" s="160"/>
      <c r="F282" s="7"/>
      <c r="G282" s="7" t="s">
        <v>784</v>
      </c>
    </row>
    <row r="283" spans="1:7" ht="15.75" customHeight="1" x14ac:dyDescent="0.2">
      <c r="A283" s="38" t="s">
        <v>805</v>
      </c>
      <c r="B283" s="158">
        <f t="shared" si="2"/>
        <v>0</v>
      </c>
      <c r="C283" s="65" t="s">
        <v>667</v>
      </c>
      <c r="D283" s="188"/>
      <c r="E283" s="160">
        <v>0.04</v>
      </c>
      <c r="F283" s="7"/>
      <c r="G283" s="7" t="s">
        <v>784</v>
      </c>
    </row>
    <row r="284" spans="1:7" ht="15.75" customHeight="1" x14ac:dyDescent="0.2">
      <c r="A284" s="7" t="s">
        <v>805</v>
      </c>
      <c r="B284" s="158">
        <f t="shared" si="2"/>
        <v>0</v>
      </c>
      <c r="C284" s="65" t="s">
        <v>667</v>
      </c>
      <c r="D284" s="188"/>
      <c r="E284" s="160">
        <v>0.04</v>
      </c>
      <c r="F284" s="7"/>
      <c r="G284" s="7" t="s">
        <v>784</v>
      </c>
    </row>
    <row r="285" spans="1:7" ht="15.75" customHeight="1" x14ac:dyDescent="0.2">
      <c r="A285" s="7" t="s">
        <v>806</v>
      </c>
      <c r="B285" s="158">
        <f t="shared" si="2"/>
        <v>0</v>
      </c>
      <c r="C285" s="65" t="s">
        <v>667</v>
      </c>
      <c r="D285" s="188"/>
      <c r="E285" s="160">
        <v>0.31</v>
      </c>
      <c r="F285" s="7"/>
      <c r="G285" s="7" t="s">
        <v>784</v>
      </c>
    </row>
    <row r="286" spans="1:7" ht="15.75" customHeight="1" x14ac:dyDescent="0.2">
      <c r="A286" s="7" t="s">
        <v>386</v>
      </c>
      <c r="B286" s="158">
        <f t="shared" si="2"/>
        <v>1092.5</v>
      </c>
      <c r="C286" s="65" t="s">
        <v>667</v>
      </c>
      <c r="D286" s="178">
        <v>950</v>
      </c>
      <c r="E286" s="160">
        <v>0.15</v>
      </c>
      <c r="F286" s="7"/>
      <c r="G286" s="7" t="s">
        <v>784</v>
      </c>
    </row>
    <row r="287" spans="1:7" ht="15.75" customHeight="1" x14ac:dyDescent="0.2">
      <c r="A287" s="7" t="s">
        <v>807</v>
      </c>
      <c r="B287" s="158">
        <f t="shared" si="2"/>
        <v>0</v>
      </c>
      <c r="C287" s="65" t="s">
        <v>667</v>
      </c>
      <c r="D287" s="188"/>
      <c r="E287" s="160">
        <v>0.15</v>
      </c>
      <c r="F287" s="7"/>
      <c r="G287" s="7" t="s">
        <v>784</v>
      </c>
    </row>
    <row r="288" spans="1:7" ht="15.75" customHeight="1" x14ac:dyDescent="0.2">
      <c r="A288" s="7" t="s">
        <v>808</v>
      </c>
      <c r="B288" s="158">
        <f t="shared" si="2"/>
        <v>0</v>
      </c>
      <c r="C288" s="65" t="s">
        <v>667</v>
      </c>
      <c r="D288" s="188"/>
      <c r="E288" s="160">
        <v>0.59</v>
      </c>
      <c r="F288" s="7"/>
      <c r="G288" s="7" t="s">
        <v>784</v>
      </c>
    </row>
    <row r="289" spans="1:9" ht="15.75" customHeight="1" x14ac:dyDescent="0.2">
      <c r="A289" s="7" t="s">
        <v>368</v>
      </c>
      <c r="B289" s="158">
        <f t="shared" si="2"/>
        <v>2070</v>
      </c>
      <c r="C289" s="65" t="s">
        <v>667</v>
      </c>
      <c r="D289" s="178">
        <v>1800</v>
      </c>
      <c r="E289" s="160">
        <v>0.15</v>
      </c>
      <c r="F289" s="7"/>
      <c r="G289" s="7" t="s">
        <v>784</v>
      </c>
    </row>
    <row r="290" spans="1:9" ht="15.75" customHeight="1" x14ac:dyDescent="0.2">
      <c r="A290" s="7" t="s">
        <v>809</v>
      </c>
      <c r="B290" s="158">
        <f t="shared" si="2"/>
        <v>0</v>
      </c>
      <c r="C290" s="65" t="s">
        <v>667</v>
      </c>
      <c r="D290" s="188"/>
      <c r="E290" s="160"/>
      <c r="F290" s="7"/>
      <c r="G290" s="7" t="s">
        <v>784</v>
      </c>
    </row>
    <row r="291" spans="1:9" ht="15.75" customHeight="1" x14ac:dyDescent="0.2">
      <c r="A291" s="7" t="s">
        <v>810</v>
      </c>
      <c r="B291" s="158">
        <f t="shared" si="2"/>
        <v>0</v>
      </c>
      <c r="C291" s="65" t="s">
        <v>667</v>
      </c>
      <c r="D291" s="188"/>
      <c r="E291" s="160">
        <v>0.1</v>
      </c>
      <c r="F291" s="7"/>
      <c r="G291" s="7" t="s">
        <v>784</v>
      </c>
    </row>
    <row r="292" spans="1:9" ht="15.75" customHeight="1" x14ac:dyDescent="0.2">
      <c r="A292" s="7" t="s">
        <v>811</v>
      </c>
      <c r="B292" s="158">
        <f t="shared" si="2"/>
        <v>0</v>
      </c>
      <c r="C292" s="65" t="s">
        <v>667</v>
      </c>
      <c r="D292" s="188"/>
      <c r="E292" s="160">
        <v>0.1</v>
      </c>
      <c r="F292" s="7"/>
      <c r="G292" s="7" t="s">
        <v>784</v>
      </c>
    </row>
    <row r="293" spans="1:9" ht="15.75" customHeight="1" x14ac:dyDescent="0.2">
      <c r="A293" s="7" t="s">
        <v>812</v>
      </c>
      <c r="B293" s="158">
        <f t="shared" si="2"/>
        <v>0</v>
      </c>
      <c r="C293" s="65" t="s">
        <v>667</v>
      </c>
      <c r="D293" s="188"/>
      <c r="E293" s="160">
        <v>0.1</v>
      </c>
      <c r="F293" s="7"/>
      <c r="G293" s="7" t="s">
        <v>784</v>
      </c>
    </row>
    <row r="294" spans="1:9" ht="15.75" customHeight="1" x14ac:dyDescent="0.2">
      <c r="A294" s="7" t="s">
        <v>813</v>
      </c>
      <c r="B294" s="158">
        <f t="shared" si="2"/>
        <v>0</v>
      </c>
      <c r="C294" s="65" t="s">
        <v>667</v>
      </c>
      <c r="D294" s="188"/>
      <c r="E294" s="160">
        <v>0.28999999999999998</v>
      </c>
      <c r="F294" s="7"/>
      <c r="G294" s="7" t="s">
        <v>784</v>
      </c>
    </row>
    <row r="295" spans="1:9" ht="15.75" customHeight="1" x14ac:dyDescent="0.2">
      <c r="A295" s="7" t="s">
        <v>814</v>
      </c>
      <c r="B295" s="158">
        <f t="shared" si="2"/>
        <v>0</v>
      </c>
      <c r="C295" s="65" t="s">
        <v>667</v>
      </c>
      <c r="D295" s="188"/>
      <c r="E295" s="160">
        <v>0.56999999999999995</v>
      </c>
      <c r="F295" s="7"/>
      <c r="G295" s="7" t="s">
        <v>784</v>
      </c>
    </row>
    <row r="296" spans="1:9" ht="15.75" customHeight="1" x14ac:dyDescent="0.2">
      <c r="A296" s="7" t="s">
        <v>815</v>
      </c>
      <c r="B296" s="158">
        <f t="shared" si="2"/>
        <v>4860</v>
      </c>
      <c r="C296" s="65" t="s">
        <v>667</v>
      </c>
      <c r="D296" s="178">
        <v>4500</v>
      </c>
      <c r="E296" s="160">
        <v>0.08</v>
      </c>
      <c r="F296" s="7"/>
      <c r="G296" s="7" t="s">
        <v>784</v>
      </c>
    </row>
    <row r="297" spans="1:9" ht="15.75" customHeight="1" x14ac:dyDescent="0.2">
      <c r="A297" s="7" t="s">
        <v>816</v>
      </c>
      <c r="B297" s="158">
        <f t="shared" si="2"/>
        <v>0</v>
      </c>
      <c r="C297" s="65" t="s">
        <v>667</v>
      </c>
      <c r="D297" s="188"/>
      <c r="E297" s="160"/>
      <c r="F297" s="7"/>
      <c r="G297" s="7" t="s">
        <v>784</v>
      </c>
    </row>
    <row r="298" spans="1:9" ht="15.75" customHeight="1" x14ac:dyDescent="0.2">
      <c r="A298" s="7" t="s">
        <v>817</v>
      </c>
      <c r="B298" s="158">
        <f t="shared" si="2"/>
        <v>0</v>
      </c>
      <c r="C298" s="65" t="s">
        <v>667</v>
      </c>
      <c r="D298" s="188"/>
      <c r="E298" s="160">
        <v>0.14000000000000001</v>
      </c>
      <c r="F298" s="7"/>
      <c r="G298" s="7" t="s">
        <v>784</v>
      </c>
    </row>
    <row r="299" spans="1:9" ht="15.75" customHeight="1" x14ac:dyDescent="0.2">
      <c r="A299" s="7" t="s">
        <v>818</v>
      </c>
      <c r="B299" s="158">
        <f t="shared" si="2"/>
        <v>5355</v>
      </c>
      <c r="C299" s="65" t="s">
        <v>667</v>
      </c>
      <c r="D299" s="178">
        <v>4500</v>
      </c>
      <c r="E299" s="160">
        <v>0.19</v>
      </c>
      <c r="F299" s="7"/>
      <c r="G299" s="7" t="s">
        <v>784</v>
      </c>
    </row>
    <row r="300" spans="1:9" ht="15.75" customHeight="1" x14ac:dyDescent="0.2">
      <c r="A300" s="7" t="s">
        <v>819</v>
      </c>
      <c r="B300" s="158">
        <f t="shared" si="2"/>
        <v>0</v>
      </c>
      <c r="C300" s="65" t="s">
        <v>667</v>
      </c>
      <c r="D300" s="188"/>
      <c r="E300" s="160">
        <v>0.09</v>
      </c>
      <c r="F300" s="7"/>
      <c r="G300" s="7" t="s">
        <v>784</v>
      </c>
    </row>
    <row r="301" spans="1:9" ht="15.75" customHeight="1" x14ac:dyDescent="0.2">
      <c r="A301" s="7" t="s">
        <v>820</v>
      </c>
      <c r="B301" s="158">
        <f t="shared" si="2"/>
        <v>0</v>
      </c>
      <c r="C301" s="65" t="s">
        <v>667</v>
      </c>
      <c r="D301" s="188"/>
      <c r="E301" s="160">
        <v>0.59</v>
      </c>
      <c r="F301" s="7"/>
      <c r="G301" s="7" t="s">
        <v>784</v>
      </c>
    </row>
    <row r="302" spans="1:9" ht="15.75" customHeight="1" x14ac:dyDescent="0.2">
      <c r="A302" s="7" t="s">
        <v>392</v>
      </c>
      <c r="B302" s="158">
        <f t="shared" si="2"/>
        <v>7173</v>
      </c>
      <c r="C302" s="65" t="s">
        <v>667</v>
      </c>
      <c r="D302" s="178">
        <v>7173</v>
      </c>
      <c r="E302" s="160"/>
      <c r="F302" s="7"/>
      <c r="G302" s="7" t="s">
        <v>784</v>
      </c>
      <c r="I302" s="1" t="s">
        <v>700</v>
      </c>
    </row>
    <row r="303" spans="1:9" ht="15.75" customHeight="1" x14ac:dyDescent="0.2">
      <c r="A303" s="7" t="s">
        <v>821</v>
      </c>
      <c r="B303" s="158">
        <f t="shared" si="2"/>
        <v>1230</v>
      </c>
      <c r="C303" s="65" t="s">
        <v>676</v>
      </c>
      <c r="D303" s="178">
        <v>1000</v>
      </c>
      <c r="E303" s="160">
        <v>0.23</v>
      </c>
      <c r="F303" s="7"/>
      <c r="G303" s="7" t="s">
        <v>784</v>
      </c>
      <c r="I303" s="1" t="s">
        <v>822</v>
      </c>
    </row>
    <row r="304" spans="1:9" ht="15.75" customHeight="1" x14ac:dyDescent="0.2">
      <c r="A304" s="7" t="s">
        <v>823</v>
      </c>
      <c r="B304" s="158">
        <f t="shared" si="2"/>
        <v>5033.6000000000004</v>
      </c>
      <c r="C304" s="65" t="s">
        <v>667</v>
      </c>
      <c r="D304" s="188">
        <v>4840</v>
      </c>
      <c r="E304" s="160">
        <v>0.04</v>
      </c>
      <c r="F304" s="7"/>
      <c r="G304" s="7" t="s">
        <v>784</v>
      </c>
    </row>
    <row r="305" spans="1:7" ht="15.75" customHeight="1" x14ac:dyDescent="0.2">
      <c r="A305" s="7" t="s">
        <v>824</v>
      </c>
      <c r="B305" s="158">
        <f t="shared" si="2"/>
        <v>26000</v>
      </c>
      <c r="C305" s="65" t="s">
        <v>667</v>
      </c>
      <c r="D305" s="178">
        <v>25000</v>
      </c>
      <c r="E305" s="160">
        <v>0.04</v>
      </c>
      <c r="F305" s="7"/>
      <c r="G305" s="7" t="s">
        <v>784</v>
      </c>
    </row>
    <row r="306" spans="1:7" ht="15.75" customHeight="1" x14ac:dyDescent="0.2">
      <c r="A306" s="7" t="s">
        <v>825</v>
      </c>
      <c r="B306" s="158">
        <f t="shared" si="2"/>
        <v>6800</v>
      </c>
      <c r="C306" s="65" t="s">
        <v>667</v>
      </c>
      <c r="D306" s="178">
        <v>5000</v>
      </c>
      <c r="E306" s="160">
        <v>0.36</v>
      </c>
      <c r="F306" s="7"/>
      <c r="G306" s="7" t="s">
        <v>784</v>
      </c>
    </row>
    <row r="307" spans="1:7" ht="15.75" customHeight="1" x14ac:dyDescent="0.2">
      <c r="A307" s="7" t="s">
        <v>826</v>
      </c>
      <c r="B307" s="158">
        <f t="shared" si="2"/>
        <v>0</v>
      </c>
      <c r="C307" s="65" t="s">
        <v>667</v>
      </c>
      <c r="D307" s="188"/>
      <c r="E307" s="160">
        <v>0.13</v>
      </c>
      <c r="F307" s="7"/>
      <c r="G307" s="7" t="s">
        <v>784</v>
      </c>
    </row>
    <row r="308" spans="1:7" ht="15.75" customHeight="1" x14ac:dyDescent="0.2">
      <c r="A308" s="38" t="s">
        <v>827</v>
      </c>
      <c r="B308" s="158">
        <f t="shared" si="2"/>
        <v>0</v>
      </c>
      <c r="C308" s="65" t="s">
        <v>667</v>
      </c>
      <c r="D308" s="188"/>
      <c r="E308" s="160">
        <v>0.04</v>
      </c>
      <c r="F308" s="7"/>
      <c r="G308" s="7" t="s">
        <v>784</v>
      </c>
    </row>
    <row r="309" spans="1:7" ht="15.75" customHeight="1" x14ac:dyDescent="0.2">
      <c r="A309" s="7" t="s">
        <v>119</v>
      </c>
      <c r="B309" s="158">
        <f t="shared" si="2"/>
        <v>4160</v>
      </c>
      <c r="C309" s="65" t="s">
        <v>667</v>
      </c>
      <c r="D309" s="178">
        <v>4000</v>
      </c>
      <c r="E309" s="160">
        <v>0.04</v>
      </c>
      <c r="F309" s="7"/>
      <c r="G309" s="7" t="s">
        <v>784</v>
      </c>
    </row>
    <row r="310" spans="1:7" ht="15.75" customHeight="1" x14ac:dyDescent="0.2">
      <c r="A310" s="7" t="s">
        <v>828</v>
      </c>
      <c r="B310" s="158">
        <f t="shared" si="2"/>
        <v>0</v>
      </c>
      <c r="C310" s="65" t="s">
        <v>667</v>
      </c>
      <c r="D310" s="188"/>
      <c r="E310" s="160">
        <v>0.04</v>
      </c>
      <c r="F310" s="7"/>
      <c r="G310" s="7" t="s">
        <v>784</v>
      </c>
    </row>
    <row r="311" spans="1:7" ht="15.75" customHeight="1" x14ac:dyDescent="0.2">
      <c r="A311" s="7" t="s">
        <v>829</v>
      </c>
      <c r="B311" s="158">
        <f t="shared" si="2"/>
        <v>3120</v>
      </c>
      <c r="C311" s="65" t="s">
        <v>667</v>
      </c>
      <c r="D311" s="178">
        <v>3000</v>
      </c>
      <c r="E311" s="160">
        <v>0.04</v>
      </c>
      <c r="F311" s="7"/>
      <c r="G311" s="7" t="s">
        <v>784</v>
      </c>
    </row>
    <row r="312" spans="1:7" ht="15.75" customHeight="1" x14ac:dyDescent="0.2">
      <c r="A312" s="7" t="s">
        <v>482</v>
      </c>
      <c r="B312" s="158">
        <f t="shared" si="2"/>
        <v>4160</v>
      </c>
      <c r="C312" s="65" t="s">
        <v>667</v>
      </c>
      <c r="D312" s="178">
        <v>4000</v>
      </c>
      <c r="E312" s="160">
        <v>0.04</v>
      </c>
      <c r="F312" s="7"/>
      <c r="G312" s="7" t="s">
        <v>784</v>
      </c>
    </row>
    <row r="313" spans="1:7" ht="15.75" customHeight="1" x14ac:dyDescent="0.2">
      <c r="A313" s="7" t="s">
        <v>830</v>
      </c>
      <c r="B313" s="158">
        <f t="shared" si="2"/>
        <v>0</v>
      </c>
      <c r="C313" s="65" t="s">
        <v>667</v>
      </c>
      <c r="D313" s="188"/>
      <c r="E313" s="160">
        <v>0.04</v>
      </c>
      <c r="F313" s="7"/>
      <c r="G313" s="7" t="s">
        <v>784</v>
      </c>
    </row>
    <row r="314" spans="1:7" ht="15.75" customHeight="1" x14ac:dyDescent="0.2">
      <c r="A314" s="7" t="s">
        <v>831</v>
      </c>
      <c r="B314" s="158">
        <f t="shared" si="2"/>
        <v>0</v>
      </c>
      <c r="C314" s="65" t="s">
        <v>667</v>
      </c>
      <c r="D314" s="188"/>
      <c r="E314" s="160">
        <v>0.04</v>
      </c>
      <c r="F314" s="7"/>
      <c r="G314" s="7" t="s">
        <v>784</v>
      </c>
    </row>
    <row r="315" spans="1:7" ht="15.75" customHeight="1" x14ac:dyDescent="0.2">
      <c r="A315" s="7" t="s">
        <v>831</v>
      </c>
      <c r="B315" s="158">
        <f t="shared" si="2"/>
        <v>0</v>
      </c>
      <c r="C315" s="65" t="s">
        <v>667</v>
      </c>
      <c r="D315" s="188"/>
      <c r="E315" s="160">
        <v>0.04</v>
      </c>
      <c r="F315" s="7"/>
      <c r="G315" s="7" t="s">
        <v>784</v>
      </c>
    </row>
    <row r="316" spans="1:7" ht="15.75" customHeight="1" x14ac:dyDescent="0.2">
      <c r="A316" s="7" t="s">
        <v>832</v>
      </c>
      <c r="B316" s="158">
        <f t="shared" si="2"/>
        <v>0</v>
      </c>
      <c r="C316" s="65" t="s">
        <v>667</v>
      </c>
      <c r="D316" s="188"/>
      <c r="E316" s="160">
        <v>0.04</v>
      </c>
      <c r="F316" s="7"/>
      <c r="G316" s="7" t="s">
        <v>784</v>
      </c>
    </row>
    <row r="317" spans="1:7" ht="15.75" customHeight="1" x14ac:dyDescent="0.2">
      <c r="A317" s="7" t="s">
        <v>833</v>
      </c>
      <c r="B317" s="158">
        <f t="shared" si="2"/>
        <v>0</v>
      </c>
      <c r="C317" s="65" t="s">
        <v>667</v>
      </c>
      <c r="D317" s="188"/>
      <c r="E317" s="160">
        <v>0.04</v>
      </c>
      <c r="F317" s="7"/>
      <c r="G317" s="7" t="s">
        <v>784</v>
      </c>
    </row>
    <row r="318" spans="1:7" ht="15.75" customHeight="1" x14ac:dyDescent="0.2">
      <c r="A318" s="7" t="s">
        <v>834</v>
      </c>
      <c r="B318" s="158">
        <f t="shared" si="2"/>
        <v>0</v>
      </c>
      <c r="C318" s="65" t="s">
        <v>667</v>
      </c>
      <c r="D318" s="188"/>
      <c r="E318" s="160">
        <v>0.04</v>
      </c>
      <c r="F318" s="7"/>
      <c r="G318" s="7" t="s">
        <v>784</v>
      </c>
    </row>
    <row r="319" spans="1:7" ht="15.75" customHeight="1" x14ac:dyDescent="0.2">
      <c r="A319" s="7" t="s">
        <v>835</v>
      </c>
      <c r="B319" s="158">
        <f t="shared" si="2"/>
        <v>0</v>
      </c>
      <c r="C319" s="65" t="s">
        <v>667</v>
      </c>
      <c r="D319" s="188"/>
      <c r="E319" s="160">
        <v>0.04</v>
      </c>
      <c r="F319" s="7"/>
      <c r="G319" s="7" t="s">
        <v>784</v>
      </c>
    </row>
    <row r="320" spans="1:7" ht="15.75" customHeight="1" x14ac:dyDescent="0.2">
      <c r="A320" s="7" t="s">
        <v>836</v>
      </c>
      <c r="B320" s="158">
        <f t="shared" si="2"/>
        <v>0</v>
      </c>
      <c r="C320" s="65" t="s">
        <v>667</v>
      </c>
      <c r="D320" s="188"/>
      <c r="E320" s="160">
        <v>0.04</v>
      </c>
      <c r="F320" s="7"/>
      <c r="G320" s="7" t="s">
        <v>784</v>
      </c>
    </row>
    <row r="321" spans="1:7" ht="15.75" customHeight="1" x14ac:dyDescent="0.2">
      <c r="A321" s="7" t="s">
        <v>837</v>
      </c>
      <c r="B321" s="158">
        <f t="shared" si="2"/>
        <v>0</v>
      </c>
      <c r="C321" s="65" t="s">
        <v>667</v>
      </c>
      <c r="D321" s="188"/>
      <c r="E321" s="160">
        <v>0.04</v>
      </c>
      <c r="F321" s="7"/>
      <c r="G321" s="7" t="s">
        <v>784</v>
      </c>
    </row>
    <row r="322" spans="1:7" ht="15.75" customHeight="1" x14ac:dyDescent="0.2">
      <c r="A322" s="7" t="s">
        <v>41</v>
      </c>
      <c r="B322" s="158">
        <f t="shared" si="2"/>
        <v>18304</v>
      </c>
      <c r="C322" s="65" t="s">
        <v>667</v>
      </c>
      <c r="D322" s="178">
        <v>17600</v>
      </c>
      <c r="E322" s="160">
        <v>0.04</v>
      </c>
      <c r="F322" s="7"/>
      <c r="G322" s="7" t="s">
        <v>784</v>
      </c>
    </row>
    <row r="323" spans="1:7" ht="15.75" customHeight="1" x14ac:dyDescent="0.2">
      <c r="A323" s="7" t="s">
        <v>838</v>
      </c>
      <c r="B323" s="158">
        <f t="shared" si="2"/>
        <v>0</v>
      </c>
      <c r="C323" s="65" t="s">
        <v>667</v>
      </c>
      <c r="D323" s="188"/>
      <c r="E323" s="160">
        <v>0.04</v>
      </c>
      <c r="F323" s="7"/>
      <c r="G323" s="7" t="s">
        <v>784</v>
      </c>
    </row>
    <row r="324" spans="1:7" ht="15.75" customHeight="1" x14ac:dyDescent="0.2">
      <c r="A324" s="7" t="s">
        <v>839</v>
      </c>
      <c r="B324" s="158">
        <f t="shared" si="2"/>
        <v>0</v>
      </c>
      <c r="C324" s="65" t="s">
        <v>667</v>
      </c>
      <c r="D324" s="188"/>
      <c r="E324" s="160">
        <v>0.04</v>
      </c>
      <c r="F324" s="7"/>
      <c r="G324" s="7" t="s">
        <v>784</v>
      </c>
    </row>
    <row r="325" spans="1:7" ht="15.75" customHeight="1" x14ac:dyDescent="0.2">
      <c r="A325" s="7" t="s">
        <v>840</v>
      </c>
      <c r="B325" s="158">
        <f t="shared" si="2"/>
        <v>0</v>
      </c>
      <c r="C325" s="65" t="s">
        <v>667</v>
      </c>
      <c r="D325" s="188"/>
      <c r="E325" s="160">
        <v>0.04</v>
      </c>
      <c r="F325" s="7"/>
      <c r="G325" s="7" t="s">
        <v>784</v>
      </c>
    </row>
    <row r="326" spans="1:7" ht="15.75" customHeight="1" x14ac:dyDescent="0.2">
      <c r="A326" s="7" t="s">
        <v>841</v>
      </c>
      <c r="B326" s="158">
        <f t="shared" si="2"/>
        <v>4160</v>
      </c>
      <c r="C326" s="65" t="s">
        <v>667</v>
      </c>
      <c r="D326" s="178">
        <v>4000</v>
      </c>
      <c r="E326" s="160">
        <v>0.04</v>
      </c>
      <c r="F326" s="7"/>
      <c r="G326" s="7" t="s">
        <v>784</v>
      </c>
    </row>
    <row r="327" spans="1:7" ht="15.75" customHeight="1" x14ac:dyDescent="0.2">
      <c r="A327" s="7" t="s">
        <v>842</v>
      </c>
      <c r="B327" s="158">
        <f t="shared" si="2"/>
        <v>0</v>
      </c>
      <c r="C327" s="65" t="s">
        <v>667</v>
      </c>
      <c r="D327" s="188"/>
      <c r="E327" s="160">
        <v>0.04</v>
      </c>
      <c r="F327" s="7"/>
      <c r="G327" s="7" t="s">
        <v>784</v>
      </c>
    </row>
    <row r="328" spans="1:7" ht="15.75" customHeight="1" x14ac:dyDescent="0.2">
      <c r="A328" s="7" t="s">
        <v>843</v>
      </c>
      <c r="B328" s="158">
        <f t="shared" si="2"/>
        <v>18304</v>
      </c>
      <c r="C328" s="65" t="s">
        <v>667</v>
      </c>
      <c r="D328" s="178">
        <v>17600</v>
      </c>
      <c r="E328" s="160">
        <v>0.04</v>
      </c>
      <c r="F328" s="7"/>
      <c r="G328" s="7" t="s">
        <v>784</v>
      </c>
    </row>
    <row r="329" spans="1:7" ht="15.75" customHeight="1" x14ac:dyDescent="0.2">
      <c r="A329" s="7" t="s">
        <v>844</v>
      </c>
      <c r="B329" s="158">
        <f t="shared" si="2"/>
        <v>0</v>
      </c>
      <c r="C329" s="65" t="s">
        <v>667</v>
      </c>
      <c r="D329" s="188"/>
      <c r="E329" s="160">
        <v>0.04</v>
      </c>
      <c r="F329" s="7"/>
      <c r="G329" s="7" t="s">
        <v>784</v>
      </c>
    </row>
    <row r="330" spans="1:7" ht="15.75" customHeight="1" x14ac:dyDescent="0.2">
      <c r="A330" s="7" t="s">
        <v>347</v>
      </c>
      <c r="B330" s="158">
        <f t="shared" si="2"/>
        <v>3146</v>
      </c>
      <c r="C330" s="65" t="s">
        <v>667</v>
      </c>
      <c r="D330" s="188">
        <v>3025</v>
      </c>
      <c r="E330" s="160">
        <v>0.04</v>
      </c>
      <c r="F330" s="7"/>
      <c r="G330" s="7" t="s">
        <v>784</v>
      </c>
    </row>
    <row r="331" spans="1:7" ht="15.75" customHeight="1" x14ac:dyDescent="0.2">
      <c r="A331" s="7" t="s">
        <v>845</v>
      </c>
      <c r="B331" s="158">
        <f t="shared" si="2"/>
        <v>0</v>
      </c>
      <c r="C331" s="65" t="s">
        <v>667</v>
      </c>
      <c r="D331" s="188"/>
      <c r="E331" s="160">
        <v>0.04</v>
      </c>
      <c r="F331" s="7"/>
      <c r="G331" s="7" t="s">
        <v>784</v>
      </c>
    </row>
    <row r="332" spans="1:7" ht="15.75" customHeight="1" x14ac:dyDescent="0.2">
      <c r="A332" s="7" t="s">
        <v>846</v>
      </c>
      <c r="B332" s="158">
        <f t="shared" si="2"/>
        <v>0</v>
      </c>
      <c r="C332" s="65" t="s">
        <v>667</v>
      </c>
      <c r="D332" s="188"/>
      <c r="E332" s="160">
        <v>0.03</v>
      </c>
      <c r="F332" s="7"/>
      <c r="G332" s="7" t="s">
        <v>784</v>
      </c>
    </row>
    <row r="333" spans="1:7" ht="15.75" customHeight="1" x14ac:dyDescent="0.2">
      <c r="A333" s="7" t="s">
        <v>847</v>
      </c>
      <c r="B333" s="158">
        <f t="shared" si="2"/>
        <v>0</v>
      </c>
      <c r="C333" s="65" t="s">
        <v>667</v>
      </c>
      <c r="D333" s="188"/>
      <c r="E333" s="160">
        <v>0</v>
      </c>
      <c r="F333" s="7"/>
      <c r="G333" s="7" t="s">
        <v>784</v>
      </c>
    </row>
    <row r="334" spans="1:7" ht="15.75" customHeight="1" x14ac:dyDescent="0.2">
      <c r="A334" s="7" t="s">
        <v>705</v>
      </c>
      <c r="B334" s="158">
        <f t="shared" si="2"/>
        <v>0</v>
      </c>
      <c r="C334" s="65" t="s">
        <v>667</v>
      </c>
      <c r="D334" s="188"/>
      <c r="E334" s="160">
        <v>0.15</v>
      </c>
      <c r="F334" s="7"/>
      <c r="G334" s="7" t="s">
        <v>784</v>
      </c>
    </row>
    <row r="335" spans="1:7" ht="15.75" customHeight="1" x14ac:dyDescent="0.2">
      <c r="A335" s="7" t="s">
        <v>848</v>
      </c>
      <c r="B335" s="158">
        <f t="shared" si="2"/>
        <v>0</v>
      </c>
      <c r="C335" s="65" t="s">
        <v>667</v>
      </c>
      <c r="D335" s="188"/>
      <c r="E335" s="160">
        <v>0.57999999999999996</v>
      </c>
      <c r="F335" s="7"/>
      <c r="G335" s="7" t="s">
        <v>784</v>
      </c>
    </row>
    <row r="336" spans="1:7" ht="15.75" customHeight="1" x14ac:dyDescent="0.2">
      <c r="A336" s="7" t="s">
        <v>849</v>
      </c>
      <c r="B336" s="158">
        <f t="shared" si="2"/>
        <v>0</v>
      </c>
      <c r="C336" s="65" t="s">
        <v>667</v>
      </c>
      <c r="D336" s="188"/>
      <c r="E336" s="160">
        <v>0.04</v>
      </c>
      <c r="F336" s="7"/>
      <c r="G336" s="7" t="s">
        <v>784</v>
      </c>
    </row>
    <row r="337" spans="1:7" ht="15.75" customHeight="1" x14ac:dyDescent="0.2">
      <c r="A337" s="7" t="s">
        <v>850</v>
      </c>
      <c r="B337" s="158">
        <f t="shared" si="2"/>
        <v>0</v>
      </c>
      <c r="C337" s="65" t="s">
        <v>667</v>
      </c>
      <c r="D337" s="188"/>
      <c r="E337" s="160">
        <v>0.11</v>
      </c>
      <c r="F337" s="7"/>
      <c r="G337" s="7" t="s">
        <v>784</v>
      </c>
    </row>
    <row r="338" spans="1:7" ht="15.75" customHeight="1" x14ac:dyDescent="0.2">
      <c r="A338" s="7" t="s">
        <v>851</v>
      </c>
      <c r="B338" s="158">
        <f t="shared" si="2"/>
        <v>0</v>
      </c>
      <c r="C338" s="65" t="s">
        <v>667</v>
      </c>
      <c r="D338" s="188"/>
      <c r="E338" s="160">
        <v>0.2</v>
      </c>
      <c r="F338" s="7"/>
      <c r="G338" s="7" t="s">
        <v>784</v>
      </c>
    </row>
    <row r="339" spans="1:7" ht="15.75" customHeight="1" x14ac:dyDescent="0.2">
      <c r="A339" s="7" t="s">
        <v>852</v>
      </c>
      <c r="B339" s="158">
        <f t="shared" si="2"/>
        <v>0</v>
      </c>
      <c r="C339" s="65" t="s">
        <v>667</v>
      </c>
      <c r="D339" s="188"/>
      <c r="E339" s="160">
        <v>0.12</v>
      </c>
      <c r="F339" s="7"/>
      <c r="G339" s="7" t="s">
        <v>784</v>
      </c>
    </row>
    <row r="340" spans="1:7" ht="15.75" customHeight="1" x14ac:dyDescent="0.2">
      <c r="A340" s="7" t="s">
        <v>853</v>
      </c>
      <c r="B340" s="158">
        <f t="shared" si="2"/>
        <v>560</v>
      </c>
      <c r="C340" s="65" t="s">
        <v>667</v>
      </c>
      <c r="D340" s="178">
        <v>500</v>
      </c>
      <c r="E340" s="160">
        <v>0.12</v>
      </c>
      <c r="F340" s="7"/>
      <c r="G340" s="7" t="s">
        <v>784</v>
      </c>
    </row>
    <row r="341" spans="1:7" ht="15.75" customHeight="1" x14ac:dyDescent="0.2">
      <c r="A341" s="7" t="s">
        <v>29</v>
      </c>
      <c r="B341" s="158">
        <f t="shared" si="2"/>
        <v>9900</v>
      </c>
      <c r="C341" s="65" t="s">
        <v>667</v>
      </c>
      <c r="D341" s="178">
        <v>9000</v>
      </c>
      <c r="E341" s="160">
        <v>0.1</v>
      </c>
      <c r="F341" s="7"/>
      <c r="G341" s="7" t="s">
        <v>784</v>
      </c>
    </row>
    <row r="342" spans="1:7" ht="15.75" customHeight="1" x14ac:dyDescent="0.2">
      <c r="A342" s="38" t="s">
        <v>114</v>
      </c>
      <c r="B342" s="158">
        <f t="shared" si="2"/>
        <v>28695</v>
      </c>
      <c r="C342" s="65" t="s">
        <v>667</v>
      </c>
      <c r="D342" s="178">
        <v>28695</v>
      </c>
      <c r="E342" s="160">
        <v>0</v>
      </c>
      <c r="F342" s="7"/>
      <c r="G342" s="7" t="s">
        <v>784</v>
      </c>
    </row>
    <row r="343" spans="1:7" ht="15.75" customHeight="1" x14ac:dyDescent="0.2">
      <c r="A343" s="38" t="s">
        <v>117</v>
      </c>
      <c r="B343" s="158">
        <f t="shared" si="2"/>
        <v>26900</v>
      </c>
      <c r="C343" s="65" t="s">
        <v>667</v>
      </c>
      <c r="D343" s="178">
        <v>26900</v>
      </c>
      <c r="E343" s="160">
        <v>0</v>
      </c>
      <c r="F343" s="7"/>
      <c r="G343" s="7" t="s">
        <v>784</v>
      </c>
    </row>
    <row r="344" spans="1:7" ht="15.75" customHeight="1" x14ac:dyDescent="0.2">
      <c r="A344" s="7" t="s">
        <v>854</v>
      </c>
      <c r="B344" s="158">
        <f t="shared" si="2"/>
        <v>200</v>
      </c>
      <c r="C344" s="65" t="s">
        <v>667</v>
      </c>
      <c r="D344" s="178">
        <v>200</v>
      </c>
      <c r="E344" s="160"/>
      <c r="F344" s="7"/>
      <c r="G344" s="7" t="s">
        <v>784</v>
      </c>
    </row>
    <row r="345" spans="1:7" ht="15.75" customHeight="1" x14ac:dyDescent="0.2">
      <c r="A345" s="7" t="s">
        <v>97</v>
      </c>
      <c r="B345" s="158">
        <f t="shared" si="2"/>
        <v>192</v>
      </c>
      <c r="C345" s="65" t="s">
        <v>855</v>
      </c>
      <c r="D345" s="178">
        <v>192</v>
      </c>
      <c r="E345" s="160">
        <v>0</v>
      </c>
      <c r="F345" s="7"/>
      <c r="G345" s="7" t="s">
        <v>784</v>
      </c>
    </row>
    <row r="346" spans="1:7" ht="15.75" customHeight="1" x14ac:dyDescent="0.2">
      <c r="A346" s="38" t="s">
        <v>371</v>
      </c>
      <c r="B346" s="158">
        <f t="shared" si="2"/>
        <v>8000</v>
      </c>
      <c r="C346" s="65" t="s">
        <v>667</v>
      </c>
      <c r="D346" s="178">
        <v>8000</v>
      </c>
      <c r="E346" s="160">
        <v>0</v>
      </c>
      <c r="F346" s="7"/>
      <c r="G346" s="7" t="s">
        <v>784</v>
      </c>
    </row>
    <row r="347" spans="1:7" ht="15.75" customHeight="1" x14ac:dyDescent="0.2">
      <c r="A347" s="7" t="s">
        <v>856</v>
      </c>
      <c r="B347" s="158">
        <f t="shared" si="2"/>
        <v>0</v>
      </c>
      <c r="C347" s="65" t="s">
        <v>667</v>
      </c>
      <c r="D347" s="188"/>
      <c r="E347" s="160">
        <v>0.2</v>
      </c>
      <c r="F347" s="7"/>
      <c r="G347" s="7" t="s">
        <v>784</v>
      </c>
    </row>
    <row r="348" spans="1:7" ht="15.75" customHeight="1" x14ac:dyDescent="0.2">
      <c r="A348" s="7" t="s">
        <v>857</v>
      </c>
      <c r="B348" s="158">
        <f t="shared" si="2"/>
        <v>10450</v>
      </c>
      <c r="C348" s="65" t="s">
        <v>667</v>
      </c>
      <c r="D348" s="178">
        <v>9500</v>
      </c>
      <c r="E348" s="160">
        <v>0.1</v>
      </c>
      <c r="F348" s="7"/>
      <c r="G348" s="7" t="s">
        <v>784</v>
      </c>
    </row>
    <row r="349" spans="1:7" ht="15.75" customHeight="1" x14ac:dyDescent="0.2">
      <c r="A349" s="7" t="s">
        <v>858</v>
      </c>
      <c r="B349" s="158">
        <f t="shared" si="2"/>
        <v>0</v>
      </c>
      <c r="C349" s="65" t="s">
        <v>667</v>
      </c>
      <c r="D349" s="188"/>
      <c r="E349" s="160">
        <v>0.3</v>
      </c>
      <c r="F349" s="7"/>
      <c r="G349" s="7" t="s">
        <v>784</v>
      </c>
    </row>
    <row r="350" spans="1:7" ht="15.75" customHeight="1" x14ac:dyDescent="0.2">
      <c r="A350" s="7" t="s">
        <v>859</v>
      </c>
      <c r="B350" s="158">
        <f t="shared" si="2"/>
        <v>0</v>
      </c>
      <c r="C350" s="65" t="s">
        <v>667</v>
      </c>
      <c r="D350" s="188"/>
      <c r="E350" s="160">
        <v>0.3</v>
      </c>
      <c r="F350" s="7"/>
      <c r="G350" s="7" t="s">
        <v>784</v>
      </c>
    </row>
    <row r="351" spans="1:7" ht="15.75" customHeight="1" x14ac:dyDescent="0.2">
      <c r="A351" s="7" t="s">
        <v>27</v>
      </c>
      <c r="B351" s="158">
        <f t="shared" si="2"/>
        <v>6440</v>
      </c>
      <c r="C351" s="65" t="s">
        <v>667</v>
      </c>
      <c r="D351" s="178">
        <v>5600</v>
      </c>
      <c r="E351" s="160">
        <v>0.15</v>
      </c>
      <c r="F351" s="7"/>
      <c r="G351" s="7" t="s">
        <v>784</v>
      </c>
    </row>
    <row r="352" spans="1:7" ht="15.75" customHeight="1" x14ac:dyDescent="0.2">
      <c r="A352" s="7" t="s">
        <v>860</v>
      </c>
      <c r="B352" s="158">
        <f t="shared" si="2"/>
        <v>0</v>
      </c>
      <c r="C352" s="65" t="s">
        <v>667</v>
      </c>
      <c r="D352" s="188"/>
      <c r="E352" s="160">
        <v>0.3</v>
      </c>
      <c r="F352" s="7"/>
      <c r="G352" s="7" t="s">
        <v>784</v>
      </c>
    </row>
    <row r="353" spans="1:7" ht="15.75" customHeight="1" x14ac:dyDescent="0.2">
      <c r="A353" s="7" t="s">
        <v>861</v>
      </c>
      <c r="B353" s="158">
        <f t="shared" si="2"/>
        <v>0</v>
      </c>
      <c r="C353" s="65" t="s">
        <v>667</v>
      </c>
      <c r="D353" s="188"/>
      <c r="E353" s="160">
        <v>0.3</v>
      </c>
      <c r="F353" s="7"/>
      <c r="G353" s="7" t="s">
        <v>784</v>
      </c>
    </row>
    <row r="354" spans="1:7" ht="15.75" customHeight="1" x14ac:dyDescent="0.2">
      <c r="A354" s="7" t="s">
        <v>862</v>
      </c>
      <c r="B354" s="158">
        <f t="shared" si="2"/>
        <v>0</v>
      </c>
      <c r="C354" s="65" t="s">
        <v>667</v>
      </c>
      <c r="D354" s="188"/>
      <c r="E354" s="160">
        <v>0.3</v>
      </c>
      <c r="F354" s="7"/>
      <c r="G354" s="7" t="s">
        <v>784</v>
      </c>
    </row>
    <row r="355" spans="1:7" ht="15.75" customHeight="1" x14ac:dyDescent="0.2">
      <c r="A355" s="7" t="s">
        <v>863</v>
      </c>
      <c r="B355" s="158">
        <f t="shared" si="2"/>
        <v>0</v>
      </c>
      <c r="C355" s="65" t="s">
        <v>667</v>
      </c>
      <c r="D355" s="188"/>
      <c r="E355" s="160">
        <v>0.3</v>
      </c>
      <c r="F355" s="7"/>
      <c r="G355" s="7" t="s">
        <v>784</v>
      </c>
    </row>
    <row r="356" spans="1:7" ht="15.75" customHeight="1" x14ac:dyDescent="0.2">
      <c r="A356" s="7" t="s">
        <v>864</v>
      </c>
      <c r="B356" s="158">
        <f t="shared" si="2"/>
        <v>0</v>
      </c>
      <c r="C356" s="65" t="s">
        <v>667</v>
      </c>
      <c r="D356" s="188"/>
      <c r="E356" s="160">
        <v>0.3</v>
      </c>
      <c r="F356" s="7"/>
      <c r="G356" s="7" t="s">
        <v>784</v>
      </c>
    </row>
    <row r="357" spans="1:7" ht="15.75" customHeight="1" x14ac:dyDescent="0.2">
      <c r="A357" s="7" t="s">
        <v>865</v>
      </c>
      <c r="B357" s="158">
        <f t="shared" si="2"/>
        <v>0</v>
      </c>
      <c r="C357" s="65" t="s">
        <v>667</v>
      </c>
      <c r="D357" s="188"/>
      <c r="E357" s="160">
        <v>0.3</v>
      </c>
      <c r="F357" s="7"/>
      <c r="G357" s="7" t="s">
        <v>784</v>
      </c>
    </row>
    <row r="358" spans="1:7" ht="15.75" customHeight="1" x14ac:dyDescent="0.2">
      <c r="A358" s="7" t="s">
        <v>866</v>
      </c>
      <c r="B358" s="158">
        <f t="shared" si="2"/>
        <v>0</v>
      </c>
      <c r="C358" s="65" t="s">
        <v>667</v>
      </c>
      <c r="D358" s="188"/>
      <c r="E358" s="160">
        <v>3.0000000000000001E-3</v>
      </c>
      <c r="F358" s="7"/>
      <c r="G358" s="7" t="s">
        <v>784</v>
      </c>
    </row>
    <row r="359" spans="1:7" ht="15.75" customHeight="1" x14ac:dyDescent="0.2">
      <c r="A359" s="7" t="s">
        <v>230</v>
      </c>
      <c r="B359" s="158">
        <f t="shared" si="2"/>
        <v>5400</v>
      </c>
      <c r="C359" s="65" t="s">
        <v>667</v>
      </c>
      <c r="D359" s="178">
        <v>4500</v>
      </c>
      <c r="E359" s="160">
        <v>0.2</v>
      </c>
      <c r="F359" s="7"/>
      <c r="G359" s="7" t="s">
        <v>784</v>
      </c>
    </row>
    <row r="360" spans="1:7" ht="15.75" customHeight="1" x14ac:dyDescent="0.2">
      <c r="A360" s="7" t="s">
        <v>480</v>
      </c>
      <c r="B360" s="158">
        <f t="shared" si="2"/>
        <v>3000</v>
      </c>
      <c r="C360" s="65" t="s">
        <v>667</v>
      </c>
      <c r="D360" s="178">
        <v>2400</v>
      </c>
      <c r="E360" s="160">
        <v>0.25</v>
      </c>
      <c r="F360" s="7"/>
      <c r="G360" s="7" t="s">
        <v>784</v>
      </c>
    </row>
    <row r="361" spans="1:7" ht="15.75" customHeight="1" x14ac:dyDescent="0.2">
      <c r="A361" s="7" t="s">
        <v>332</v>
      </c>
      <c r="B361" s="158">
        <f t="shared" si="2"/>
        <v>6125</v>
      </c>
      <c r="C361" s="65" t="s">
        <v>667</v>
      </c>
      <c r="D361" s="178">
        <v>4900</v>
      </c>
      <c r="E361" s="160">
        <v>0.25</v>
      </c>
      <c r="F361" s="7"/>
      <c r="G361" s="7" t="s">
        <v>784</v>
      </c>
    </row>
    <row r="362" spans="1:7" ht="15.75" customHeight="1" x14ac:dyDescent="0.2">
      <c r="A362" s="7" t="s">
        <v>867</v>
      </c>
      <c r="B362" s="158">
        <f t="shared" si="2"/>
        <v>0</v>
      </c>
      <c r="C362" s="65" t="s">
        <v>667</v>
      </c>
      <c r="D362" s="188"/>
      <c r="E362" s="160">
        <v>0.37</v>
      </c>
      <c r="F362" s="7"/>
      <c r="G362" s="7" t="s">
        <v>784</v>
      </c>
    </row>
    <row r="363" spans="1:7" ht="15.75" customHeight="1" x14ac:dyDescent="0.2">
      <c r="A363" s="7" t="s">
        <v>868</v>
      </c>
      <c r="B363" s="158">
        <f t="shared" si="2"/>
        <v>0</v>
      </c>
      <c r="C363" s="65" t="s">
        <v>667</v>
      </c>
      <c r="D363" s="188"/>
      <c r="E363" s="160">
        <v>0.25</v>
      </c>
      <c r="F363" s="7"/>
      <c r="G363" s="7" t="s">
        <v>784</v>
      </c>
    </row>
    <row r="364" spans="1:7" ht="15.75" customHeight="1" x14ac:dyDescent="0.2">
      <c r="A364" s="7" t="s">
        <v>869</v>
      </c>
      <c r="B364" s="158">
        <f t="shared" si="2"/>
        <v>0</v>
      </c>
      <c r="C364" s="65" t="s">
        <v>667</v>
      </c>
      <c r="D364" s="188"/>
      <c r="E364" s="160">
        <v>0.3</v>
      </c>
      <c r="F364" s="7"/>
      <c r="G364" s="7" t="s">
        <v>784</v>
      </c>
    </row>
    <row r="365" spans="1:7" ht="15.75" customHeight="1" x14ac:dyDescent="0.2">
      <c r="A365" s="7" t="s">
        <v>870</v>
      </c>
      <c r="B365" s="158">
        <f t="shared" si="2"/>
        <v>0</v>
      </c>
      <c r="C365" s="65" t="s">
        <v>667</v>
      </c>
      <c r="D365" s="188"/>
      <c r="E365" s="160"/>
      <c r="F365" s="7"/>
      <c r="G365" s="7" t="s">
        <v>784</v>
      </c>
    </row>
    <row r="366" spans="1:7" ht="15.75" customHeight="1" x14ac:dyDescent="0.2">
      <c r="A366" s="7" t="s">
        <v>871</v>
      </c>
      <c r="B366" s="158">
        <f t="shared" si="2"/>
        <v>2850</v>
      </c>
      <c r="C366" s="65" t="s">
        <v>667</v>
      </c>
      <c r="D366" s="178">
        <v>2500</v>
      </c>
      <c r="E366" s="160">
        <v>0.14000000000000001</v>
      </c>
      <c r="F366" s="7"/>
      <c r="G366" s="7" t="s">
        <v>784</v>
      </c>
    </row>
    <row r="367" spans="1:7" ht="15.75" customHeight="1" x14ac:dyDescent="0.2">
      <c r="A367" s="7" t="s">
        <v>872</v>
      </c>
      <c r="B367" s="158">
        <f t="shared" si="2"/>
        <v>11679</v>
      </c>
      <c r="C367" s="65" t="s">
        <v>667</v>
      </c>
      <c r="D367" s="178">
        <v>11679</v>
      </c>
      <c r="E367" s="160">
        <v>0</v>
      </c>
      <c r="F367" s="7"/>
      <c r="G367" s="7" t="s">
        <v>784</v>
      </c>
    </row>
    <row r="368" spans="1:7" ht="15.75" customHeight="1" x14ac:dyDescent="0.2">
      <c r="A368" s="7" t="s">
        <v>873</v>
      </c>
      <c r="B368" s="158">
        <f t="shared" si="2"/>
        <v>0</v>
      </c>
      <c r="C368" s="65" t="s">
        <v>667</v>
      </c>
      <c r="D368" s="188"/>
      <c r="E368" s="160">
        <v>0.33</v>
      </c>
      <c r="F368" s="7"/>
      <c r="G368" s="7" t="s">
        <v>784</v>
      </c>
    </row>
    <row r="369" spans="1:9" ht="15.75" customHeight="1" x14ac:dyDescent="0.2">
      <c r="A369" s="7" t="s">
        <v>874</v>
      </c>
      <c r="B369" s="158">
        <f t="shared" si="2"/>
        <v>0</v>
      </c>
      <c r="C369" s="65" t="s">
        <v>667</v>
      </c>
      <c r="D369" s="188"/>
      <c r="E369" s="160">
        <v>0.31</v>
      </c>
      <c r="F369" s="7"/>
      <c r="G369" s="7" t="s">
        <v>784</v>
      </c>
    </row>
    <row r="370" spans="1:9" ht="15.75" customHeight="1" x14ac:dyDescent="0.2">
      <c r="A370" s="7" t="s">
        <v>875</v>
      </c>
      <c r="B370" s="158">
        <f t="shared" si="2"/>
        <v>0</v>
      </c>
      <c r="C370" s="65" t="s">
        <v>667</v>
      </c>
      <c r="D370" s="188"/>
      <c r="E370" s="160">
        <v>7.0000000000000007E-2</v>
      </c>
      <c r="F370" s="7"/>
      <c r="G370" s="7" t="s">
        <v>784</v>
      </c>
    </row>
    <row r="371" spans="1:9" ht="15.75" customHeight="1" x14ac:dyDescent="0.2">
      <c r="A371" s="7" t="s">
        <v>208</v>
      </c>
      <c r="B371" s="158">
        <f t="shared" si="2"/>
        <v>1440</v>
      </c>
      <c r="C371" s="65" t="s">
        <v>667</v>
      </c>
      <c r="D371" s="178">
        <v>1200</v>
      </c>
      <c r="E371" s="160">
        <v>0.2</v>
      </c>
      <c r="F371" s="7"/>
      <c r="G371" s="7" t="s">
        <v>784</v>
      </c>
    </row>
    <row r="372" spans="1:9" ht="15.75" customHeight="1" x14ac:dyDescent="0.2">
      <c r="A372" s="7" t="s">
        <v>294</v>
      </c>
      <c r="B372" s="158">
        <f t="shared" si="2"/>
        <v>0</v>
      </c>
      <c r="C372" s="65" t="s">
        <v>667</v>
      </c>
      <c r="D372" s="178">
        <v>0</v>
      </c>
      <c r="E372" s="160"/>
      <c r="F372" s="7"/>
      <c r="G372" s="7"/>
    </row>
    <row r="373" spans="1:9" ht="15.75" customHeight="1" x14ac:dyDescent="0.2">
      <c r="A373" s="7" t="s">
        <v>876</v>
      </c>
      <c r="B373" s="158">
        <f t="shared" si="2"/>
        <v>0</v>
      </c>
      <c r="C373" s="65" t="s">
        <v>667</v>
      </c>
      <c r="D373" s="188"/>
      <c r="E373" s="160">
        <v>0.12</v>
      </c>
      <c r="F373" s="7"/>
      <c r="G373" s="7" t="s">
        <v>784</v>
      </c>
    </row>
    <row r="374" spans="1:9" ht="15.75" customHeight="1" x14ac:dyDescent="0.2">
      <c r="A374" s="7" t="s">
        <v>877</v>
      </c>
      <c r="B374" s="158">
        <f t="shared" si="2"/>
        <v>0</v>
      </c>
      <c r="C374" s="65" t="s">
        <v>667</v>
      </c>
      <c r="D374" s="188"/>
      <c r="E374" s="160">
        <v>0.24</v>
      </c>
      <c r="F374" s="7"/>
      <c r="G374" s="7" t="s">
        <v>784</v>
      </c>
    </row>
    <row r="375" spans="1:9" ht="15.75" customHeight="1" x14ac:dyDescent="0.2">
      <c r="A375" s="7" t="s">
        <v>878</v>
      </c>
      <c r="B375" s="158">
        <f t="shared" si="2"/>
        <v>10960</v>
      </c>
      <c r="C375" s="65" t="s">
        <v>667</v>
      </c>
      <c r="D375" s="178">
        <v>8000</v>
      </c>
      <c r="E375" s="160">
        <v>0.37</v>
      </c>
      <c r="F375" s="7"/>
      <c r="G375" s="7" t="s">
        <v>784</v>
      </c>
      <c r="I375" s="1" t="s">
        <v>879</v>
      </c>
    </row>
    <row r="376" spans="1:9" ht="15.75" customHeight="1" x14ac:dyDescent="0.2">
      <c r="A376" s="7" t="s">
        <v>24</v>
      </c>
      <c r="B376" s="158">
        <f t="shared" si="2"/>
        <v>9316</v>
      </c>
      <c r="C376" s="65" t="s">
        <v>667</v>
      </c>
      <c r="D376" s="178">
        <v>6800</v>
      </c>
      <c r="E376" s="160">
        <v>0.37</v>
      </c>
      <c r="F376" s="7"/>
      <c r="G376" s="7" t="s">
        <v>784</v>
      </c>
    </row>
    <row r="377" spans="1:9" ht="15.75" customHeight="1" x14ac:dyDescent="0.2">
      <c r="A377" s="7" t="s">
        <v>880</v>
      </c>
      <c r="B377" s="158">
        <f t="shared" si="2"/>
        <v>1363.15</v>
      </c>
      <c r="C377" s="65" t="s">
        <v>667</v>
      </c>
      <c r="D377" s="178">
        <v>995</v>
      </c>
      <c r="E377" s="160">
        <v>0.37</v>
      </c>
      <c r="F377" s="7"/>
      <c r="G377" s="7" t="s">
        <v>784</v>
      </c>
    </row>
    <row r="378" spans="1:9" ht="15.75" customHeight="1" x14ac:dyDescent="0.2">
      <c r="A378" s="7" t="s">
        <v>881</v>
      </c>
      <c r="B378" s="158">
        <f t="shared" si="2"/>
        <v>0</v>
      </c>
      <c r="C378" s="65" t="s">
        <v>667</v>
      </c>
      <c r="D378" s="188"/>
      <c r="E378" s="160">
        <v>0.32</v>
      </c>
      <c r="F378" s="7"/>
      <c r="G378" s="7" t="s">
        <v>784</v>
      </c>
    </row>
    <row r="379" spans="1:9" ht="15.75" customHeight="1" x14ac:dyDescent="0.2">
      <c r="A379" s="7" t="s">
        <v>882</v>
      </c>
      <c r="B379" s="158">
        <f t="shared" si="2"/>
        <v>0</v>
      </c>
      <c r="C379" s="65" t="s">
        <v>667</v>
      </c>
      <c r="D379" s="188"/>
      <c r="E379" s="160"/>
      <c r="F379" s="7"/>
      <c r="G379" s="7" t="s">
        <v>784</v>
      </c>
    </row>
    <row r="380" spans="1:9" ht="15.75" customHeight="1" x14ac:dyDescent="0.2">
      <c r="A380" s="7" t="s">
        <v>883</v>
      </c>
      <c r="B380" s="158">
        <f t="shared" si="2"/>
        <v>3500</v>
      </c>
      <c r="C380" s="65" t="s">
        <v>667</v>
      </c>
      <c r="D380" s="178">
        <v>2800</v>
      </c>
      <c r="E380" s="160">
        <v>0.25</v>
      </c>
      <c r="F380" s="7"/>
      <c r="G380" s="7" t="s">
        <v>784</v>
      </c>
    </row>
    <row r="381" spans="1:9" ht="15.75" customHeight="1" x14ac:dyDescent="0.2">
      <c r="A381" s="7" t="s">
        <v>884</v>
      </c>
      <c r="B381" s="158">
        <f t="shared" si="2"/>
        <v>0</v>
      </c>
      <c r="C381" s="65" t="s">
        <v>667</v>
      </c>
      <c r="D381" s="188"/>
      <c r="E381" s="160"/>
      <c r="F381" s="7"/>
      <c r="G381" s="7" t="s">
        <v>784</v>
      </c>
    </row>
    <row r="382" spans="1:9" ht="15.75" customHeight="1" x14ac:dyDescent="0.2">
      <c r="A382" s="7" t="s">
        <v>885</v>
      </c>
      <c r="B382" s="158">
        <f t="shared" si="2"/>
        <v>0</v>
      </c>
      <c r="C382" s="65" t="s">
        <v>667</v>
      </c>
      <c r="D382" s="188"/>
      <c r="E382" s="160">
        <v>0.26</v>
      </c>
      <c r="F382" s="7"/>
      <c r="G382" s="7" t="s">
        <v>784</v>
      </c>
    </row>
    <row r="383" spans="1:9" ht="15.75" customHeight="1" x14ac:dyDescent="0.2">
      <c r="A383" s="7" t="s">
        <v>886</v>
      </c>
      <c r="B383" s="158">
        <f t="shared" si="2"/>
        <v>3150</v>
      </c>
      <c r="C383" s="65" t="s">
        <v>667</v>
      </c>
      <c r="D383" s="178">
        <v>2500</v>
      </c>
      <c r="E383" s="160">
        <v>0.26</v>
      </c>
      <c r="F383" s="7"/>
      <c r="G383" s="7" t="s">
        <v>784</v>
      </c>
    </row>
    <row r="384" spans="1:9" ht="15.75" customHeight="1" x14ac:dyDescent="0.2">
      <c r="A384" s="7" t="s">
        <v>481</v>
      </c>
      <c r="B384" s="158">
        <f t="shared" si="2"/>
        <v>6250</v>
      </c>
      <c r="C384" s="65" t="s">
        <v>667</v>
      </c>
      <c r="D384" s="178">
        <v>5000</v>
      </c>
      <c r="E384" s="160">
        <v>0.25</v>
      </c>
      <c r="F384" s="7"/>
      <c r="G384" s="7" t="s">
        <v>784</v>
      </c>
    </row>
    <row r="385" spans="1:7" ht="15.75" customHeight="1" x14ac:dyDescent="0.2">
      <c r="A385" s="7" t="s">
        <v>887</v>
      </c>
      <c r="B385" s="158">
        <f t="shared" si="2"/>
        <v>0</v>
      </c>
      <c r="C385" s="65" t="s">
        <v>667</v>
      </c>
      <c r="D385" s="188"/>
      <c r="E385" s="160">
        <v>0.25</v>
      </c>
      <c r="F385" s="7"/>
      <c r="G385" s="7" t="s">
        <v>784</v>
      </c>
    </row>
    <row r="386" spans="1:7" ht="15.75" customHeight="1" x14ac:dyDescent="0.2">
      <c r="A386" s="7" t="s">
        <v>420</v>
      </c>
      <c r="B386" s="158">
        <f t="shared" si="2"/>
        <v>2185</v>
      </c>
      <c r="C386" s="65" t="s">
        <v>667</v>
      </c>
      <c r="D386" s="178">
        <v>1900</v>
      </c>
      <c r="E386" s="160">
        <v>0.15</v>
      </c>
      <c r="F386" s="7"/>
      <c r="G386" s="7" t="s">
        <v>784</v>
      </c>
    </row>
    <row r="387" spans="1:7" ht="15.75" customHeight="1" x14ac:dyDescent="0.2">
      <c r="A387" s="7" t="s">
        <v>888</v>
      </c>
      <c r="B387" s="158">
        <f t="shared" si="2"/>
        <v>0</v>
      </c>
      <c r="C387" s="65" t="s">
        <v>667</v>
      </c>
      <c r="D387" s="188"/>
      <c r="E387" s="160">
        <v>0.48</v>
      </c>
      <c r="F387" s="7"/>
      <c r="G387" s="7" t="s">
        <v>784</v>
      </c>
    </row>
    <row r="388" spans="1:7" ht="15.75" customHeight="1" x14ac:dyDescent="0.2">
      <c r="A388" s="7" t="s">
        <v>889</v>
      </c>
      <c r="B388" s="158">
        <f t="shared" si="2"/>
        <v>0</v>
      </c>
      <c r="C388" s="65" t="s">
        <v>667</v>
      </c>
      <c r="D388" s="188"/>
      <c r="E388" s="160"/>
      <c r="F388" s="7"/>
      <c r="G388" s="7" t="s">
        <v>784</v>
      </c>
    </row>
    <row r="389" spans="1:7" ht="15.75" customHeight="1" x14ac:dyDescent="0.2">
      <c r="A389" s="7" t="s">
        <v>890</v>
      </c>
      <c r="B389" s="158">
        <f t="shared" si="2"/>
        <v>0</v>
      </c>
      <c r="C389" s="65" t="s">
        <v>667</v>
      </c>
      <c r="D389" s="188"/>
      <c r="E389" s="160">
        <v>0.05</v>
      </c>
      <c r="F389" s="7"/>
      <c r="G389" s="7" t="s">
        <v>784</v>
      </c>
    </row>
    <row r="390" spans="1:7" ht="15.75" customHeight="1" x14ac:dyDescent="0.2">
      <c r="A390" s="7" t="s">
        <v>891</v>
      </c>
      <c r="B390" s="158">
        <f t="shared" si="2"/>
        <v>0</v>
      </c>
      <c r="C390" s="65" t="s">
        <v>667</v>
      </c>
      <c r="D390" s="188"/>
      <c r="E390" s="160">
        <v>0.23</v>
      </c>
      <c r="F390" s="7"/>
      <c r="G390" s="7" t="s">
        <v>784</v>
      </c>
    </row>
    <row r="391" spans="1:7" ht="15.75" customHeight="1" x14ac:dyDescent="0.2">
      <c r="A391" s="7" t="s">
        <v>892</v>
      </c>
      <c r="B391" s="158">
        <f t="shared" si="2"/>
        <v>0</v>
      </c>
      <c r="C391" s="65" t="s">
        <v>667</v>
      </c>
      <c r="D391" s="188"/>
      <c r="E391" s="160">
        <v>0.12</v>
      </c>
      <c r="F391" s="7"/>
      <c r="G391" s="7" t="s">
        <v>784</v>
      </c>
    </row>
    <row r="392" spans="1:7" ht="15.75" customHeight="1" x14ac:dyDescent="0.2">
      <c r="A392" s="7" t="s">
        <v>893</v>
      </c>
      <c r="B392" s="158">
        <f t="shared" si="2"/>
        <v>0</v>
      </c>
      <c r="C392" s="65" t="s">
        <v>667</v>
      </c>
      <c r="D392" s="188"/>
      <c r="E392" s="160"/>
      <c r="F392" s="7"/>
      <c r="G392" s="7" t="s">
        <v>784</v>
      </c>
    </row>
    <row r="393" spans="1:7" ht="15.75" customHeight="1" x14ac:dyDescent="0.2">
      <c r="A393" s="7" t="s">
        <v>894</v>
      </c>
      <c r="B393" s="158">
        <f t="shared" si="2"/>
        <v>0</v>
      </c>
      <c r="C393" s="65" t="s">
        <v>667</v>
      </c>
      <c r="D393" s="188"/>
      <c r="E393" s="160">
        <v>0.23</v>
      </c>
      <c r="F393" s="7"/>
      <c r="G393" s="7" t="s">
        <v>784</v>
      </c>
    </row>
    <row r="394" spans="1:7" ht="15.75" customHeight="1" x14ac:dyDescent="0.2">
      <c r="A394" s="7" t="s">
        <v>133</v>
      </c>
      <c r="B394" s="158">
        <f t="shared" si="2"/>
        <v>2025</v>
      </c>
      <c r="C394" s="65" t="s">
        <v>667</v>
      </c>
      <c r="D394" s="178">
        <v>1500</v>
      </c>
      <c r="E394" s="160">
        <v>0.35</v>
      </c>
      <c r="F394" s="7"/>
      <c r="G394" s="7" t="s">
        <v>784</v>
      </c>
    </row>
    <row r="395" spans="1:7" ht="15.75" customHeight="1" x14ac:dyDescent="0.2">
      <c r="A395" s="7" t="s">
        <v>137</v>
      </c>
      <c r="B395" s="158">
        <f t="shared" si="2"/>
        <v>2700</v>
      </c>
      <c r="C395" s="65" t="s">
        <v>667</v>
      </c>
      <c r="D395" s="178">
        <v>2000</v>
      </c>
      <c r="E395" s="160">
        <v>0.35</v>
      </c>
      <c r="F395" s="7"/>
      <c r="G395" s="7" t="s">
        <v>784</v>
      </c>
    </row>
    <row r="396" spans="1:7" ht="15.75" customHeight="1" x14ac:dyDescent="0.2">
      <c r="A396" s="7" t="s">
        <v>895</v>
      </c>
      <c r="B396" s="158">
        <f t="shared" si="2"/>
        <v>0</v>
      </c>
      <c r="C396" s="65" t="s">
        <v>667</v>
      </c>
      <c r="D396" s="188"/>
      <c r="E396" s="160"/>
      <c r="F396" s="7"/>
      <c r="G396" s="7" t="s">
        <v>784</v>
      </c>
    </row>
    <row r="397" spans="1:7" ht="15.75" customHeight="1" x14ac:dyDescent="0.2">
      <c r="A397" s="7" t="s">
        <v>896</v>
      </c>
      <c r="B397" s="158">
        <f t="shared" si="2"/>
        <v>0</v>
      </c>
      <c r="C397" s="65" t="s">
        <v>667</v>
      </c>
      <c r="D397" s="188"/>
      <c r="E397" s="160"/>
      <c r="F397" s="7"/>
      <c r="G397" s="7" t="s">
        <v>784</v>
      </c>
    </row>
    <row r="398" spans="1:7" ht="15.75" customHeight="1" x14ac:dyDescent="0.2">
      <c r="A398" s="7" t="s">
        <v>897</v>
      </c>
      <c r="B398" s="158">
        <f t="shared" si="2"/>
        <v>0</v>
      </c>
      <c r="C398" s="65" t="s">
        <v>667</v>
      </c>
      <c r="D398" s="188"/>
      <c r="E398" s="160">
        <v>0.3</v>
      </c>
      <c r="F398" s="7"/>
      <c r="G398" s="7" t="s">
        <v>784</v>
      </c>
    </row>
    <row r="399" spans="1:7" ht="15.75" customHeight="1" x14ac:dyDescent="0.2">
      <c r="A399" s="7" t="s">
        <v>898</v>
      </c>
      <c r="B399" s="158">
        <f t="shared" si="2"/>
        <v>4095</v>
      </c>
      <c r="C399" s="65" t="s">
        <v>667</v>
      </c>
      <c r="D399" s="178">
        <v>3900</v>
      </c>
      <c r="E399" s="160">
        <v>0.05</v>
      </c>
      <c r="F399" s="7"/>
      <c r="G399" s="7" t="s">
        <v>784</v>
      </c>
    </row>
    <row r="400" spans="1:7" ht="15.75" customHeight="1" x14ac:dyDescent="0.2">
      <c r="A400" s="7" t="s">
        <v>899</v>
      </c>
      <c r="B400" s="158">
        <f t="shared" si="2"/>
        <v>1800</v>
      </c>
      <c r="C400" s="65" t="s">
        <v>667</v>
      </c>
      <c r="D400" s="178">
        <v>1800</v>
      </c>
      <c r="E400" s="160"/>
      <c r="F400" s="7"/>
      <c r="G400" s="7" t="s">
        <v>784</v>
      </c>
    </row>
    <row r="401" spans="1:7" ht="15.75" customHeight="1" x14ac:dyDescent="0.2">
      <c r="A401" s="7" t="s">
        <v>900</v>
      </c>
      <c r="B401" s="158">
        <f t="shared" si="2"/>
        <v>0</v>
      </c>
      <c r="C401" s="65" t="s">
        <v>667</v>
      </c>
      <c r="D401" s="188"/>
      <c r="E401" s="160"/>
      <c r="F401" s="7"/>
      <c r="G401" s="7" t="s">
        <v>784</v>
      </c>
    </row>
    <row r="402" spans="1:7" ht="15.75" customHeight="1" x14ac:dyDescent="0.2">
      <c r="A402" s="7" t="s">
        <v>35</v>
      </c>
      <c r="B402" s="158">
        <f t="shared" si="2"/>
        <v>4095</v>
      </c>
      <c r="C402" s="65" t="s">
        <v>667</v>
      </c>
      <c r="D402" s="178">
        <v>3900</v>
      </c>
      <c r="E402" s="160">
        <v>0.05</v>
      </c>
      <c r="F402" s="7"/>
      <c r="G402" s="7" t="s">
        <v>784</v>
      </c>
    </row>
    <row r="403" spans="1:7" ht="15.75" customHeight="1" x14ac:dyDescent="0.2">
      <c r="A403" s="7" t="s">
        <v>901</v>
      </c>
      <c r="B403" s="158">
        <f t="shared" si="2"/>
        <v>3570</v>
      </c>
      <c r="C403" s="65" t="s">
        <v>667</v>
      </c>
      <c r="D403" s="178">
        <v>3400</v>
      </c>
      <c r="E403" s="160">
        <v>0.05</v>
      </c>
      <c r="F403" s="7"/>
      <c r="G403" s="7" t="s">
        <v>784</v>
      </c>
    </row>
    <row r="404" spans="1:7" ht="15.75" customHeight="1" x14ac:dyDescent="0.2">
      <c r="A404" s="7" t="s">
        <v>902</v>
      </c>
      <c r="B404" s="158">
        <f t="shared" si="2"/>
        <v>0</v>
      </c>
      <c r="C404" s="65" t="s">
        <v>667</v>
      </c>
      <c r="D404" s="188"/>
      <c r="E404" s="160">
        <v>0.56000000000000005</v>
      </c>
      <c r="F404" s="7"/>
      <c r="G404" s="7" t="s">
        <v>784</v>
      </c>
    </row>
    <row r="405" spans="1:7" ht="15.75" customHeight="1" x14ac:dyDescent="0.2">
      <c r="A405" s="7" t="s">
        <v>903</v>
      </c>
      <c r="B405" s="158">
        <f t="shared" si="2"/>
        <v>2332</v>
      </c>
      <c r="C405" s="65" t="s">
        <v>667</v>
      </c>
      <c r="D405" s="178">
        <v>2200</v>
      </c>
      <c r="E405" s="160">
        <v>0.06</v>
      </c>
      <c r="F405" s="7"/>
      <c r="G405" s="7" t="s">
        <v>784</v>
      </c>
    </row>
    <row r="406" spans="1:7" ht="15.75" customHeight="1" x14ac:dyDescent="0.2">
      <c r="A406" s="7" t="s">
        <v>904</v>
      </c>
      <c r="B406" s="158">
        <f t="shared" si="2"/>
        <v>1650</v>
      </c>
      <c r="C406" s="65" t="s">
        <v>667</v>
      </c>
      <c r="D406" s="178">
        <v>1500</v>
      </c>
      <c r="E406" s="160">
        <v>0.1</v>
      </c>
      <c r="F406" s="7"/>
      <c r="G406" s="7" t="s">
        <v>784</v>
      </c>
    </row>
    <row r="407" spans="1:7" ht="15.75" customHeight="1" x14ac:dyDescent="0.2">
      <c r="A407" s="7" t="s">
        <v>905</v>
      </c>
      <c r="B407" s="158">
        <f t="shared" si="2"/>
        <v>0</v>
      </c>
      <c r="C407" s="65" t="s">
        <v>667</v>
      </c>
      <c r="D407" s="188"/>
      <c r="E407" s="160">
        <v>0.37</v>
      </c>
      <c r="F407" s="7"/>
      <c r="G407" s="7" t="s">
        <v>784</v>
      </c>
    </row>
    <row r="408" spans="1:7" ht="15.75" customHeight="1" x14ac:dyDescent="0.2">
      <c r="A408" s="7" t="s">
        <v>906</v>
      </c>
      <c r="B408" s="158">
        <f t="shared" si="2"/>
        <v>0</v>
      </c>
      <c r="C408" s="65" t="s">
        <v>667</v>
      </c>
      <c r="D408" s="188"/>
      <c r="E408" s="160">
        <v>0.28000000000000003</v>
      </c>
      <c r="F408" s="7"/>
      <c r="G408" s="7" t="s">
        <v>784</v>
      </c>
    </row>
    <row r="409" spans="1:7" ht="15.75" customHeight="1" x14ac:dyDescent="0.2">
      <c r="A409" s="7" t="s">
        <v>907</v>
      </c>
      <c r="B409" s="158">
        <f t="shared" si="2"/>
        <v>0</v>
      </c>
      <c r="C409" s="65" t="s">
        <v>667</v>
      </c>
      <c r="D409" s="188"/>
      <c r="E409" s="160">
        <v>0.28000000000000003</v>
      </c>
      <c r="F409" s="7"/>
      <c r="G409" s="7" t="s">
        <v>784</v>
      </c>
    </row>
    <row r="410" spans="1:7" ht="15.75" customHeight="1" x14ac:dyDescent="0.2">
      <c r="A410" s="7" t="s">
        <v>908</v>
      </c>
      <c r="B410" s="158">
        <f t="shared" si="2"/>
        <v>0</v>
      </c>
      <c r="C410" s="65" t="s">
        <v>667</v>
      </c>
      <c r="D410" s="188"/>
      <c r="E410" s="160">
        <v>0.31</v>
      </c>
      <c r="F410" s="7"/>
      <c r="G410" s="7" t="s">
        <v>784</v>
      </c>
    </row>
    <row r="411" spans="1:7" ht="15.75" customHeight="1" x14ac:dyDescent="0.2">
      <c r="A411" s="7" t="s">
        <v>381</v>
      </c>
      <c r="B411" s="158">
        <f t="shared" si="2"/>
        <v>4095</v>
      </c>
      <c r="C411" s="65" t="s">
        <v>667</v>
      </c>
      <c r="D411" s="178">
        <v>3900</v>
      </c>
      <c r="E411" s="160">
        <v>0.05</v>
      </c>
      <c r="F411" s="7"/>
      <c r="G411" s="7" t="s">
        <v>784</v>
      </c>
    </row>
    <row r="412" spans="1:7" ht="15.75" customHeight="1" x14ac:dyDescent="0.2">
      <c r="A412" s="7" t="s">
        <v>909</v>
      </c>
      <c r="B412" s="158">
        <f t="shared" si="2"/>
        <v>9723</v>
      </c>
      <c r="C412" s="65" t="s">
        <v>667</v>
      </c>
      <c r="D412" s="178">
        <v>9723</v>
      </c>
      <c r="E412" s="160"/>
      <c r="F412" s="7"/>
      <c r="G412" s="7" t="s">
        <v>910</v>
      </c>
    </row>
    <row r="413" spans="1:7" ht="15.75" customHeight="1" x14ac:dyDescent="0.2">
      <c r="A413" s="7" t="s">
        <v>367</v>
      </c>
      <c r="B413" s="158">
        <f t="shared" si="2"/>
        <v>0</v>
      </c>
      <c r="C413" s="65" t="s">
        <v>660</v>
      </c>
      <c r="D413" s="178">
        <v>0</v>
      </c>
      <c r="E413" s="160"/>
      <c r="F413" s="7"/>
      <c r="G413" s="7" t="s">
        <v>910</v>
      </c>
    </row>
    <row r="414" spans="1:7" ht="15.75" customHeight="1" x14ac:dyDescent="0.2">
      <c r="A414" s="7" t="s">
        <v>911</v>
      </c>
      <c r="B414" s="158">
        <f t="shared" si="2"/>
        <v>0</v>
      </c>
      <c r="C414" s="65" t="s">
        <v>660</v>
      </c>
      <c r="D414" s="188"/>
      <c r="E414" s="160"/>
      <c r="F414" s="7"/>
      <c r="G414" s="7" t="s">
        <v>910</v>
      </c>
    </row>
    <row r="415" spans="1:7" ht="15.75" customHeight="1" x14ac:dyDescent="0.2">
      <c r="A415" s="7" t="s">
        <v>94</v>
      </c>
      <c r="B415" s="158">
        <f t="shared" si="2"/>
        <v>7748.8990000000003</v>
      </c>
      <c r="C415" s="65" t="s">
        <v>667</v>
      </c>
      <c r="D415" s="159">
        <f>'SUBRECETAS TUESTE  CP'!O48</f>
        <v>7748.8990000000003</v>
      </c>
      <c r="E415" s="160"/>
      <c r="F415" s="7"/>
      <c r="G415" s="7" t="s">
        <v>910</v>
      </c>
    </row>
    <row r="416" spans="1:7" ht="15.75" customHeight="1" x14ac:dyDescent="0.2">
      <c r="A416" s="7" t="s">
        <v>79</v>
      </c>
      <c r="B416" s="158">
        <f t="shared" si="2"/>
        <v>2381.6560509554142</v>
      </c>
      <c r="C416" s="65" t="s">
        <v>660</v>
      </c>
      <c r="D416" s="159">
        <f>'SUBRECETAS TUESTE  CP'!O68</f>
        <v>2381.6560509554142</v>
      </c>
      <c r="E416" s="160"/>
      <c r="F416" s="7"/>
      <c r="G416" s="7" t="s">
        <v>910</v>
      </c>
    </row>
    <row r="417" spans="1:7" ht="15.75" customHeight="1" x14ac:dyDescent="0.2">
      <c r="A417" s="7" t="s">
        <v>102</v>
      </c>
      <c r="B417" s="158">
        <f t="shared" si="2"/>
        <v>6130.5563999999995</v>
      </c>
      <c r="C417" s="65" t="s">
        <v>667</v>
      </c>
      <c r="D417" s="178">
        <f>'SUBRECETAS TUESTE  CP'!O31</f>
        <v>6130.5563999999995</v>
      </c>
      <c r="E417" s="160"/>
      <c r="F417" s="7"/>
      <c r="G417" s="7" t="s">
        <v>910</v>
      </c>
    </row>
    <row r="418" spans="1:7" ht="15.75" customHeight="1" x14ac:dyDescent="0.2">
      <c r="A418" s="7" t="s">
        <v>912</v>
      </c>
      <c r="B418" s="158" t="e">
        <f t="shared" si="2"/>
        <v>#REF!</v>
      </c>
      <c r="C418" s="65" t="s">
        <v>667</v>
      </c>
      <c r="D418" s="189" t="e">
        <f>'[1]SUBRECETAS CAFE TRES'!J32</f>
        <v>#REF!</v>
      </c>
      <c r="E418" s="160"/>
      <c r="F418" s="7"/>
      <c r="G418" s="7" t="s">
        <v>910</v>
      </c>
    </row>
    <row r="419" spans="1:7" ht="15.75" customHeight="1" x14ac:dyDescent="0.2">
      <c r="A419" s="7" t="s">
        <v>292</v>
      </c>
      <c r="B419" s="158">
        <f t="shared" si="2"/>
        <v>8184</v>
      </c>
      <c r="C419" s="65" t="s">
        <v>667</v>
      </c>
      <c r="D419" s="178">
        <f>'SUBRECETAS TUESTE  CP'!O123</f>
        <v>8184</v>
      </c>
      <c r="E419" s="160"/>
      <c r="F419" s="7"/>
      <c r="G419" s="7" t="s">
        <v>910</v>
      </c>
    </row>
    <row r="420" spans="1:7" ht="15.75" customHeight="1" x14ac:dyDescent="0.2">
      <c r="A420" s="7" t="s">
        <v>82</v>
      </c>
      <c r="B420" s="158">
        <f t="shared" si="2"/>
        <v>4622.4708520179374</v>
      </c>
      <c r="C420" s="65" t="s">
        <v>667</v>
      </c>
      <c r="D420" s="178">
        <f>'SUBRECETAS TUESTE  CP'!T12</f>
        <v>4622.4708520179374</v>
      </c>
      <c r="E420" s="160"/>
      <c r="F420" s="7"/>
      <c r="G420" s="7" t="s">
        <v>910</v>
      </c>
    </row>
    <row r="421" spans="1:7" ht="15.75" customHeight="1" x14ac:dyDescent="0.2">
      <c r="A421" s="190" t="s">
        <v>71</v>
      </c>
      <c r="B421" s="158">
        <f t="shared" si="2"/>
        <v>8843.4185185185197</v>
      </c>
      <c r="C421" s="65" t="s">
        <v>667</v>
      </c>
      <c r="D421" s="178">
        <f>'SUBRECETAS TUESTE  CP'!E109</f>
        <v>8843.4185185185197</v>
      </c>
      <c r="E421" s="160"/>
      <c r="F421" s="7"/>
      <c r="G421" s="7" t="s">
        <v>910</v>
      </c>
    </row>
    <row r="422" spans="1:7" ht="15.75" customHeight="1" x14ac:dyDescent="0.2">
      <c r="A422" s="7" t="s">
        <v>913</v>
      </c>
      <c r="B422" s="158">
        <f t="shared" si="2"/>
        <v>0</v>
      </c>
      <c r="C422" s="65" t="s">
        <v>667</v>
      </c>
      <c r="D422" s="188"/>
      <c r="E422" s="160"/>
      <c r="F422" s="7"/>
      <c r="G422" s="7" t="s">
        <v>910</v>
      </c>
    </row>
    <row r="423" spans="1:7" ht="15.75" customHeight="1" x14ac:dyDescent="0.2">
      <c r="A423" s="7" t="s">
        <v>99</v>
      </c>
      <c r="B423" s="158">
        <f t="shared" si="2"/>
        <v>19455.208333333332</v>
      </c>
      <c r="C423" s="65" t="s">
        <v>667</v>
      </c>
      <c r="D423" s="178">
        <f>'SUBRECETAS TUESTE  CP'!O85</f>
        <v>19455.208333333332</v>
      </c>
      <c r="E423" s="160"/>
      <c r="F423" s="7"/>
      <c r="G423" s="7" t="s">
        <v>910</v>
      </c>
    </row>
    <row r="424" spans="1:7" ht="15.75" customHeight="1" x14ac:dyDescent="0.2">
      <c r="A424" s="7" t="s">
        <v>100</v>
      </c>
      <c r="B424" s="158">
        <f t="shared" si="2"/>
        <v>1690.4949999999999</v>
      </c>
      <c r="C424" s="65" t="s">
        <v>667</v>
      </c>
      <c r="D424" s="178">
        <f>'SUBRECETAS TUESTE  CP'!T104</f>
        <v>1690.4949999999999</v>
      </c>
      <c r="E424" s="160"/>
      <c r="F424" s="7"/>
      <c r="G424" s="7" t="s">
        <v>910</v>
      </c>
    </row>
    <row r="425" spans="1:7" ht="15.75" customHeight="1" x14ac:dyDescent="0.2">
      <c r="A425" s="7" t="s">
        <v>621</v>
      </c>
      <c r="B425" s="158">
        <f t="shared" si="2"/>
        <v>331.1</v>
      </c>
      <c r="C425" s="65" t="s">
        <v>777</v>
      </c>
      <c r="D425" s="188">
        <f>'SUBRECETAS TUESTE  CP'!O297</f>
        <v>331.1</v>
      </c>
      <c r="E425" s="160"/>
      <c r="F425" s="7"/>
      <c r="G425" s="7" t="s">
        <v>910</v>
      </c>
    </row>
    <row r="426" spans="1:7" ht="15.75" customHeight="1" x14ac:dyDescent="0.2">
      <c r="A426" s="191" t="s">
        <v>76</v>
      </c>
      <c r="B426" s="158">
        <f t="shared" si="2"/>
        <v>16260</v>
      </c>
      <c r="C426" s="65" t="s">
        <v>667</v>
      </c>
      <c r="D426" s="159">
        <f>D128</f>
        <v>16260</v>
      </c>
      <c r="E426" s="160"/>
      <c r="F426" s="7"/>
      <c r="G426" s="7" t="s">
        <v>910</v>
      </c>
    </row>
    <row r="427" spans="1:7" ht="15.75" customHeight="1" x14ac:dyDescent="0.2">
      <c r="A427" s="7" t="s">
        <v>11</v>
      </c>
      <c r="B427" s="158">
        <f t="shared" si="2"/>
        <v>7449.2</v>
      </c>
      <c r="C427" s="65" t="s">
        <v>660</v>
      </c>
      <c r="D427" s="175">
        <f>'SUBRECETAS TUESTE  CP'!E8</f>
        <v>7449.2</v>
      </c>
      <c r="E427" s="160"/>
      <c r="F427" s="7"/>
      <c r="G427" s="7" t="s">
        <v>910</v>
      </c>
    </row>
    <row r="428" spans="1:7" ht="15.75" customHeight="1" x14ac:dyDescent="0.2">
      <c r="A428" s="7" t="s">
        <v>146</v>
      </c>
      <c r="B428" s="158">
        <f t="shared" si="2"/>
        <v>9771</v>
      </c>
      <c r="C428" s="65" t="s">
        <v>667</v>
      </c>
      <c r="D428" s="178">
        <v>9771</v>
      </c>
      <c r="E428" s="160"/>
      <c r="F428" s="7"/>
      <c r="G428" s="7" t="s">
        <v>910</v>
      </c>
    </row>
    <row r="429" spans="1:7" ht="15.75" customHeight="1" x14ac:dyDescent="0.2">
      <c r="A429" s="7" t="s">
        <v>620</v>
      </c>
      <c r="B429" s="158">
        <f t="shared" si="2"/>
        <v>324.57987500000002</v>
      </c>
      <c r="C429" s="65" t="s">
        <v>777</v>
      </c>
      <c r="D429" s="188">
        <f>'SUBRECETAS TUESTE  CP'!T298</f>
        <v>324.57987500000002</v>
      </c>
      <c r="E429" s="160"/>
      <c r="F429" s="7"/>
      <c r="G429" s="7" t="s">
        <v>910</v>
      </c>
    </row>
    <row r="430" spans="1:7" ht="15.75" customHeight="1" x14ac:dyDescent="0.2">
      <c r="A430" s="7" t="s">
        <v>16</v>
      </c>
      <c r="B430" s="158">
        <f t="shared" si="2"/>
        <v>8954.3189333333339</v>
      </c>
      <c r="C430" s="65" t="s">
        <v>667</v>
      </c>
      <c r="D430" s="159">
        <f>'SUBRECETAS TUESTE  CP'!E36</f>
        <v>8954.3189333333339</v>
      </c>
      <c r="E430" s="160"/>
      <c r="F430" s="7"/>
      <c r="G430" s="7" t="s">
        <v>910</v>
      </c>
    </row>
    <row r="431" spans="1:7" ht="15.75" customHeight="1" x14ac:dyDescent="0.2">
      <c r="A431" s="7" t="s">
        <v>536</v>
      </c>
      <c r="B431" s="158">
        <f t="shared" si="2"/>
        <v>296.47000000000003</v>
      </c>
      <c r="C431" s="65" t="s">
        <v>777</v>
      </c>
      <c r="D431" s="188">
        <v>296.47000000000003</v>
      </c>
      <c r="E431" s="160">
        <v>0</v>
      </c>
      <c r="F431" s="7"/>
      <c r="G431" s="7" t="s">
        <v>910</v>
      </c>
    </row>
    <row r="432" spans="1:7" ht="15.75" customHeight="1" x14ac:dyDescent="0.2">
      <c r="A432" s="7" t="s">
        <v>622</v>
      </c>
      <c r="B432" s="158">
        <f t="shared" si="2"/>
        <v>432.77316666666667</v>
      </c>
      <c r="C432" s="65" t="s">
        <v>777</v>
      </c>
      <c r="D432" s="188">
        <f>'SUBRECETAS TUESTE  CP'!E317</f>
        <v>432.77316666666667</v>
      </c>
      <c r="E432" s="160">
        <v>0</v>
      </c>
      <c r="F432" s="7"/>
      <c r="G432" s="7" t="s">
        <v>910</v>
      </c>
    </row>
    <row r="433" spans="1:7" ht="15.75" customHeight="1" x14ac:dyDescent="0.2">
      <c r="A433" s="7" t="s">
        <v>914</v>
      </c>
      <c r="B433" s="158">
        <f t="shared" si="2"/>
        <v>0</v>
      </c>
      <c r="C433" s="65" t="s">
        <v>777</v>
      </c>
      <c r="D433" s="188"/>
      <c r="E433" s="160">
        <v>0</v>
      </c>
      <c r="F433" s="7"/>
      <c r="G433" s="7" t="s">
        <v>910</v>
      </c>
    </row>
    <row r="434" spans="1:7" ht="15.75" customHeight="1" x14ac:dyDescent="0.2">
      <c r="A434" s="7" t="s">
        <v>915</v>
      </c>
      <c r="B434" s="158">
        <f t="shared" si="2"/>
        <v>0</v>
      </c>
      <c r="C434" s="65" t="s">
        <v>667</v>
      </c>
      <c r="D434" s="188"/>
      <c r="E434" s="160">
        <v>-0.85</v>
      </c>
      <c r="F434" s="7"/>
      <c r="G434" s="7" t="s">
        <v>910</v>
      </c>
    </row>
    <row r="435" spans="1:7" ht="15.75" customHeight="1" x14ac:dyDescent="0.2">
      <c r="A435" s="7" t="s">
        <v>916</v>
      </c>
      <c r="B435" s="158">
        <f t="shared" si="2"/>
        <v>0</v>
      </c>
      <c r="C435" s="65" t="s">
        <v>667</v>
      </c>
      <c r="D435" s="188"/>
      <c r="E435" s="160">
        <v>-0.85</v>
      </c>
      <c r="F435" s="7"/>
      <c r="G435" s="7" t="s">
        <v>910</v>
      </c>
    </row>
    <row r="436" spans="1:7" ht="15.75" customHeight="1" x14ac:dyDescent="0.2">
      <c r="A436" s="7" t="s">
        <v>917</v>
      </c>
      <c r="B436" s="158">
        <f t="shared" si="2"/>
        <v>0</v>
      </c>
      <c r="C436" s="65" t="s">
        <v>667</v>
      </c>
      <c r="D436" s="188"/>
      <c r="E436" s="160"/>
      <c r="F436" s="7"/>
      <c r="G436" s="7" t="s">
        <v>910</v>
      </c>
    </row>
    <row r="437" spans="1:7" ht="15.75" customHeight="1" x14ac:dyDescent="0.2">
      <c r="A437" s="7" t="s">
        <v>116</v>
      </c>
      <c r="B437" s="158">
        <f t="shared" si="2"/>
        <v>14000</v>
      </c>
      <c r="C437" s="65" t="s">
        <v>667</v>
      </c>
      <c r="D437" s="159">
        <f>'PASTELERIA CP'!J476</f>
        <v>14000</v>
      </c>
      <c r="E437" s="160"/>
      <c r="F437" s="7"/>
      <c r="G437" s="7" t="s">
        <v>910</v>
      </c>
    </row>
    <row r="438" spans="1:7" ht="15.75" customHeight="1" x14ac:dyDescent="0.2">
      <c r="A438" s="7" t="s">
        <v>34</v>
      </c>
      <c r="B438" s="158">
        <f t="shared" si="2"/>
        <v>5917</v>
      </c>
      <c r="C438" s="65" t="s">
        <v>660</v>
      </c>
      <c r="D438" s="178">
        <v>5917</v>
      </c>
      <c r="E438" s="160"/>
      <c r="F438" s="7"/>
      <c r="G438" s="7" t="s">
        <v>910</v>
      </c>
    </row>
    <row r="439" spans="1:7" ht="15.75" customHeight="1" x14ac:dyDescent="0.2">
      <c r="A439" s="7" t="s">
        <v>918</v>
      </c>
      <c r="B439" s="158">
        <f t="shared" si="2"/>
        <v>0</v>
      </c>
      <c r="C439" s="65" t="s">
        <v>667</v>
      </c>
      <c r="D439" s="188"/>
      <c r="E439" s="160"/>
      <c r="F439" s="7"/>
      <c r="G439" s="7" t="s">
        <v>910</v>
      </c>
    </row>
    <row r="440" spans="1:7" ht="15.75" customHeight="1" x14ac:dyDescent="0.2">
      <c r="A440" s="7" t="s">
        <v>919</v>
      </c>
      <c r="B440" s="158">
        <f t="shared" si="2"/>
        <v>0</v>
      </c>
      <c r="C440" s="65" t="s">
        <v>667</v>
      </c>
      <c r="D440" s="188"/>
      <c r="E440" s="160">
        <v>0</v>
      </c>
      <c r="F440" s="7"/>
      <c r="G440" s="7" t="s">
        <v>910</v>
      </c>
    </row>
    <row r="441" spans="1:7" ht="15.75" customHeight="1" x14ac:dyDescent="0.2">
      <c r="A441" s="7" t="s">
        <v>920</v>
      </c>
      <c r="B441" s="158" t="e">
        <f t="shared" si="2"/>
        <v>#REF!</v>
      </c>
      <c r="C441" s="65" t="s">
        <v>774</v>
      </c>
      <c r="D441" s="178" t="e">
        <f>'[1]SUBRECETAS CAFE TRES'!O14</f>
        <v>#REF!</v>
      </c>
      <c r="E441" s="160"/>
      <c r="F441" s="7"/>
      <c r="G441" s="7" t="s">
        <v>910</v>
      </c>
    </row>
    <row r="442" spans="1:7" ht="15.75" customHeight="1" x14ac:dyDescent="0.2">
      <c r="A442" s="7" t="s">
        <v>921</v>
      </c>
      <c r="B442" s="158">
        <f t="shared" si="2"/>
        <v>325</v>
      </c>
      <c r="C442" s="65" t="s">
        <v>676</v>
      </c>
      <c r="D442" s="178">
        <v>325</v>
      </c>
      <c r="E442" s="160"/>
      <c r="F442" s="7"/>
      <c r="G442" s="7" t="s">
        <v>910</v>
      </c>
    </row>
    <row r="443" spans="1:7" ht="15.75" customHeight="1" x14ac:dyDescent="0.2">
      <c r="A443" s="7" t="s">
        <v>67</v>
      </c>
      <c r="B443" s="158">
        <f t="shared" si="2"/>
        <v>8843.4185185185197</v>
      </c>
      <c r="C443" s="65" t="s">
        <v>667</v>
      </c>
      <c r="D443" s="178">
        <f>'SUBRECETAS TUESTE  CP'!O15</f>
        <v>8843.4185185185197</v>
      </c>
      <c r="E443" s="160"/>
      <c r="F443" s="7"/>
      <c r="G443" s="7" t="s">
        <v>910</v>
      </c>
    </row>
    <row r="444" spans="1:7" ht="15.75" customHeight="1" x14ac:dyDescent="0.2">
      <c r="A444" s="7" t="s">
        <v>13</v>
      </c>
      <c r="B444" s="158">
        <f t="shared" si="2"/>
        <v>391.80500000000001</v>
      </c>
      <c r="C444" s="65" t="s">
        <v>676</v>
      </c>
      <c r="D444" s="159">
        <f>'SUBRECETAS TUESTE  CP'!J49</f>
        <v>391.80500000000001</v>
      </c>
      <c r="E444" s="160"/>
      <c r="F444" s="7"/>
      <c r="G444" s="7" t="s">
        <v>910</v>
      </c>
    </row>
    <row r="445" spans="1:7" ht="15.75" customHeight="1" x14ac:dyDescent="0.2">
      <c r="A445" s="7" t="s">
        <v>78</v>
      </c>
      <c r="B445" s="158">
        <f t="shared" si="2"/>
        <v>37116.004999999997</v>
      </c>
      <c r="C445" s="65" t="s">
        <v>667</v>
      </c>
      <c r="D445" s="159">
        <f>'SUBRECETAS TUESTE  CP'!J30</f>
        <v>37116.004999999997</v>
      </c>
      <c r="E445" s="160"/>
      <c r="F445" s="7"/>
      <c r="G445" s="7" t="s">
        <v>910</v>
      </c>
    </row>
    <row r="446" spans="1:7" ht="15.75" customHeight="1" x14ac:dyDescent="0.2">
      <c r="A446" s="7" t="s">
        <v>33</v>
      </c>
      <c r="B446" s="158">
        <f t="shared" si="2"/>
        <v>0</v>
      </c>
      <c r="C446" s="65" t="s">
        <v>667</v>
      </c>
      <c r="D446" s="159">
        <f>'SUBRECETAS TUESTE  CP'!E48</f>
        <v>0</v>
      </c>
      <c r="E446" s="160"/>
      <c r="F446" s="7"/>
      <c r="G446" s="7" t="s">
        <v>910</v>
      </c>
    </row>
    <row r="447" spans="1:7" ht="15.75" customHeight="1" x14ac:dyDescent="0.2">
      <c r="A447" s="7" t="s">
        <v>18</v>
      </c>
      <c r="B447" s="158">
        <f t="shared" si="2"/>
        <v>9542</v>
      </c>
      <c r="C447" s="65" t="s">
        <v>667</v>
      </c>
      <c r="D447" s="159">
        <f>'PASTELERIA CP'!O244</f>
        <v>9542</v>
      </c>
      <c r="E447" s="160"/>
      <c r="F447" s="7"/>
      <c r="G447" s="7" t="s">
        <v>910</v>
      </c>
    </row>
    <row r="448" spans="1:7" ht="15.75" customHeight="1" x14ac:dyDescent="0.2">
      <c r="A448" s="7" t="s">
        <v>48</v>
      </c>
      <c r="B448" s="158">
        <f t="shared" si="2"/>
        <v>1685.0214999999996</v>
      </c>
      <c r="C448" s="65" t="s">
        <v>667</v>
      </c>
      <c r="D448" s="159">
        <f>'SUBRECETAS TUESTE  CP'!E86</f>
        <v>1685.0214999999996</v>
      </c>
      <c r="E448" s="160"/>
      <c r="F448" s="7"/>
      <c r="G448" s="7" t="s">
        <v>910</v>
      </c>
    </row>
    <row r="449" spans="1:7" ht="15.75" customHeight="1" x14ac:dyDescent="0.2">
      <c r="A449" s="7" t="s">
        <v>69</v>
      </c>
      <c r="B449" s="158">
        <f t="shared" si="2"/>
        <v>168.45510000000002</v>
      </c>
      <c r="C449" s="65" t="s">
        <v>667</v>
      </c>
      <c r="D449" s="159">
        <f>'SUBRECETAS TUESTE  CP'!J87</f>
        <v>168.45510000000002</v>
      </c>
      <c r="E449" s="160"/>
      <c r="F449" s="7"/>
      <c r="G449" s="7" t="s">
        <v>910</v>
      </c>
    </row>
    <row r="450" spans="1:7" ht="15.75" customHeight="1" x14ac:dyDescent="0.2">
      <c r="A450" s="7" t="s">
        <v>922</v>
      </c>
      <c r="B450" s="158">
        <f t="shared" si="2"/>
        <v>0</v>
      </c>
      <c r="C450" s="65" t="s">
        <v>667</v>
      </c>
      <c r="D450" s="188"/>
      <c r="E450" s="160"/>
      <c r="F450" s="7"/>
      <c r="G450" s="7" t="s">
        <v>910</v>
      </c>
    </row>
    <row r="451" spans="1:7" ht="15.75" customHeight="1" x14ac:dyDescent="0.2">
      <c r="A451" s="7" t="s">
        <v>118</v>
      </c>
      <c r="B451" s="158">
        <f t="shared" si="2"/>
        <v>5789</v>
      </c>
      <c r="C451" s="65" t="s">
        <v>667</v>
      </c>
      <c r="D451" s="186">
        <v>5789</v>
      </c>
      <c r="E451" s="160"/>
      <c r="F451" s="7"/>
      <c r="G451" s="7" t="s">
        <v>910</v>
      </c>
    </row>
    <row r="452" spans="1:7" ht="15.75" customHeight="1" x14ac:dyDescent="0.2">
      <c r="A452" s="7" t="s">
        <v>923</v>
      </c>
      <c r="B452" s="158">
        <f t="shared" si="2"/>
        <v>0</v>
      </c>
      <c r="C452" s="65" t="s">
        <v>667</v>
      </c>
      <c r="D452" s="188"/>
      <c r="E452" s="160"/>
      <c r="F452" s="7"/>
      <c r="G452" s="7" t="s">
        <v>910</v>
      </c>
    </row>
    <row r="453" spans="1:7" ht="15.75" customHeight="1" x14ac:dyDescent="0.2">
      <c r="A453" s="7" t="s">
        <v>924</v>
      </c>
      <c r="B453" s="158">
        <f t="shared" si="2"/>
        <v>0</v>
      </c>
      <c r="C453" s="65" t="s">
        <v>667</v>
      </c>
      <c r="D453" s="188"/>
      <c r="E453" s="160"/>
      <c r="F453" s="7"/>
      <c r="G453" s="7" t="s">
        <v>910</v>
      </c>
    </row>
    <row r="454" spans="1:7" ht="15.75" customHeight="1" x14ac:dyDescent="0.2">
      <c r="A454" s="7" t="s">
        <v>42</v>
      </c>
      <c r="B454" s="158">
        <f t="shared" si="2"/>
        <v>2910.45</v>
      </c>
      <c r="C454" s="65" t="s">
        <v>667</v>
      </c>
      <c r="D454" s="159">
        <f>'SUBRECETAS TUESTE  CP'!J70</f>
        <v>2910.45</v>
      </c>
      <c r="E454" s="160"/>
      <c r="F454" s="7"/>
      <c r="G454" s="7" t="s">
        <v>910</v>
      </c>
    </row>
    <row r="455" spans="1:7" ht="15.75" customHeight="1" x14ac:dyDescent="0.2">
      <c r="A455" s="7" t="s">
        <v>925</v>
      </c>
      <c r="B455" s="158">
        <f t="shared" si="2"/>
        <v>0</v>
      </c>
      <c r="C455" s="65" t="s">
        <v>667</v>
      </c>
      <c r="D455" s="188"/>
      <c r="E455" s="160"/>
      <c r="F455" s="7"/>
      <c r="G455" s="7" t="s">
        <v>910</v>
      </c>
    </row>
    <row r="456" spans="1:7" ht="15.75" customHeight="1" x14ac:dyDescent="0.2">
      <c r="A456" s="7" t="s">
        <v>926</v>
      </c>
      <c r="B456" s="158">
        <f t="shared" si="2"/>
        <v>0</v>
      </c>
      <c r="C456" s="65" t="s">
        <v>667</v>
      </c>
      <c r="D456" s="188"/>
      <c r="E456" s="160"/>
      <c r="F456" s="7"/>
      <c r="G456" s="7" t="s">
        <v>910</v>
      </c>
    </row>
    <row r="457" spans="1:7" x14ac:dyDescent="0.2">
      <c r="A457" s="7" t="s">
        <v>927</v>
      </c>
      <c r="B457" s="158">
        <f t="shared" si="2"/>
        <v>0</v>
      </c>
      <c r="C457" s="65" t="s">
        <v>667</v>
      </c>
      <c r="D457" s="188"/>
      <c r="E457" s="160"/>
      <c r="F457" s="7"/>
      <c r="G457" s="7" t="s">
        <v>910</v>
      </c>
    </row>
    <row r="458" spans="1:7" x14ac:dyDescent="0.2">
      <c r="A458" s="7" t="s">
        <v>928</v>
      </c>
      <c r="B458" s="158" t="e">
        <f t="shared" si="2"/>
        <v>#REF!</v>
      </c>
      <c r="C458" s="65" t="s">
        <v>667</v>
      </c>
      <c r="D458" s="189" t="e">
        <f>'[1]SUBRECETAS CAFE TRES'!J50</f>
        <v>#REF!</v>
      </c>
      <c r="E458" s="160"/>
      <c r="F458" s="7"/>
      <c r="G458" s="7" t="s">
        <v>910</v>
      </c>
    </row>
    <row r="459" spans="1:7" x14ac:dyDescent="0.2">
      <c r="A459" s="7" t="s">
        <v>929</v>
      </c>
      <c r="B459" s="158" t="e">
        <f t="shared" si="2"/>
        <v>#REF!</v>
      </c>
      <c r="C459" s="65" t="s">
        <v>667</v>
      </c>
      <c r="D459" s="189" t="e">
        <f>'[1]SUBRECETAS CAFE TRES'!E31</f>
        <v>#REF!</v>
      </c>
      <c r="E459" s="160"/>
      <c r="F459" s="7"/>
      <c r="G459" s="7" t="s">
        <v>910</v>
      </c>
    </row>
    <row r="460" spans="1:7" x14ac:dyDescent="0.2">
      <c r="A460" s="7" t="s">
        <v>11</v>
      </c>
      <c r="B460" s="158" t="e">
        <f t="shared" si="2"/>
        <v>#REF!</v>
      </c>
      <c r="C460" s="65" t="s">
        <v>667</v>
      </c>
      <c r="D460" s="189" t="e">
        <f>'[1]SUBRECETAS CAFE TRES'!E8</f>
        <v>#REF!</v>
      </c>
      <c r="E460" s="160"/>
      <c r="F460" s="7"/>
      <c r="G460" s="7" t="s">
        <v>910</v>
      </c>
    </row>
    <row r="461" spans="1:7" ht="15.75" customHeight="1" x14ac:dyDescent="0.2">
      <c r="A461" s="66" t="s">
        <v>930</v>
      </c>
      <c r="B461" s="158" t="e">
        <f t="shared" si="2"/>
        <v>#REF!</v>
      </c>
      <c r="C461" s="65" t="s">
        <v>667</v>
      </c>
      <c r="D461" s="189" t="e">
        <f>'[1]SUBRECETAS CAFE TRES'!E50</f>
        <v>#REF!</v>
      </c>
      <c r="E461" s="66"/>
      <c r="F461" s="66"/>
      <c r="G461" s="7" t="s">
        <v>910</v>
      </c>
    </row>
    <row r="462" spans="1:7" ht="15.75" customHeight="1" x14ac:dyDescent="0.2">
      <c r="A462" s="192" t="s">
        <v>279</v>
      </c>
      <c r="B462" s="158">
        <f t="shared" si="2"/>
        <v>248.90714736842102</v>
      </c>
      <c r="C462" s="65" t="s">
        <v>667</v>
      </c>
      <c r="D462" s="159">
        <f>'SUBRECETAS TUESTE  CP'!E130</f>
        <v>248.90714736842102</v>
      </c>
      <c r="E462" s="20"/>
      <c r="F462" s="20"/>
      <c r="G462" s="7" t="s">
        <v>910</v>
      </c>
    </row>
    <row r="463" spans="1:7" ht="15.75" customHeight="1" x14ac:dyDescent="0.2">
      <c r="A463" s="20" t="s">
        <v>288</v>
      </c>
      <c r="B463" s="158">
        <f t="shared" si="2"/>
        <v>4063.4263999999998</v>
      </c>
      <c r="C463" s="65" t="s">
        <v>667</v>
      </c>
      <c r="D463" s="159">
        <f>'SUBRECETAS TUESTE  CP'!J128</f>
        <v>4063.4263999999998</v>
      </c>
      <c r="E463" s="20"/>
      <c r="F463" s="20"/>
      <c r="G463" s="7" t="s">
        <v>910</v>
      </c>
    </row>
    <row r="464" spans="1:7" ht="15.75" customHeight="1" x14ac:dyDescent="0.2">
      <c r="A464" s="20" t="s">
        <v>200</v>
      </c>
      <c r="B464" s="158">
        <f t="shared" si="2"/>
        <v>12676</v>
      </c>
      <c r="C464" s="65" t="s">
        <v>931</v>
      </c>
      <c r="D464" s="159">
        <f>'SUBRECETAS TUESTE  CP'!E140</f>
        <v>12676</v>
      </c>
      <c r="E464" s="20"/>
      <c r="F464" s="20"/>
      <c r="G464" s="7" t="s">
        <v>910</v>
      </c>
    </row>
    <row r="465" spans="1:7" ht="15.75" customHeight="1" x14ac:dyDescent="0.2">
      <c r="A465" s="20" t="s">
        <v>201</v>
      </c>
      <c r="B465" s="158">
        <f t="shared" si="2"/>
        <v>634</v>
      </c>
      <c r="C465" s="65" t="s">
        <v>931</v>
      </c>
      <c r="D465" s="159">
        <f>'SUBRECETAS TUESTE  CP'!J139</f>
        <v>634</v>
      </c>
      <c r="E465" s="20"/>
      <c r="F465" s="20"/>
      <c r="G465" s="7" t="s">
        <v>910</v>
      </c>
    </row>
    <row r="466" spans="1:7" ht="15.75" customHeight="1" x14ac:dyDescent="0.2">
      <c r="A466" s="20" t="s">
        <v>199</v>
      </c>
      <c r="B466" s="158">
        <f t="shared" si="2"/>
        <v>3600</v>
      </c>
      <c r="C466" s="65" t="s">
        <v>667</v>
      </c>
      <c r="D466" s="178">
        <f>'SUBRECETAS TUESTE  CP'!O140</f>
        <v>3600</v>
      </c>
      <c r="E466" s="20"/>
      <c r="F466" s="20"/>
      <c r="G466" s="7" t="s">
        <v>910</v>
      </c>
    </row>
    <row r="467" spans="1:7" ht="15.75" customHeight="1" x14ac:dyDescent="0.2">
      <c r="A467" s="20" t="s">
        <v>206</v>
      </c>
      <c r="B467" s="158">
        <f t="shared" si="2"/>
        <v>2250.4</v>
      </c>
      <c r="C467" s="65" t="s">
        <v>667</v>
      </c>
      <c r="D467" s="178">
        <f>'SUBRECETAS TUESTE  CP'!T121</f>
        <v>2250.4</v>
      </c>
      <c r="E467" s="20"/>
      <c r="F467" s="20"/>
      <c r="G467" s="7" t="s">
        <v>910</v>
      </c>
    </row>
    <row r="468" spans="1:7" ht="15.75" customHeight="1" x14ac:dyDescent="0.2">
      <c r="A468" s="20" t="s">
        <v>104</v>
      </c>
      <c r="B468" s="158">
        <f t="shared" si="2"/>
        <v>2972.2272727272725</v>
      </c>
      <c r="C468" s="65" t="s">
        <v>667</v>
      </c>
      <c r="D468" s="178">
        <f>'SUBRECETAS TUESTE  CP'!T88</f>
        <v>2972.2272727272725</v>
      </c>
      <c r="E468" s="20"/>
      <c r="F468" s="20"/>
      <c r="G468" s="7" t="s">
        <v>910</v>
      </c>
    </row>
    <row r="469" spans="1:7" ht="15.75" customHeight="1" x14ac:dyDescent="0.2">
      <c r="A469" s="20" t="s">
        <v>136</v>
      </c>
      <c r="B469" s="158">
        <f t="shared" si="2"/>
        <v>2112.0855999999999</v>
      </c>
      <c r="C469" s="65" t="s">
        <v>667</v>
      </c>
      <c r="D469" s="178">
        <f>'SUBRECETAS TUESTE  CP'!O261</f>
        <v>2112.0855999999999</v>
      </c>
      <c r="E469" s="20"/>
      <c r="F469" s="20"/>
      <c r="G469" s="7" t="s">
        <v>910</v>
      </c>
    </row>
    <row r="470" spans="1:7" ht="15.75" customHeight="1" x14ac:dyDescent="0.2">
      <c r="A470" s="20" t="s">
        <v>129</v>
      </c>
      <c r="B470" s="158">
        <f t="shared" si="2"/>
        <v>447.7276</v>
      </c>
      <c r="C470" s="65" t="s">
        <v>676</v>
      </c>
      <c r="D470" s="178">
        <f>'PASTELERIA CP'!J557</f>
        <v>447.7276</v>
      </c>
      <c r="E470" s="20"/>
      <c r="F470" s="20"/>
      <c r="G470" s="7" t="s">
        <v>910</v>
      </c>
    </row>
    <row r="471" spans="1:7" ht="15.75" customHeight="1" x14ac:dyDescent="0.2">
      <c r="A471" s="20" t="s">
        <v>145</v>
      </c>
      <c r="B471" s="158">
        <f t="shared" si="2"/>
        <v>5953.4142857142861</v>
      </c>
      <c r="C471" s="65" t="s">
        <v>667</v>
      </c>
      <c r="D471" s="178">
        <f>'SUBRECETAS TUESTE  CP'!E283</f>
        <v>5953.4142857142861</v>
      </c>
      <c r="E471" s="20"/>
      <c r="F471" s="20"/>
      <c r="G471" s="7" t="s">
        <v>910</v>
      </c>
    </row>
    <row r="472" spans="1:7" ht="15.75" customHeight="1" x14ac:dyDescent="0.2">
      <c r="A472" s="20" t="s">
        <v>140</v>
      </c>
      <c r="B472" s="158">
        <f t="shared" si="2"/>
        <v>253</v>
      </c>
      <c r="C472" s="65" t="s">
        <v>676</v>
      </c>
      <c r="D472" s="178">
        <f>'PASTELERIA CP'!E560</f>
        <v>253</v>
      </c>
      <c r="E472" s="20"/>
      <c r="F472" s="20"/>
      <c r="G472" s="7" t="s">
        <v>910</v>
      </c>
    </row>
    <row r="473" spans="1:7" ht="15.75" customHeight="1" x14ac:dyDescent="0.2">
      <c r="A473" s="20"/>
      <c r="B473" s="158">
        <f t="shared" si="2"/>
        <v>0</v>
      </c>
      <c r="C473" s="65" t="s">
        <v>676</v>
      </c>
      <c r="D473" s="178"/>
      <c r="E473" s="20"/>
      <c r="F473" s="20"/>
      <c r="G473" s="7" t="s">
        <v>910</v>
      </c>
    </row>
    <row r="474" spans="1:7" ht="15.75" customHeight="1" x14ac:dyDescent="0.2">
      <c r="A474" s="20"/>
      <c r="B474" s="158">
        <f t="shared" si="2"/>
        <v>0</v>
      </c>
      <c r="C474" s="65" t="s">
        <v>676</v>
      </c>
      <c r="D474" s="178"/>
      <c r="E474" s="20"/>
      <c r="F474" s="20"/>
      <c r="G474" s="7" t="s">
        <v>910</v>
      </c>
    </row>
    <row r="475" spans="1:7" ht="15.75" customHeight="1" x14ac:dyDescent="0.2">
      <c r="A475" s="20"/>
      <c r="B475" s="158">
        <f t="shared" si="2"/>
        <v>0</v>
      </c>
      <c r="C475" s="65" t="s">
        <v>667</v>
      </c>
      <c r="D475" s="178"/>
      <c r="E475" s="20"/>
      <c r="F475" s="20"/>
      <c r="G475" s="7" t="s">
        <v>910</v>
      </c>
    </row>
    <row r="476" spans="1:7" ht="15.75" customHeight="1" x14ac:dyDescent="0.2">
      <c r="A476" s="20"/>
      <c r="B476" s="158">
        <f t="shared" si="2"/>
        <v>0</v>
      </c>
      <c r="C476" s="65" t="s">
        <v>667</v>
      </c>
      <c r="D476" s="178"/>
      <c r="E476" s="20"/>
      <c r="F476" s="20"/>
      <c r="G476" s="7" t="s">
        <v>910</v>
      </c>
    </row>
    <row r="477" spans="1:7" ht="15.75" customHeight="1" x14ac:dyDescent="0.2">
      <c r="A477" s="20" t="s">
        <v>207</v>
      </c>
      <c r="B477" s="158">
        <f t="shared" si="2"/>
        <v>2880</v>
      </c>
      <c r="C477" s="65" t="s">
        <v>931</v>
      </c>
      <c r="D477" s="188">
        <f>'SUBRECETAS TUESTE  CP'!E156</f>
        <v>2880</v>
      </c>
      <c r="E477" s="20"/>
      <c r="F477" s="20"/>
      <c r="G477" s="7" t="s">
        <v>910</v>
      </c>
    </row>
    <row r="478" spans="1:7" ht="15.75" customHeight="1" x14ac:dyDescent="0.2">
      <c r="A478" s="20" t="s">
        <v>215</v>
      </c>
      <c r="B478" s="158">
        <f t="shared" si="2"/>
        <v>4708</v>
      </c>
      <c r="C478" s="65" t="s">
        <v>667</v>
      </c>
      <c r="D478" s="188">
        <f>'SUBRECETAS TUESTE  CP'!J159</f>
        <v>4708</v>
      </c>
      <c r="E478" s="20"/>
      <c r="F478" s="20"/>
      <c r="G478" s="7" t="s">
        <v>910</v>
      </c>
    </row>
    <row r="479" spans="1:7" ht="15.75" customHeight="1" x14ac:dyDescent="0.2">
      <c r="A479" s="20" t="s">
        <v>306</v>
      </c>
      <c r="B479" s="158">
        <f t="shared" si="2"/>
        <v>3342.9512328767123</v>
      </c>
      <c r="C479" s="65" t="s">
        <v>667</v>
      </c>
      <c r="D479" s="188">
        <f>'SUBRECETAS TUESTE  CP'!E260</f>
        <v>3342.9512328767123</v>
      </c>
      <c r="E479" s="20"/>
      <c r="F479" s="20"/>
      <c r="G479" s="7" t="s">
        <v>910</v>
      </c>
    </row>
    <row r="480" spans="1:7" ht="15.75" customHeight="1" x14ac:dyDescent="0.2">
      <c r="A480" s="20" t="s">
        <v>50</v>
      </c>
      <c r="B480" s="158">
        <f t="shared" si="2"/>
        <v>3891.9110000000001</v>
      </c>
      <c r="C480" s="65" t="s">
        <v>667</v>
      </c>
      <c r="D480" s="188">
        <f>'SUBRECETAS TUESTE  CP'!O163</f>
        <v>3891.9110000000001</v>
      </c>
      <c r="E480" s="20"/>
      <c r="F480" s="20"/>
      <c r="G480" s="7" t="s">
        <v>910</v>
      </c>
    </row>
    <row r="481" spans="1:7" ht="15.75" customHeight="1" x14ac:dyDescent="0.2">
      <c r="A481" s="20" t="s">
        <v>932</v>
      </c>
      <c r="B481" s="158">
        <f t="shared" si="2"/>
        <v>1236.0519954545455</v>
      </c>
      <c r="C481" s="65" t="s">
        <v>777</v>
      </c>
      <c r="D481" s="188">
        <f>'PASTELERIA CP'!O160</f>
        <v>1236.0519954545455</v>
      </c>
      <c r="E481" s="20"/>
      <c r="F481" s="20"/>
      <c r="G481" s="7" t="s">
        <v>910</v>
      </c>
    </row>
    <row r="482" spans="1:7" ht="15.75" customHeight="1" x14ac:dyDescent="0.2">
      <c r="A482" s="20" t="s">
        <v>149</v>
      </c>
      <c r="B482" s="158">
        <f t="shared" si="2"/>
        <v>9125.6666666666661</v>
      </c>
      <c r="C482" s="65" t="s">
        <v>777</v>
      </c>
      <c r="D482" s="188">
        <f>'SUBRECETAS TUESTE  CP'!T275</f>
        <v>9125.6666666666661</v>
      </c>
      <c r="E482" s="20"/>
      <c r="F482" s="20"/>
      <c r="G482" s="7" t="s">
        <v>910</v>
      </c>
    </row>
    <row r="483" spans="1:7" ht="15.75" customHeight="1" x14ac:dyDescent="0.2">
      <c r="A483" s="20" t="s">
        <v>933</v>
      </c>
      <c r="B483" s="158">
        <f t="shared" si="2"/>
        <v>0</v>
      </c>
      <c r="C483" s="65" t="s">
        <v>777</v>
      </c>
      <c r="D483" s="188"/>
      <c r="E483" s="20"/>
      <c r="F483" s="20"/>
      <c r="G483" s="7" t="s">
        <v>910</v>
      </c>
    </row>
    <row r="484" spans="1:7" ht="15.75" customHeight="1" x14ac:dyDescent="0.2">
      <c r="A484" s="20" t="s">
        <v>521</v>
      </c>
      <c r="B484" s="158">
        <f t="shared" si="2"/>
        <v>7220.6757777777775</v>
      </c>
      <c r="C484" s="65" t="s">
        <v>667</v>
      </c>
      <c r="D484" s="188">
        <f>'SUBRECETAS TUESTE  CP'!T163</f>
        <v>7220.6757777777775</v>
      </c>
      <c r="E484" s="20"/>
      <c r="F484" s="20"/>
      <c r="G484" s="7" t="s">
        <v>910</v>
      </c>
    </row>
    <row r="485" spans="1:7" ht="15.75" customHeight="1" x14ac:dyDescent="0.2">
      <c r="A485" s="20" t="s">
        <v>523</v>
      </c>
      <c r="B485" s="158">
        <f t="shared" si="2"/>
        <v>7227.03</v>
      </c>
      <c r="C485" s="65" t="s">
        <v>667</v>
      </c>
      <c r="D485" s="188">
        <f>'SUBRECETAS TUESTE  CP'!T184</f>
        <v>7227.03</v>
      </c>
      <c r="E485" s="20"/>
      <c r="F485" s="20"/>
      <c r="G485" s="7" t="s">
        <v>910</v>
      </c>
    </row>
    <row r="486" spans="1:7" ht="15.75" customHeight="1" x14ac:dyDescent="0.2">
      <c r="A486" s="20" t="s">
        <v>525</v>
      </c>
      <c r="B486" s="158">
        <f t="shared" si="2"/>
        <v>4478.4404999999997</v>
      </c>
      <c r="C486" s="65" t="s">
        <v>667</v>
      </c>
      <c r="D486" s="188">
        <f>'SUBRECETAS TUESTE  CP'!E201</f>
        <v>4478.4404999999997</v>
      </c>
      <c r="E486" s="20"/>
      <c r="F486" s="20"/>
      <c r="G486" s="7" t="s">
        <v>910</v>
      </c>
    </row>
    <row r="487" spans="1:7" ht="15.75" customHeight="1" x14ac:dyDescent="0.2">
      <c r="A487" s="20" t="s">
        <v>314</v>
      </c>
      <c r="B487" s="158">
        <f t="shared" si="2"/>
        <v>6236.3440000000001</v>
      </c>
      <c r="C487" s="65" t="s">
        <v>667</v>
      </c>
      <c r="D487" s="188">
        <f>'SUBRECETAS TUESTE  CP'!J202</f>
        <v>6236.3440000000001</v>
      </c>
      <c r="E487" s="20"/>
      <c r="F487" s="20"/>
      <c r="G487" s="7" t="s">
        <v>910</v>
      </c>
    </row>
    <row r="488" spans="1:7" ht="15.75" customHeight="1" x14ac:dyDescent="0.2">
      <c r="A488" s="20" t="s">
        <v>934</v>
      </c>
      <c r="B488" s="158">
        <f t="shared" si="2"/>
        <v>0</v>
      </c>
      <c r="C488" s="65" t="s">
        <v>777</v>
      </c>
      <c r="D488" s="188"/>
      <c r="E488" s="20"/>
      <c r="F488" s="20"/>
      <c r="G488" s="7" t="s">
        <v>910</v>
      </c>
    </row>
    <row r="489" spans="1:7" ht="15.75" customHeight="1" x14ac:dyDescent="0.2">
      <c r="A489" s="20" t="s">
        <v>520</v>
      </c>
      <c r="B489" s="158">
        <f t="shared" si="2"/>
        <v>17564.657894736843</v>
      </c>
      <c r="C489" s="65" t="s">
        <v>667</v>
      </c>
      <c r="D489" s="188">
        <f>'SUBRECETAS TUESTE  CP'!E219</f>
        <v>17564.657894736843</v>
      </c>
      <c r="E489" s="20"/>
      <c r="F489" s="20"/>
      <c r="G489" s="7" t="s">
        <v>910</v>
      </c>
    </row>
    <row r="490" spans="1:7" ht="15.75" customHeight="1" x14ac:dyDescent="0.2">
      <c r="A490" s="20" t="s">
        <v>522</v>
      </c>
      <c r="B490" s="158">
        <f t="shared" si="2"/>
        <v>9381.4117647058829</v>
      </c>
      <c r="C490" s="65" t="s">
        <v>667</v>
      </c>
      <c r="D490" s="188">
        <f>'SUBRECETAS TUESTE  CP'!T200</f>
        <v>9381.4117647058829</v>
      </c>
      <c r="E490" s="20"/>
      <c r="F490" s="20"/>
      <c r="G490" s="7" t="s">
        <v>910</v>
      </c>
    </row>
    <row r="491" spans="1:7" ht="15.75" customHeight="1" x14ac:dyDescent="0.2">
      <c r="A491" s="20" t="s">
        <v>524</v>
      </c>
      <c r="B491" s="158">
        <f t="shared" si="2"/>
        <v>4901.8394444444448</v>
      </c>
      <c r="C491" s="65" t="s">
        <v>667</v>
      </c>
      <c r="D491" s="188">
        <f>'SUBRECETAS TUESTE  CP'!O204</f>
        <v>4901.8394444444448</v>
      </c>
      <c r="E491" s="20"/>
      <c r="F491" s="20"/>
      <c r="G491" s="7" t="s">
        <v>910</v>
      </c>
    </row>
    <row r="492" spans="1:7" ht="15.75" customHeight="1" x14ac:dyDescent="0.2">
      <c r="A492" s="20" t="s">
        <v>511</v>
      </c>
      <c r="B492" s="158">
        <f t="shared" si="2"/>
        <v>5067.2</v>
      </c>
      <c r="C492" s="65" t="s">
        <v>667</v>
      </c>
      <c r="D492" s="188">
        <f>'SUBRECETAS TUESTE  CP'!J217</f>
        <v>5067.2</v>
      </c>
      <c r="E492" s="20"/>
      <c r="F492" s="20"/>
      <c r="G492" s="7" t="s">
        <v>910</v>
      </c>
    </row>
    <row r="493" spans="1:7" ht="15.75" customHeight="1" x14ac:dyDescent="0.2">
      <c r="A493" s="7" t="s">
        <v>528</v>
      </c>
      <c r="B493" s="158">
        <f t="shared" si="2"/>
        <v>4547.2026666666661</v>
      </c>
      <c r="C493" s="65" t="s">
        <v>667</v>
      </c>
      <c r="D493" s="188">
        <f>'SUBRECETAS TUESTE  CP'!O223</f>
        <v>4547.2026666666661</v>
      </c>
      <c r="E493" s="20"/>
      <c r="F493" s="20"/>
      <c r="G493" s="7" t="s">
        <v>910</v>
      </c>
    </row>
    <row r="494" spans="1:7" ht="15.75" customHeight="1" x14ac:dyDescent="0.2">
      <c r="A494" s="20" t="s">
        <v>529</v>
      </c>
      <c r="B494" s="158">
        <f t="shared" si="2"/>
        <v>3520.7692307692309</v>
      </c>
      <c r="C494" s="65" t="s">
        <v>667</v>
      </c>
      <c r="D494" s="188">
        <f>'SUBRECETAS TUESTE  CP'!T218</f>
        <v>3520.7692307692309</v>
      </c>
      <c r="E494" s="20"/>
      <c r="F494" s="20"/>
      <c r="G494" s="7" t="s">
        <v>910</v>
      </c>
    </row>
    <row r="495" spans="1:7" ht="15.75" customHeight="1" x14ac:dyDescent="0.2">
      <c r="A495" s="20" t="s">
        <v>530</v>
      </c>
      <c r="B495" s="158">
        <f t="shared" si="2"/>
        <v>13612</v>
      </c>
      <c r="C495" s="65" t="s">
        <v>667</v>
      </c>
      <c r="D495" s="188">
        <f>'SUBRECETAS TUESTE  CP'!E236</f>
        <v>13612</v>
      </c>
      <c r="E495" s="20"/>
      <c r="F495" s="20"/>
      <c r="G495" s="7" t="s">
        <v>910</v>
      </c>
    </row>
    <row r="496" spans="1:7" ht="15.75" customHeight="1" x14ac:dyDescent="0.2">
      <c r="A496" s="20" t="s">
        <v>531</v>
      </c>
      <c r="B496" s="158">
        <f t="shared" si="2"/>
        <v>9292.5299999999988</v>
      </c>
      <c r="C496" s="65" t="s">
        <v>667</v>
      </c>
      <c r="D496" s="188">
        <f>'SUBRECETAS TUESTE  CP'!J239</f>
        <v>9292.5299999999988</v>
      </c>
      <c r="E496" s="20"/>
      <c r="F496" s="20"/>
      <c r="G496" s="7" t="s">
        <v>910</v>
      </c>
    </row>
    <row r="497" spans="1:7" ht="15.75" customHeight="1" x14ac:dyDescent="0.2">
      <c r="A497" s="20" t="s">
        <v>393</v>
      </c>
      <c r="B497" s="158">
        <f t="shared" si="2"/>
        <v>64600</v>
      </c>
      <c r="C497" s="65" t="s">
        <v>667</v>
      </c>
      <c r="D497" s="178">
        <v>64600</v>
      </c>
      <c r="E497" s="20"/>
      <c r="F497" s="20"/>
      <c r="G497" s="7" t="s">
        <v>910</v>
      </c>
    </row>
    <row r="498" spans="1:7" ht="15.75" customHeight="1" x14ac:dyDescent="0.2">
      <c r="A498" s="20" t="s">
        <v>935</v>
      </c>
      <c r="B498" s="158">
        <f t="shared" si="2"/>
        <v>2250.4</v>
      </c>
      <c r="C498" s="65" t="s">
        <v>667</v>
      </c>
      <c r="D498" s="188">
        <f>'SUBRECETAS TUESTE  CP'!E178</f>
        <v>2250.4</v>
      </c>
      <c r="E498" s="20"/>
      <c r="F498" s="20"/>
      <c r="G498" s="7" t="s">
        <v>936</v>
      </c>
    </row>
    <row r="499" spans="1:7" ht="15.75" customHeight="1" x14ac:dyDescent="0.2">
      <c r="A499" s="20" t="s">
        <v>512</v>
      </c>
      <c r="B499" s="158">
        <f t="shared" si="2"/>
        <v>280</v>
      </c>
      <c r="C499" s="65" t="s">
        <v>777</v>
      </c>
      <c r="D499" s="178">
        <v>280</v>
      </c>
      <c r="E499" s="20"/>
      <c r="F499" s="20"/>
      <c r="G499" s="7" t="s">
        <v>936</v>
      </c>
    </row>
    <row r="500" spans="1:7" ht="15.75" customHeight="1" x14ac:dyDescent="0.2">
      <c r="A500" s="20" t="s">
        <v>231</v>
      </c>
      <c r="B500" s="158">
        <v>7354.43</v>
      </c>
      <c r="C500" s="65" t="s">
        <v>667</v>
      </c>
      <c r="D500" s="188"/>
      <c r="E500" s="20"/>
      <c r="F500" s="20"/>
      <c r="G500" s="7" t="s">
        <v>936</v>
      </c>
    </row>
    <row r="501" spans="1:7" ht="15.75" customHeight="1" x14ac:dyDescent="0.2">
      <c r="A501" s="20" t="s">
        <v>134</v>
      </c>
      <c r="B501" s="158">
        <f t="shared" ref="B501:B543" si="3">D501+(D501*E501)</f>
        <v>11952.354838709678</v>
      </c>
      <c r="C501" s="65" t="s">
        <v>667</v>
      </c>
      <c r="D501" s="188">
        <f>'SUBRECETAS TUESTE  CP'!O277</f>
        <v>11952.354838709678</v>
      </c>
      <c r="E501" s="20"/>
      <c r="F501" s="20"/>
      <c r="G501" s="7" t="s">
        <v>936</v>
      </c>
    </row>
    <row r="502" spans="1:7" ht="15.75" customHeight="1" x14ac:dyDescent="0.2">
      <c r="A502" s="20"/>
      <c r="B502" s="158">
        <f t="shared" si="3"/>
        <v>0</v>
      </c>
      <c r="C502" s="65" t="s">
        <v>667</v>
      </c>
      <c r="D502" s="188"/>
      <c r="E502" s="20"/>
      <c r="F502" s="20"/>
      <c r="G502" s="7" t="s">
        <v>936</v>
      </c>
    </row>
    <row r="503" spans="1:7" ht="15.75" customHeight="1" x14ac:dyDescent="0.2">
      <c r="A503" s="20"/>
      <c r="B503" s="158">
        <f t="shared" si="3"/>
        <v>0</v>
      </c>
      <c r="C503" s="65" t="s">
        <v>667</v>
      </c>
      <c r="D503" s="188"/>
      <c r="E503" s="20"/>
      <c r="F503" s="20"/>
      <c r="G503" s="7" t="s">
        <v>936</v>
      </c>
    </row>
    <row r="504" spans="1:7" ht="15.75" customHeight="1" x14ac:dyDescent="0.2">
      <c r="A504" s="20"/>
      <c r="B504" s="158">
        <f t="shared" si="3"/>
        <v>0</v>
      </c>
      <c r="C504" s="65" t="s">
        <v>667</v>
      </c>
      <c r="D504" s="188"/>
      <c r="E504" s="20"/>
      <c r="F504" s="20"/>
      <c r="G504" s="7" t="s">
        <v>936</v>
      </c>
    </row>
    <row r="505" spans="1:7" ht="15.75" customHeight="1" x14ac:dyDescent="0.2">
      <c r="A505" s="20"/>
      <c r="B505" s="158">
        <f t="shared" si="3"/>
        <v>0</v>
      </c>
      <c r="C505" s="65" t="s">
        <v>667</v>
      </c>
      <c r="D505" s="188"/>
      <c r="E505" s="20"/>
      <c r="F505" s="20"/>
      <c r="G505" s="7" t="s">
        <v>936</v>
      </c>
    </row>
    <row r="506" spans="1:7" ht="15.75" customHeight="1" x14ac:dyDescent="0.2">
      <c r="A506" s="20"/>
      <c r="B506" s="158">
        <f t="shared" si="3"/>
        <v>0</v>
      </c>
      <c r="C506" s="65" t="s">
        <v>667</v>
      </c>
      <c r="D506" s="188"/>
      <c r="E506" s="20"/>
      <c r="F506" s="20"/>
      <c r="G506" s="7" t="s">
        <v>936</v>
      </c>
    </row>
    <row r="507" spans="1:7" ht="15.75" customHeight="1" x14ac:dyDescent="0.2">
      <c r="A507" s="20"/>
      <c r="B507" s="158">
        <f t="shared" si="3"/>
        <v>0</v>
      </c>
      <c r="C507" s="65" t="s">
        <v>667</v>
      </c>
      <c r="D507" s="188"/>
      <c r="E507" s="20"/>
      <c r="F507" s="20"/>
      <c r="G507" s="7" t="s">
        <v>936</v>
      </c>
    </row>
    <row r="508" spans="1:7" ht="15.75" customHeight="1" x14ac:dyDescent="0.2">
      <c r="A508" s="20"/>
      <c r="B508" s="158">
        <f t="shared" si="3"/>
        <v>0</v>
      </c>
      <c r="C508" s="65" t="s">
        <v>667</v>
      </c>
      <c r="D508" s="188"/>
      <c r="E508" s="20"/>
      <c r="F508" s="20"/>
      <c r="G508" s="7" t="s">
        <v>936</v>
      </c>
    </row>
    <row r="509" spans="1:7" ht="15.75" customHeight="1" x14ac:dyDescent="0.2">
      <c r="A509" s="20"/>
      <c r="B509" s="158">
        <f t="shared" si="3"/>
        <v>0</v>
      </c>
      <c r="C509" s="65" t="s">
        <v>667</v>
      </c>
      <c r="D509" s="188"/>
      <c r="E509" s="20"/>
      <c r="F509" s="20"/>
      <c r="G509" s="7" t="s">
        <v>936</v>
      </c>
    </row>
    <row r="510" spans="1:7" ht="15.75" customHeight="1" x14ac:dyDescent="0.2">
      <c r="A510" s="20"/>
      <c r="B510" s="158">
        <f t="shared" si="3"/>
        <v>0</v>
      </c>
      <c r="C510" s="65" t="s">
        <v>667</v>
      </c>
      <c r="D510" s="188"/>
      <c r="E510" s="20"/>
      <c r="F510" s="20"/>
      <c r="G510" s="7" t="s">
        <v>936</v>
      </c>
    </row>
    <row r="511" spans="1:7" ht="15.75" customHeight="1" x14ac:dyDescent="0.2">
      <c r="A511" s="20"/>
      <c r="B511" s="158">
        <f t="shared" si="3"/>
        <v>0</v>
      </c>
      <c r="C511" s="65" t="s">
        <v>667</v>
      </c>
      <c r="D511" s="188"/>
      <c r="E511" s="20"/>
      <c r="F511" s="20"/>
      <c r="G511" s="7" t="s">
        <v>936</v>
      </c>
    </row>
    <row r="512" spans="1:7" ht="15.75" customHeight="1" x14ac:dyDescent="0.2">
      <c r="A512" s="20"/>
      <c r="B512" s="158">
        <f t="shared" si="3"/>
        <v>0</v>
      </c>
      <c r="C512" s="65" t="s">
        <v>667</v>
      </c>
      <c r="D512" s="188"/>
      <c r="E512" s="20"/>
      <c r="F512" s="20"/>
      <c r="G512" s="7" t="s">
        <v>936</v>
      </c>
    </row>
    <row r="513" spans="1:7" ht="15.75" customHeight="1" x14ac:dyDescent="0.2">
      <c r="A513" s="20"/>
      <c r="B513" s="158">
        <f t="shared" si="3"/>
        <v>0</v>
      </c>
      <c r="C513" s="65" t="s">
        <v>667</v>
      </c>
      <c r="D513" s="188"/>
      <c r="E513" s="20"/>
      <c r="F513" s="20"/>
      <c r="G513" s="7" t="s">
        <v>936</v>
      </c>
    </row>
    <row r="514" spans="1:7" ht="15.75" customHeight="1" x14ac:dyDescent="0.2">
      <c r="A514" s="20"/>
      <c r="B514" s="158">
        <f t="shared" si="3"/>
        <v>0</v>
      </c>
      <c r="C514" s="65" t="s">
        <v>667</v>
      </c>
      <c r="D514" s="188"/>
      <c r="E514" s="20"/>
      <c r="F514" s="20"/>
      <c r="G514" s="7" t="s">
        <v>936</v>
      </c>
    </row>
    <row r="515" spans="1:7" ht="15.75" customHeight="1" x14ac:dyDescent="0.2">
      <c r="A515" s="20"/>
      <c r="B515" s="158">
        <f t="shared" si="3"/>
        <v>0</v>
      </c>
      <c r="C515" s="65" t="s">
        <v>667</v>
      </c>
      <c r="D515" s="188"/>
      <c r="E515" s="20"/>
      <c r="F515" s="20"/>
      <c r="G515" s="7" t="s">
        <v>936</v>
      </c>
    </row>
    <row r="516" spans="1:7" ht="15.75" customHeight="1" x14ac:dyDescent="0.2">
      <c r="A516" s="20"/>
      <c r="B516" s="158">
        <f t="shared" si="3"/>
        <v>0</v>
      </c>
      <c r="C516" s="65" t="s">
        <v>667</v>
      </c>
      <c r="D516" s="188"/>
      <c r="E516" s="20"/>
      <c r="F516" s="20"/>
      <c r="G516" s="7" t="s">
        <v>936</v>
      </c>
    </row>
    <row r="517" spans="1:7" ht="15.75" customHeight="1" x14ac:dyDescent="0.2">
      <c r="A517" s="20"/>
      <c r="B517" s="158">
        <f t="shared" si="3"/>
        <v>0</v>
      </c>
      <c r="C517" s="65" t="s">
        <v>667</v>
      </c>
      <c r="D517" s="188"/>
      <c r="E517" s="20"/>
      <c r="F517" s="20"/>
      <c r="G517" s="7" t="s">
        <v>936</v>
      </c>
    </row>
    <row r="518" spans="1:7" ht="15.75" customHeight="1" x14ac:dyDescent="0.2">
      <c r="A518" s="20"/>
      <c r="B518" s="158">
        <f t="shared" si="3"/>
        <v>0</v>
      </c>
      <c r="C518" s="65" t="s">
        <v>667</v>
      </c>
      <c r="D518" s="188"/>
      <c r="E518" s="20"/>
      <c r="F518" s="20"/>
      <c r="G518" s="7" t="s">
        <v>936</v>
      </c>
    </row>
    <row r="519" spans="1:7" ht="15.75" customHeight="1" x14ac:dyDescent="0.2">
      <c r="A519" s="20"/>
      <c r="B519" s="158">
        <f t="shared" si="3"/>
        <v>0</v>
      </c>
      <c r="C519" s="65" t="s">
        <v>667</v>
      </c>
      <c r="D519" s="188"/>
      <c r="E519" s="20"/>
      <c r="F519" s="20"/>
      <c r="G519" s="7" t="s">
        <v>936</v>
      </c>
    </row>
    <row r="520" spans="1:7" ht="15.75" customHeight="1" x14ac:dyDescent="0.2">
      <c r="A520" s="20"/>
      <c r="B520" s="158">
        <f t="shared" si="3"/>
        <v>0</v>
      </c>
      <c r="C520" s="65" t="s">
        <v>667</v>
      </c>
      <c r="D520" s="188"/>
      <c r="E520" s="20"/>
      <c r="F520" s="20"/>
      <c r="G520" s="7" t="s">
        <v>936</v>
      </c>
    </row>
    <row r="521" spans="1:7" ht="15.75" customHeight="1" x14ac:dyDescent="0.2">
      <c r="A521" s="20"/>
      <c r="B521" s="158">
        <f t="shared" si="3"/>
        <v>0</v>
      </c>
      <c r="C521" s="65" t="s">
        <v>667</v>
      </c>
      <c r="D521" s="188"/>
      <c r="E521" s="20"/>
      <c r="F521" s="20"/>
      <c r="G521" s="7" t="s">
        <v>936</v>
      </c>
    </row>
    <row r="522" spans="1:7" ht="15.75" customHeight="1" x14ac:dyDescent="0.2">
      <c r="A522" s="20"/>
      <c r="B522" s="158">
        <f t="shared" si="3"/>
        <v>0</v>
      </c>
      <c r="C522" s="65" t="s">
        <v>667</v>
      </c>
      <c r="D522" s="188"/>
      <c r="E522" s="20"/>
      <c r="F522" s="20"/>
      <c r="G522" s="7" t="s">
        <v>936</v>
      </c>
    </row>
    <row r="523" spans="1:7" ht="15.75" customHeight="1" x14ac:dyDescent="0.2">
      <c r="A523" s="20"/>
      <c r="B523" s="158">
        <f t="shared" si="3"/>
        <v>0</v>
      </c>
      <c r="C523" s="65" t="s">
        <v>667</v>
      </c>
      <c r="D523" s="188"/>
      <c r="E523" s="20"/>
      <c r="F523" s="20"/>
      <c r="G523" s="7" t="s">
        <v>936</v>
      </c>
    </row>
    <row r="524" spans="1:7" ht="15.75" customHeight="1" x14ac:dyDescent="0.2">
      <c r="A524" s="20"/>
      <c r="B524" s="158">
        <f t="shared" si="3"/>
        <v>0</v>
      </c>
      <c r="C524" s="65" t="s">
        <v>667</v>
      </c>
      <c r="D524" s="188"/>
      <c r="E524" s="20"/>
      <c r="F524" s="20"/>
      <c r="G524" s="7" t="s">
        <v>936</v>
      </c>
    </row>
    <row r="525" spans="1:7" ht="15.75" customHeight="1" x14ac:dyDescent="0.2">
      <c r="A525" s="20"/>
      <c r="B525" s="158">
        <f t="shared" si="3"/>
        <v>0</v>
      </c>
      <c r="C525" s="65" t="s">
        <v>667</v>
      </c>
      <c r="D525" s="188"/>
      <c r="E525" s="20"/>
      <c r="F525" s="20"/>
      <c r="G525" s="7" t="s">
        <v>936</v>
      </c>
    </row>
    <row r="526" spans="1:7" ht="15.75" customHeight="1" x14ac:dyDescent="0.2">
      <c r="A526" s="20"/>
      <c r="B526" s="158">
        <f t="shared" si="3"/>
        <v>0</v>
      </c>
      <c r="C526" s="65" t="s">
        <v>667</v>
      </c>
      <c r="D526" s="188"/>
      <c r="E526" s="20"/>
      <c r="F526" s="20"/>
      <c r="G526" s="7" t="s">
        <v>936</v>
      </c>
    </row>
    <row r="527" spans="1:7" ht="15.75" customHeight="1" x14ac:dyDescent="0.2">
      <c r="A527" s="20"/>
      <c r="B527" s="158">
        <f t="shared" si="3"/>
        <v>0</v>
      </c>
      <c r="C527" s="65" t="s">
        <v>667</v>
      </c>
      <c r="D527" s="188"/>
      <c r="E527" s="20"/>
      <c r="F527" s="20"/>
      <c r="G527" s="7" t="s">
        <v>936</v>
      </c>
    </row>
    <row r="528" spans="1:7" ht="15.75" customHeight="1" x14ac:dyDescent="0.2">
      <c r="A528" s="20"/>
      <c r="B528" s="158">
        <f t="shared" si="3"/>
        <v>0</v>
      </c>
      <c r="C528" s="65" t="s">
        <v>667</v>
      </c>
      <c r="D528" s="188"/>
      <c r="E528" s="20"/>
      <c r="F528" s="20"/>
      <c r="G528" s="7" t="s">
        <v>936</v>
      </c>
    </row>
    <row r="529" spans="1:7" ht="15.75" customHeight="1" x14ac:dyDescent="0.2">
      <c r="A529" s="20"/>
      <c r="B529" s="158">
        <f t="shared" si="3"/>
        <v>0</v>
      </c>
      <c r="C529" s="65" t="s">
        <v>667</v>
      </c>
      <c r="D529" s="188"/>
      <c r="E529" s="20"/>
      <c r="F529" s="20"/>
      <c r="G529" s="7" t="s">
        <v>936</v>
      </c>
    </row>
    <row r="530" spans="1:7" ht="15.75" customHeight="1" x14ac:dyDescent="0.2">
      <c r="A530" s="20"/>
      <c r="B530" s="158">
        <f t="shared" si="3"/>
        <v>0</v>
      </c>
      <c r="C530" s="65" t="s">
        <v>667</v>
      </c>
      <c r="D530" s="188"/>
      <c r="E530" s="20"/>
      <c r="F530" s="20"/>
      <c r="G530" s="7" t="s">
        <v>936</v>
      </c>
    </row>
    <row r="531" spans="1:7" ht="15.75" customHeight="1" x14ac:dyDescent="0.2">
      <c r="A531" s="20" t="s">
        <v>128</v>
      </c>
      <c r="B531" s="158">
        <f t="shared" si="3"/>
        <v>3700.5962255095542</v>
      </c>
      <c r="C531" s="65" t="s">
        <v>676</v>
      </c>
      <c r="D531" s="188">
        <f>'COCINA TUESTE'!T47</f>
        <v>3700.5962255095542</v>
      </c>
      <c r="E531" s="20"/>
      <c r="F531" s="20"/>
      <c r="G531" s="7" t="s">
        <v>937</v>
      </c>
    </row>
    <row r="532" spans="1:7" ht="15.75" customHeight="1" x14ac:dyDescent="0.2">
      <c r="A532" s="20" t="s">
        <v>938</v>
      </c>
      <c r="B532" s="158">
        <f t="shared" si="3"/>
        <v>2356.4979650000005</v>
      </c>
      <c r="C532" s="65" t="s">
        <v>676</v>
      </c>
      <c r="D532" s="188">
        <f>'COCINA TUESTE'!AD74</f>
        <v>2356.4979650000005</v>
      </c>
      <c r="E532" s="20"/>
      <c r="F532" s="20"/>
      <c r="G532" s="7" t="s">
        <v>937</v>
      </c>
    </row>
    <row r="533" spans="1:7" ht="15.75" customHeight="1" x14ac:dyDescent="0.2">
      <c r="A533" s="20" t="s">
        <v>939</v>
      </c>
      <c r="B533" s="158">
        <f t="shared" si="3"/>
        <v>3106.1058905605378</v>
      </c>
      <c r="C533" s="65" t="s">
        <v>676</v>
      </c>
      <c r="D533" s="188">
        <f>'COCINA TUESTE'!Y47</f>
        <v>3106.1058905605378</v>
      </c>
      <c r="E533" s="20"/>
      <c r="F533" s="20"/>
      <c r="G533" s="7" t="s">
        <v>937</v>
      </c>
    </row>
    <row r="534" spans="1:7" ht="15.75" customHeight="1" x14ac:dyDescent="0.2">
      <c r="A534" s="20" t="s">
        <v>940</v>
      </c>
      <c r="B534" s="158">
        <f t="shared" si="3"/>
        <v>3076.4520245454546</v>
      </c>
      <c r="C534" s="65" t="s">
        <v>676</v>
      </c>
      <c r="D534" s="188">
        <f>'COCINA TUESTE'!Y74</f>
        <v>3076.4520245454546</v>
      </c>
      <c r="E534" s="20"/>
      <c r="F534" s="20"/>
      <c r="G534" s="7" t="s">
        <v>937</v>
      </c>
    </row>
    <row r="535" spans="1:7" ht="15.75" customHeight="1" x14ac:dyDescent="0.2">
      <c r="A535" s="20" t="s">
        <v>131</v>
      </c>
      <c r="B535" s="158">
        <f t="shared" si="3"/>
        <v>664.93000000000006</v>
      </c>
      <c r="C535" s="65" t="s">
        <v>676</v>
      </c>
      <c r="D535" s="188">
        <f>'CAFETERIA TUESTE'!T12</f>
        <v>664.93000000000006</v>
      </c>
      <c r="E535" s="20"/>
      <c r="F535" s="20"/>
      <c r="G535" s="7" t="s">
        <v>937</v>
      </c>
    </row>
    <row r="536" spans="1:7" ht="15.75" customHeight="1" x14ac:dyDescent="0.2">
      <c r="A536" s="20" t="s">
        <v>941</v>
      </c>
      <c r="B536" s="158">
        <f t="shared" si="3"/>
        <v>470.93</v>
      </c>
      <c r="C536" s="65" t="s">
        <v>676</v>
      </c>
      <c r="D536" s="188">
        <f>'CAFETERIA TUESTE'!T69</f>
        <v>470.93</v>
      </c>
      <c r="E536" s="20"/>
      <c r="F536" s="20"/>
      <c r="G536" s="7" t="s">
        <v>937</v>
      </c>
    </row>
    <row r="537" spans="1:7" ht="15.75" customHeight="1" x14ac:dyDescent="0.2">
      <c r="A537" s="20" t="s">
        <v>942</v>
      </c>
      <c r="B537" s="158">
        <f t="shared" si="3"/>
        <v>2537.5</v>
      </c>
      <c r="C537" s="65" t="s">
        <v>676</v>
      </c>
      <c r="D537" s="178">
        <v>2537.5</v>
      </c>
      <c r="E537" s="20"/>
      <c r="F537" s="20"/>
      <c r="G537" s="7" t="s">
        <v>937</v>
      </c>
    </row>
    <row r="538" spans="1:7" ht="15.75" customHeight="1" x14ac:dyDescent="0.2">
      <c r="A538" s="20" t="s">
        <v>943</v>
      </c>
      <c r="B538" s="158">
        <f t="shared" si="3"/>
        <v>1989</v>
      </c>
      <c r="C538" s="65" t="s">
        <v>676</v>
      </c>
      <c r="D538" s="178">
        <v>1989</v>
      </c>
      <c r="E538" s="20"/>
      <c r="F538" s="20"/>
      <c r="G538" s="7" t="s">
        <v>937</v>
      </c>
    </row>
    <row r="539" spans="1:7" ht="15.75" customHeight="1" x14ac:dyDescent="0.2">
      <c r="A539" s="20" t="s">
        <v>944</v>
      </c>
      <c r="B539" s="158">
        <f t="shared" si="3"/>
        <v>660</v>
      </c>
      <c r="C539" s="65" t="s">
        <v>676</v>
      </c>
      <c r="D539" s="178">
        <v>660</v>
      </c>
      <c r="E539" s="20"/>
      <c r="F539" s="20"/>
      <c r="G539" s="7" t="s">
        <v>937</v>
      </c>
    </row>
    <row r="540" spans="1:7" ht="15.75" customHeight="1" x14ac:dyDescent="0.2">
      <c r="A540" s="20" t="s">
        <v>945</v>
      </c>
      <c r="B540" s="158">
        <f t="shared" si="3"/>
        <v>475</v>
      </c>
      <c r="C540" s="65" t="s">
        <v>676</v>
      </c>
      <c r="D540" s="178">
        <v>475</v>
      </c>
      <c r="E540" s="20"/>
      <c r="F540" s="20"/>
      <c r="G540" s="7" t="s">
        <v>937</v>
      </c>
    </row>
    <row r="541" spans="1:7" ht="15.75" customHeight="1" x14ac:dyDescent="0.2">
      <c r="A541" s="20" t="s">
        <v>138</v>
      </c>
      <c r="B541" s="158">
        <f t="shared" si="3"/>
        <v>861.15199999999993</v>
      </c>
      <c r="C541" s="65" t="s">
        <v>676</v>
      </c>
      <c r="D541" s="188">
        <f>'CAFETERIA TUESTE'!O127</f>
        <v>861.15199999999993</v>
      </c>
      <c r="E541" s="20"/>
      <c r="F541" s="20"/>
      <c r="G541" s="7" t="s">
        <v>937</v>
      </c>
    </row>
    <row r="542" spans="1:7" ht="15.75" customHeight="1" x14ac:dyDescent="0.2">
      <c r="A542" s="20" t="s">
        <v>946</v>
      </c>
      <c r="B542" s="158">
        <f t="shared" si="3"/>
        <v>855.23599999999999</v>
      </c>
      <c r="C542" s="65" t="s">
        <v>676</v>
      </c>
      <c r="D542" s="188">
        <f>'CAFETERIA TUESTE'!E146</f>
        <v>855.23599999999999</v>
      </c>
      <c r="E542" s="20"/>
      <c r="F542" s="20"/>
      <c r="G542" s="7" t="s">
        <v>937</v>
      </c>
    </row>
    <row r="543" spans="1:7" ht="15.75" customHeight="1" x14ac:dyDescent="0.2">
      <c r="A543" s="20"/>
      <c r="B543" s="158">
        <f t="shared" si="3"/>
        <v>0</v>
      </c>
      <c r="C543" s="65" t="s">
        <v>667</v>
      </c>
      <c r="D543" s="188"/>
      <c r="E543" s="20"/>
      <c r="F543" s="20"/>
      <c r="G543" s="7"/>
    </row>
    <row r="544" spans="1:7" ht="15.75" customHeight="1" x14ac:dyDescent="0.2">
      <c r="C544" s="2"/>
      <c r="D544" s="154"/>
    </row>
    <row r="545" spans="3:4" ht="15.75" customHeight="1" x14ac:dyDescent="0.2">
      <c r="C545" s="2"/>
      <c r="D545" s="154"/>
    </row>
    <row r="546" spans="3:4" ht="15.75" customHeight="1" x14ac:dyDescent="0.2">
      <c r="C546" s="2"/>
      <c r="D546" s="154"/>
    </row>
    <row r="547" spans="3:4" ht="15.75" customHeight="1" x14ac:dyDescent="0.2">
      <c r="C547" s="2"/>
      <c r="D547" s="154"/>
    </row>
    <row r="548" spans="3:4" ht="15.75" customHeight="1" x14ac:dyDescent="0.2">
      <c r="C548" s="2"/>
      <c r="D548" s="154"/>
    </row>
    <row r="549" spans="3:4" ht="15.75" customHeight="1" x14ac:dyDescent="0.2">
      <c r="C549" s="2"/>
      <c r="D549" s="154"/>
    </row>
    <row r="550" spans="3:4" ht="15.75" customHeight="1" x14ac:dyDescent="0.2">
      <c r="C550" s="2"/>
      <c r="D550" s="154"/>
    </row>
    <row r="551" spans="3:4" ht="15.75" customHeight="1" x14ac:dyDescent="0.2">
      <c r="C551" s="2"/>
      <c r="D551" s="154"/>
    </row>
    <row r="552" spans="3:4" ht="15.75" customHeight="1" x14ac:dyDescent="0.2">
      <c r="C552" s="2"/>
      <c r="D552" s="154"/>
    </row>
    <row r="553" spans="3:4" ht="15.75" customHeight="1" x14ac:dyDescent="0.2">
      <c r="C553" s="2"/>
      <c r="D553" s="154"/>
    </row>
    <row r="554" spans="3:4" ht="15.75" customHeight="1" x14ac:dyDescent="0.2">
      <c r="C554" s="2"/>
      <c r="D554" s="154"/>
    </row>
    <row r="555" spans="3:4" ht="15.75" customHeight="1" x14ac:dyDescent="0.2">
      <c r="C555" s="2"/>
      <c r="D555" s="154"/>
    </row>
    <row r="556" spans="3:4" ht="15.75" customHeight="1" x14ac:dyDescent="0.2">
      <c r="C556" s="2"/>
      <c r="D556" s="154"/>
    </row>
    <row r="557" spans="3:4" ht="15.75" customHeight="1" x14ac:dyDescent="0.2">
      <c r="C557" s="2"/>
      <c r="D557" s="154"/>
    </row>
    <row r="558" spans="3:4" ht="15.75" customHeight="1" x14ac:dyDescent="0.2">
      <c r="C558" s="2"/>
      <c r="D558" s="154"/>
    </row>
    <row r="559" spans="3:4" ht="15.75" customHeight="1" x14ac:dyDescent="0.2">
      <c r="C559" s="2"/>
      <c r="D559" s="154"/>
    </row>
    <row r="560" spans="3:4" ht="15.75" customHeight="1" x14ac:dyDescent="0.2">
      <c r="C560" s="2"/>
      <c r="D560" s="154"/>
    </row>
    <row r="561" spans="3:4" ht="15.75" customHeight="1" x14ac:dyDescent="0.2">
      <c r="C561" s="2"/>
      <c r="D561" s="154"/>
    </row>
    <row r="562" spans="3:4" ht="15.75" customHeight="1" x14ac:dyDescent="0.2">
      <c r="C562" s="2"/>
      <c r="D562" s="154"/>
    </row>
    <row r="563" spans="3:4" ht="15.75" customHeight="1" x14ac:dyDescent="0.2">
      <c r="C563" s="2"/>
      <c r="D563" s="154"/>
    </row>
    <row r="564" spans="3:4" ht="15.75" customHeight="1" x14ac:dyDescent="0.2">
      <c r="C564" s="2"/>
      <c r="D564" s="154"/>
    </row>
    <row r="565" spans="3:4" ht="15.75" customHeight="1" x14ac:dyDescent="0.2">
      <c r="C565" s="2"/>
      <c r="D565" s="154"/>
    </row>
    <row r="566" spans="3:4" ht="15.75" customHeight="1" x14ac:dyDescent="0.2">
      <c r="C566" s="2"/>
      <c r="D566" s="154"/>
    </row>
    <row r="567" spans="3:4" ht="15.75" customHeight="1" x14ac:dyDescent="0.2">
      <c r="C567" s="2"/>
      <c r="D567" s="154"/>
    </row>
    <row r="568" spans="3:4" ht="15.75" customHeight="1" x14ac:dyDescent="0.2">
      <c r="C568" s="2"/>
      <c r="D568" s="154"/>
    </row>
    <row r="569" spans="3:4" ht="15.75" customHeight="1" x14ac:dyDescent="0.2">
      <c r="C569" s="2"/>
      <c r="D569" s="154"/>
    </row>
    <row r="570" spans="3:4" ht="15.75" customHeight="1" x14ac:dyDescent="0.2">
      <c r="C570" s="2"/>
      <c r="D570" s="154"/>
    </row>
    <row r="571" spans="3:4" ht="15.75" customHeight="1" x14ac:dyDescent="0.2">
      <c r="C571" s="2"/>
      <c r="D571" s="154"/>
    </row>
    <row r="572" spans="3:4" ht="15.75" customHeight="1" x14ac:dyDescent="0.2">
      <c r="C572" s="2"/>
      <c r="D572" s="154"/>
    </row>
    <row r="573" spans="3:4" ht="15.75" customHeight="1" x14ac:dyDescent="0.2">
      <c r="C573" s="2"/>
      <c r="D573" s="154"/>
    </row>
    <row r="574" spans="3:4" ht="15.75" customHeight="1" x14ac:dyDescent="0.2">
      <c r="C574" s="2"/>
      <c r="D574" s="154"/>
    </row>
    <row r="575" spans="3:4" ht="15.75" customHeight="1" x14ac:dyDescent="0.2">
      <c r="C575" s="2"/>
      <c r="D575" s="154"/>
    </row>
    <row r="576" spans="3:4" ht="15.75" customHeight="1" x14ac:dyDescent="0.2">
      <c r="C576" s="2"/>
      <c r="D576" s="154"/>
    </row>
    <row r="577" spans="3:4" ht="15.75" customHeight="1" x14ac:dyDescent="0.2">
      <c r="C577" s="2"/>
      <c r="D577" s="154"/>
    </row>
    <row r="578" spans="3:4" ht="15.75" customHeight="1" x14ac:dyDescent="0.2">
      <c r="C578" s="2"/>
      <c r="D578" s="154"/>
    </row>
    <row r="579" spans="3:4" ht="15.75" customHeight="1" x14ac:dyDescent="0.2">
      <c r="C579" s="2"/>
      <c r="D579" s="154"/>
    </row>
    <row r="580" spans="3:4" ht="15.75" customHeight="1" x14ac:dyDescent="0.2">
      <c r="C580" s="2"/>
      <c r="D580" s="154"/>
    </row>
    <row r="581" spans="3:4" ht="15.75" customHeight="1" x14ac:dyDescent="0.2">
      <c r="C581" s="2"/>
      <c r="D581" s="154"/>
    </row>
    <row r="582" spans="3:4" ht="15.75" customHeight="1" x14ac:dyDescent="0.2">
      <c r="C582" s="2"/>
      <c r="D582" s="154"/>
    </row>
    <row r="583" spans="3:4" ht="15.75" customHeight="1" x14ac:dyDescent="0.2">
      <c r="C583" s="2"/>
      <c r="D583" s="154"/>
    </row>
    <row r="584" spans="3:4" ht="15.75" customHeight="1" x14ac:dyDescent="0.2">
      <c r="C584" s="2"/>
      <c r="D584" s="154"/>
    </row>
    <row r="585" spans="3:4" ht="15.75" customHeight="1" x14ac:dyDescent="0.2">
      <c r="C585" s="2"/>
      <c r="D585" s="154"/>
    </row>
    <row r="586" spans="3:4" ht="15.75" customHeight="1" x14ac:dyDescent="0.2">
      <c r="C586" s="2"/>
      <c r="D586" s="154"/>
    </row>
    <row r="587" spans="3:4" ht="15.75" customHeight="1" x14ac:dyDescent="0.2">
      <c r="C587" s="2"/>
      <c r="D587" s="154"/>
    </row>
    <row r="588" spans="3:4" ht="15.75" customHeight="1" x14ac:dyDescent="0.2">
      <c r="C588" s="2"/>
      <c r="D588" s="154"/>
    </row>
    <row r="589" spans="3:4" ht="15.75" customHeight="1" x14ac:dyDescent="0.2">
      <c r="C589" s="2"/>
      <c r="D589" s="154"/>
    </row>
    <row r="590" spans="3:4" ht="15.75" customHeight="1" x14ac:dyDescent="0.2">
      <c r="C590" s="2"/>
      <c r="D590" s="154"/>
    </row>
    <row r="591" spans="3:4" ht="15.75" customHeight="1" x14ac:dyDescent="0.2">
      <c r="C591" s="2"/>
      <c r="D591" s="154"/>
    </row>
    <row r="592" spans="3:4" ht="15.75" customHeight="1" x14ac:dyDescent="0.2">
      <c r="C592" s="2"/>
      <c r="D592" s="154"/>
    </row>
    <row r="593" spans="3:4" ht="15.75" customHeight="1" x14ac:dyDescent="0.2">
      <c r="C593" s="2"/>
      <c r="D593" s="154"/>
    </row>
    <row r="594" spans="3:4" ht="15.75" customHeight="1" x14ac:dyDescent="0.2">
      <c r="C594" s="2"/>
      <c r="D594" s="154"/>
    </row>
    <row r="595" spans="3:4" ht="15.75" customHeight="1" x14ac:dyDescent="0.2">
      <c r="C595" s="2"/>
      <c r="D595" s="154"/>
    </row>
    <row r="596" spans="3:4" ht="15.75" customHeight="1" x14ac:dyDescent="0.2">
      <c r="C596" s="2"/>
      <c r="D596" s="154"/>
    </row>
    <row r="597" spans="3:4" ht="15.75" customHeight="1" x14ac:dyDescent="0.2">
      <c r="C597" s="2"/>
      <c r="D597" s="154"/>
    </row>
    <row r="598" spans="3:4" ht="15.75" customHeight="1" x14ac:dyDescent="0.2">
      <c r="C598" s="2"/>
      <c r="D598" s="154"/>
    </row>
    <row r="599" spans="3:4" ht="15.75" customHeight="1" x14ac:dyDescent="0.2">
      <c r="C599" s="2"/>
      <c r="D599" s="154"/>
    </row>
    <row r="600" spans="3:4" ht="15.75" customHeight="1" x14ac:dyDescent="0.2">
      <c r="C600" s="2"/>
      <c r="D600" s="154"/>
    </row>
    <row r="601" spans="3:4" ht="15.75" customHeight="1" x14ac:dyDescent="0.2">
      <c r="C601" s="2"/>
      <c r="D601" s="154"/>
    </row>
    <row r="602" spans="3:4" ht="15.75" customHeight="1" x14ac:dyDescent="0.2">
      <c r="C602" s="2"/>
      <c r="D602" s="154"/>
    </row>
    <row r="603" spans="3:4" ht="15.75" customHeight="1" x14ac:dyDescent="0.2">
      <c r="C603" s="2"/>
      <c r="D603" s="154"/>
    </row>
    <row r="604" spans="3:4" ht="15.75" customHeight="1" x14ac:dyDescent="0.2">
      <c r="C604" s="2"/>
      <c r="D604" s="154"/>
    </row>
    <row r="605" spans="3:4" ht="15.75" customHeight="1" x14ac:dyDescent="0.2">
      <c r="C605" s="2"/>
      <c r="D605" s="154"/>
    </row>
    <row r="606" spans="3:4" ht="15.75" customHeight="1" x14ac:dyDescent="0.2">
      <c r="C606" s="2"/>
      <c r="D606" s="154"/>
    </row>
    <row r="607" spans="3:4" ht="15.75" customHeight="1" x14ac:dyDescent="0.2">
      <c r="C607" s="2"/>
      <c r="D607" s="154"/>
    </row>
    <row r="608" spans="3:4" ht="15.75" customHeight="1" x14ac:dyDescent="0.2">
      <c r="C608" s="2"/>
      <c r="D608" s="154"/>
    </row>
    <row r="609" spans="3:4" ht="15.75" customHeight="1" x14ac:dyDescent="0.2">
      <c r="C609" s="2"/>
      <c r="D609" s="154"/>
    </row>
    <row r="610" spans="3:4" ht="15.75" customHeight="1" x14ac:dyDescent="0.2">
      <c r="C610" s="2"/>
      <c r="D610" s="154"/>
    </row>
    <row r="611" spans="3:4" ht="15.75" customHeight="1" x14ac:dyDescent="0.2">
      <c r="C611" s="2"/>
      <c r="D611" s="154"/>
    </row>
    <row r="612" spans="3:4" ht="15.75" customHeight="1" x14ac:dyDescent="0.2">
      <c r="C612" s="2"/>
      <c r="D612" s="154"/>
    </row>
    <row r="613" spans="3:4" ht="15.75" customHeight="1" x14ac:dyDescent="0.2">
      <c r="C613" s="2"/>
      <c r="D613" s="154"/>
    </row>
    <row r="614" spans="3:4" ht="15.75" customHeight="1" x14ac:dyDescent="0.2">
      <c r="C614" s="2"/>
      <c r="D614" s="154"/>
    </row>
    <row r="615" spans="3:4" ht="15.75" customHeight="1" x14ac:dyDescent="0.2">
      <c r="C615" s="2"/>
      <c r="D615" s="154"/>
    </row>
    <row r="616" spans="3:4" ht="15.75" customHeight="1" x14ac:dyDescent="0.2">
      <c r="C616" s="2"/>
      <c r="D616" s="154"/>
    </row>
    <row r="617" spans="3:4" ht="15.75" customHeight="1" x14ac:dyDescent="0.2">
      <c r="C617" s="2"/>
      <c r="D617" s="154"/>
    </row>
    <row r="618" spans="3:4" ht="15.75" customHeight="1" x14ac:dyDescent="0.2">
      <c r="C618" s="2"/>
      <c r="D618" s="154"/>
    </row>
    <row r="619" spans="3:4" ht="15.75" customHeight="1" x14ac:dyDescent="0.2">
      <c r="C619" s="2"/>
      <c r="D619" s="154"/>
    </row>
    <row r="620" spans="3:4" ht="15.75" customHeight="1" x14ac:dyDescent="0.2">
      <c r="C620" s="2"/>
      <c r="D620" s="154"/>
    </row>
    <row r="621" spans="3:4" ht="15.75" customHeight="1" x14ac:dyDescent="0.2">
      <c r="C621" s="2"/>
      <c r="D621" s="154"/>
    </row>
    <row r="622" spans="3:4" ht="15.75" customHeight="1" x14ac:dyDescent="0.2">
      <c r="C622" s="2"/>
      <c r="D622" s="154"/>
    </row>
    <row r="623" spans="3:4" ht="15.75" customHeight="1" x14ac:dyDescent="0.2">
      <c r="C623" s="2"/>
      <c r="D623" s="154"/>
    </row>
    <row r="624" spans="3:4" ht="15.75" customHeight="1" x14ac:dyDescent="0.2">
      <c r="C624" s="2"/>
      <c r="D624" s="154"/>
    </row>
    <row r="625" spans="3:4" ht="15.75" customHeight="1" x14ac:dyDescent="0.2">
      <c r="C625" s="2"/>
      <c r="D625" s="154"/>
    </row>
    <row r="626" spans="3:4" ht="15.75" customHeight="1" x14ac:dyDescent="0.2">
      <c r="C626" s="2"/>
      <c r="D626" s="154"/>
    </row>
    <row r="627" spans="3:4" ht="15.75" customHeight="1" x14ac:dyDescent="0.2">
      <c r="C627" s="2"/>
      <c r="D627" s="154"/>
    </row>
    <row r="628" spans="3:4" ht="15.75" customHeight="1" x14ac:dyDescent="0.2">
      <c r="C628" s="2"/>
      <c r="D628" s="154"/>
    </row>
    <row r="629" spans="3:4" ht="15.75" customHeight="1" x14ac:dyDescent="0.2">
      <c r="C629" s="2"/>
      <c r="D629" s="154"/>
    </row>
    <row r="630" spans="3:4" ht="15.75" customHeight="1" x14ac:dyDescent="0.2">
      <c r="C630" s="2"/>
      <c r="D630" s="154"/>
    </row>
    <row r="631" spans="3:4" ht="15.75" customHeight="1" x14ac:dyDescent="0.2">
      <c r="C631" s="2"/>
      <c r="D631" s="154"/>
    </row>
    <row r="632" spans="3:4" ht="15.75" customHeight="1" x14ac:dyDescent="0.2">
      <c r="C632" s="2"/>
      <c r="D632" s="154"/>
    </row>
    <row r="633" spans="3:4" ht="15.75" customHeight="1" x14ac:dyDescent="0.2">
      <c r="C633" s="2"/>
      <c r="D633" s="154"/>
    </row>
    <row r="634" spans="3:4" ht="15.75" customHeight="1" x14ac:dyDescent="0.2">
      <c r="C634" s="2"/>
      <c r="D634" s="154"/>
    </row>
    <row r="635" spans="3:4" ht="15.75" customHeight="1" x14ac:dyDescent="0.2">
      <c r="C635" s="2"/>
      <c r="D635" s="154"/>
    </row>
    <row r="636" spans="3:4" ht="15.75" customHeight="1" x14ac:dyDescent="0.2">
      <c r="C636" s="2"/>
      <c r="D636" s="154"/>
    </row>
    <row r="637" spans="3:4" ht="15.75" customHeight="1" x14ac:dyDescent="0.2">
      <c r="C637" s="2"/>
      <c r="D637" s="154"/>
    </row>
    <row r="638" spans="3:4" ht="15.75" customHeight="1" x14ac:dyDescent="0.2">
      <c r="C638" s="2"/>
      <c r="D638" s="154"/>
    </row>
    <row r="639" spans="3:4" ht="15.75" customHeight="1" x14ac:dyDescent="0.2">
      <c r="C639" s="2"/>
      <c r="D639" s="154"/>
    </row>
    <row r="640" spans="3:4" ht="15.75" customHeight="1" x14ac:dyDescent="0.2">
      <c r="C640" s="2"/>
      <c r="D640" s="154"/>
    </row>
    <row r="641" spans="3:4" ht="15.75" customHeight="1" x14ac:dyDescent="0.2">
      <c r="C641" s="2"/>
      <c r="D641" s="154"/>
    </row>
    <row r="642" spans="3:4" ht="15.75" customHeight="1" x14ac:dyDescent="0.2">
      <c r="C642" s="2"/>
      <c r="D642" s="154"/>
    </row>
    <row r="643" spans="3:4" ht="15.75" customHeight="1" x14ac:dyDescent="0.2">
      <c r="C643" s="2"/>
      <c r="D643" s="154"/>
    </row>
    <row r="644" spans="3:4" ht="15.75" customHeight="1" x14ac:dyDescent="0.2">
      <c r="C644" s="2"/>
      <c r="D644" s="154"/>
    </row>
    <row r="645" spans="3:4" ht="15.75" customHeight="1" x14ac:dyDescent="0.2">
      <c r="C645" s="2"/>
      <c r="D645" s="154"/>
    </row>
    <row r="646" spans="3:4" ht="15.75" customHeight="1" x14ac:dyDescent="0.2">
      <c r="C646" s="2"/>
      <c r="D646" s="154"/>
    </row>
    <row r="647" spans="3:4" ht="15.75" customHeight="1" x14ac:dyDescent="0.2">
      <c r="C647" s="2"/>
      <c r="D647" s="154"/>
    </row>
    <row r="648" spans="3:4" ht="15.75" customHeight="1" x14ac:dyDescent="0.2">
      <c r="C648" s="2"/>
      <c r="D648" s="154"/>
    </row>
    <row r="649" spans="3:4" ht="15.75" customHeight="1" x14ac:dyDescent="0.2">
      <c r="C649" s="2"/>
      <c r="D649" s="154"/>
    </row>
    <row r="650" spans="3:4" ht="15.75" customHeight="1" x14ac:dyDescent="0.2">
      <c r="C650" s="2"/>
      <c r="D650" s="154"/>
    </row>
    <row r="651" spans="3:4" ht="15.75" customHeight="1" x14ac:dyDescent="0.2">
      <c r="C651" s="2"/>
      <c r="D651" s="154"/>
    </row>
    <row r="652" spans="3:4" ht="15.75" customHeight="1" x14ac:dyDescent="0.2">
      <c r="C652" s="2"/>
      <c r="D652" s="154"/>
    </row>
    <row r="653" spans="3:4" ht="15.75" customHeight="1" x14ac:dyDescent="0.2">
      <c r="C653" s="2"/>
      <c r="D653" s="154"/>
    </row>
    <row r="654" spans="3:4" ht="15.75" customHeight="1" x14ac:dyDescent="0.2">
      <c r="C654" s="2"/>
      <c r="D654" s="154"/>
    </row>
    <row r="655" spans="3:4" ht="15.75" customHeight="1" x14ac:dyDescent="0.2">
      <c r="C655" s="2"/>
      <c r="D655" s="154"/>
    </row>
    <row r="656" spans="3:4" ht="15.75" customHeight="1" x14ac:dyDescent="0.2">
      <c r="C656" s="2"/>
      <c r="D656" s="154"/>
    </row>
    <row r="657" spans="3:4" ht="15.75" customHeight="1" x14ac:dyDescent="0.2">
      <c r="C657" s="2"/>
      <c r="D657" s="154"/>
    </row>
    <row r="658" spans="3:4" ht="15.75" customHeight="1" x14ac:dyDescent="0.2">
      <c r="C658" s="2"/>
      <c r="D658" s="154"/>
    </row>
    <row r="659" spans="3:4" ht="15.75" customHeight="1" x14ac:dyDescent="0.2">
      <c r="C659" s="2"/>
      <c r="D659" s="154"/>
    </row>
    <row r="660" spans="3:4" ht="15.75" customHeight="1" x14ac:dyDescent="0.2">
      <c r="C660" s="2"/>
      <c r="D660" s="154"/>
    </row>
    <row r="661" spans="3:4" ht="15.75" customHeight="1" x14ac:dyDescent="0.2">
      <c r="C661" s="2"/>
      <c r="D661" s="154"/>
    </row>
    <row r="662" spans="3:4" ht="15.75" customHeight="1" x14ac:dyDescent="0.2">
      <c r="C662" s="2"/>
      <c r="D662" s="154"/>
    </row>
    <row r="663" spans="3:4" ht="15.75" customHeight="1" x14ac:dyDescent="0.2">
      <c r="C663" s="2"/>
      <c r="D663" s="154"/>
    </row>
    <row r="664" spans="3:4" ht="15.75" customHeight="1" x14ac:dyDescent="0.2">
      <c r="C664" s="2"/>
      <c r="D664" s="154"/>
    </row>
    <row r="665" spans="3:4" ht="15.75" customHeight="1" x14ac:dyDescent="0.2">
      <c r="C665" s="2"/>
      <c r="D665" s="154"/>
    </row>
    <row r="666" spans="3:4" ht="15.75" customHeight="1" x14ac:dyDescent="0.2">
      <c r="C666" s="2"/>
      <c r="D666" s="154"/>
    </row>
    <row r="667" spans="3:4" ht="15.75" customHeight="1" x14ac:dyDescent="0.2">
      <c r="C667" s="2"/>
      <c r="D667" s="154"/>
    </row>
    <row r="668" spans="3:4" ht="15.75" customHeight="1" x14ac:dyDescent="0.2">
      <c r="C668" s="2"/>
      <c r="D668" s="154"/>
    </row>
    <row r="669" spans="3:4" ht="15.75" customHeight="1" x14ac:dyDescent="0.2">
      <c r="C669" s="2"/>
      <c r="D669" s="154"/>
    </row>
    <row r="670" spans="3:4" ht="15.75" customHeight="1" x14ac:dyDescent="0.2">
      <c r="C670" s="2"/>
      <c r="D670" s="154"/>
    </row>
    <row r="671" spans="3:4" ht="15.75" customHeight="1" x14ac:dyDescent="0.2">
      <c r="C671" s="2"/>
      <c r="D671" s="154"/>
    </row>
    <row r="672" spans="3:4" ht="15.75" customHeight="1" x14ac:dyDescent="0.2">
      <c r="C672" s="2"/>
      <c r="D672" s="154"/>
    </row>
    <row r="673" spans="3:4" ht="15.75" customHeight="1" x14ac:dyDescent="0.2">
      <c r="C673" s="2"/>
      <c r="D673" s="154"/>
    </row>
    <row r="674" spans="3:4" ht="15.75" customHeight="1" x14ac:dyDescent="0.2">
      <c r="C674" s="2"/>
      <c r="D674" s="154"/>
    </row>
    <row r="675" spans="3:4" ht="15.75" customHeight="1" x14ac:dyDescent="0.2">
      <c r="C675" s="2"/>
      <c r="D675" s="154"/>
    </row>
    <row r="676" spans="3:4" ht="15.75" customHeight="1" x14ac:dyDescent="0.2">
      <c r="C676" s="2"/>
      <c r="D676" s="154"/>
    </row>
    <row r="677" spans="3:4" ht="15.75" customHeight="1" x14ac:dyDescent="0.2">
      <c r="C677" s="2"/>
      <c r="D677" s="154"/>
    </row>
    <row r="678" spans="3:4" ht="15.75" customHeight="1" x14ac:dyDescent="0.2">
      <c r="C678" s="2"/>
      <c r="D678" s="154"/>
    </row>
    <row r="679" spans="3:4" ht="15.75" customHeight="1" x14ac:dyDescent="0.2">
      <c r="C679" s="2"/>
      <c r="D679" s="154"/>
    </row>
    <row r="680" spans="3:4" ht="15.75" customHeight="1" x14ac:dyDescent="0.2">
      <c r="C680" s="2"/>
      <c r="D680" s="154"/>
    </row>
    <row r="681" spans="3:4" ht="15.75" customHeight="1" x14ac:dyDescent="0.2">
      <c r="C681" s="2"/>
      <c r="D681" s="154"/>
    </row>
    <row r="682" spans="3:4" ht="15.75" customHeight="1" x14ac:dyDescent="0.2">
      <c r="C682" s="2"/>
      <c r="D682" s="154"/>
    </row>
    <row r="683" spans="3:4" ht="15.75" customHeight="1" x14ac:dyDescent="0.2">
      <c r="C683" s="2"/>
      <c r="D683" s="154"/>
    </row>
    <row r="684" spans="3:4" ht="15.75" customHeight="1" x14ac:dyDescent="0.2">
      <c r="C684" s="2"/>
      <c r="D684" s="154"/>
    </row>
    <row r="685" spans="3:4" ht="15.75" customHeight="1" x14ac:dyDescent="0.2">
      <c r="C685" s="2"/>
      <c r="D685" s="154"/>
    </row>
    <row r="686" spans="3:4" ht="15.75" customHeight="1" x14ac:dyDescent="0.2">
      <c r="C686" s="2"/>
      <c r="D686" s="154"/>
    </row>
    <row r="687" spans="3:4" ht="15.75" customHeight="1" x14ac:dyDescent="0.2">
      <c r="C687" s="2"/>
      <c r="D687" s="154"/>
    </row>
    <row r="688" spans="3:4" ht="15.75" customHeight="1" x14ac:dyDescent="0.2">
      <c r="C688" s="2"/>
      <c r="D688" s="154"/>
    </row>
    <row r="689" spans="3:4" ht="15.75" customHeight="1" x14ac:dyDescent="0.2">
      <c r="C689" s="2"/>
      <c r="D689" s="154"/>
    </row>
    <row r="690" spans="3:4" ht="15.75" customHeight="1" x14ac:dyDescent="0.2">
      <c r="C690" s="2"/>
      <c r="D690" s="154"/>
    </row>
    <row r="691" spans="3:4" ht="15.75" customHeight="1" x14ac:dyDescent="0.2">
      <c r="C691" s="2"/>
      <c r="D691" s="154"/>
    </row>
    <row r="692" spans="3:4" ht="15.75" customHeight="1" x14ac:dyDescent="0.2">
      <c r="C692" s="2"/>
      <c r="D692" s="154"/>
    </row>
    <row r="693" spans="3:4" ht="15.75" customHeight="1" x14ac:dyDescent="0.2">
      <c r="C693" s="2"/>
      <c r="D693" s="154"/>
    </row>
    <row r="694" spans="3:4" ht="15.75" customHeight="1" x14ac:dyDescent="0.2">
      <c r="C694" s="2"/>
      <c r="D694" s="154"/>
    </row>
    <row r="695" spans="3:4" ht="15.75" customHeight="1" x14ac:dyDescent="0.2">
      <c r="C695" s="2"/>
      <c r="D695" s="154"/>
    </row>
    <row r="696" spans="3:4" ht="15.75" customHeight="1" x14ac:dyDescent="0.2">
      <c r="C696" s="2"/>
      <c r="D696" s="154"/>
    </row>
    <row r="697" spans="3:4" ht="15.75" customHeight="1" x14ac:dyDescent="0.2">
      <c r="C697" s="2"/>
      <c r="D697" s="154"/>
    </row>
    <row r="698" spans="3:4" ht="15.75" customHeight="1" x14ac:dyDescent="0.2">
      <c r="C698" s="2"/>
      <c r="D698" s="154"/>
    </row>
    <row r="699" spans="3:4" ht="15.75" customHeight="1" x14ac:dyDescent="0.2">
      <c r="C699" s="2"/>
      <c r="D699" s="154"/>
    </row>
    <row r="700" spans="3:4" ht="15.75" customHeight="1" x14ac:dyDescent="0.2">
      <c r="C700" s="2"/>
      <c r="D700" s="154"/>
    </row>
    <row r="701" spans="3:4" ht="15.75" customHeight="1" x14ac:dyDescent="0.2">
      <c r="C701" s="2"/>
      <c r="D701" s="154"/>
    </row>
    <row r="702" spans="3:4" ht="15.75" customHeight="1" x14ac:dyDescent="0.2">
      <c r="C702" s="2"/>
      <c r="D702" s="154"/>
    </row>
    <row r="703" spans="3:4" ht="15.75" customHeight="1" x14ac:dyDescent="0.2">
      <c r="C703" s="2"/>
      <c r="D703" s="154"/>
    </row>
    <row r="704" spans="3:4" ht="15.75" customHeight="1" x14ac:dyDescent="0.2">
      <c r="C704" s="2"/>
      <c r="D704" s="154"/>
    </row>
    <row r="705" spans="3:4" ht="15.75" customHeight="1" x14ac:dyDescent="0.2">
      <c r="C705" s="2"/>
      <c r="D705" s="154"/>
    </row>
    <row r="706" spans="3:4" ht="15.75" customHeight="1" x14ac:dyDescent="0.2">
      <c r="C706" s="2"/>
      <c r="D706" s="154"/>
    </row>
    <row r="707" spans="3:4" ht="15.75" customHeight="1" x14ac:dyDescent="0.2">
      <c r="C707" s="2"/>
      <c r="D707" s="154"/>
    </row>
    <row r="708" spans="3:4" ht="15.75" customHeight="1" x14ac:dyDescent="0.2">
      <c r="C708" s="2"/>
      <c r="D708" s="154"/>
    </row>
    <row r="709" spans="3:4" ht="15.75" customHeight="1" x14ac:dyDescent="0.2">
      <c r="C709" s="2"/>
      <c r="D709" s="154"/>
    </row>
    <row r="710" spans="3:4" ht="15.75" customHeight="1" x14ac:dyDescent="0.2">
      <c r="C710" s="2"/>
      <c r="D710" s="154"/>
    </row>
    <row r="711" spans="3:4" ht="15.75" customHeight="1" x14ac:dyDescent="0.2">
      <c r="C711" s="2"/>
      <c r="D711" s="154"/>
    </row>
    <row r="712" spans="3:4" ht="15.75" customHeight="1" x14ac:dyDescent="0.2">
      <c r="C712" s="2"/>
      <c r="D712" s="154"/>
    </row>
    <row r="713" spans="3:4" ht="15.75" customHeight="1" x14ac:dyDescent="0.2">
      <c r="C713" s="2"/>
      <c r="D713" s="154"/>
    </row>
    <row r="714" spans="3:4" ht="15.75" customHeight="1" x14ac:dyDescent="0.2">
      <c r="C714" s="2"/>
      <c r="D714" s="154"/>
    </row>
    <row r="715" spans="3:4" ht="15.75" customHeight="1" x14ac:dyDescent="0.2">
      <c r="C715" s="2"/>
      <c r="D715" s="154"/>
    </row>
    <row r="716" spans="3:4" ht="15.75" customHeight="1" x14ac:dyDescent="0.2">
      <c r="C716" s="2"/>
      <c r="D716" s="154"/>
    </row>
    <row r="717" spans="3:4" ht="15.75" customHeight="1" x14ac:dyDescent="0.2">
      <c r="C717" s="2"/>
      <c r="D717" s="154"/>
    </row>
    <row r="718" spans="3:4" ht="15.75" customHeight="1" x14ac:dyDescent="0.2">
      <c r="C718" s="2"/>
      <c r="D718" s="154"/>
    </row>
    <row r="719" spans="3:4" ht="15.75" customHeight="1" x14ac:dyDescent="0.2">
      <c r="C719" s="2"/>
      <c r="D719" s="154"/>
    </row>
    <row r="720" spans="3:4" ht="15.75" customHeight="1" x14ac:dyDescent="0.2">
      <c r="C720" s="2"/>
      <c r="D720" s="154"/>
    </row>
    <row r="721" spans="3:4" ht="15.75" customHeight="1" x14ac:dyDescent="0.2">
      <c r="C721" s="2"/>
      <c r="D721" s="154"/>
    </row>
    <row r="722" spans="3:4" ht="15.75" customHeight="1" x14ac:dyDescent="0.2">
      <c r="C722" s="2"/>
      <c r="D722" s="154"/>
    </row>
    <row r="723" spans="3:4" ht="15.75" customHeight="1" x14ac:dyDescent="0.2">
      <c r="C723" s="2"/>
      <c r="D723" s="154"/>
    </row>
    <row r="724" spans="3:4" ht="15.75" customHeight="1" x14ac:dyDescent="0.2">
      <c r="C724" s="2"/>
      <c r="D724" s="154"/>
    </row>
    <row r="725" spans="3:4" ht="15.75" customHeight="1" x14ac:dyDescent="0.2">
      <c r="C725" s="2"/>
      <c r="D725" s="154"/>
    </row>
    <row r="726" spans="3:4" ht="15.75" customHeight="1" x14ac:dyDescent="0.2">
      <c r="C726" s="2"/>
      <c r="D726" s="154"/>
    </row>
    <row r="727" spans="3:4" ht="15.75" customHeight="1" x14ac:dyDescent="0.2">
      <c r="C727" s="2"/>
      <c r="D727" s="154"/>
    </row>
    <row r="728" spans="3:4" ht="15.75" customHeight="1" x14ac:dyDescent="0.2">
      <c r="C728" s="2"/>
      <c r="D728" s="154"/>
    </row>
    <row r="729" spans="3:4" ht="15.75" customHeight="1" x14ac:dyDescent="0.2">
      <c r="C729" s="2"/>
      <c r="D729" s="154"/>
    </row>
    <row r="730" spans="3:4" ht="15.75" customHeight="1" x14ac:dyDescent="0.2">
      <c r="C730" s="2"/>
      <c r="D730" s="154"/>
    </row>
    <row r="731" spans="3:4" ht="15.75" customHeight="1" x14ac:dyDescent="0.2">
      <c r="C731" s="2"/>
      <c r="D731" s="154"/>
    </row>
    <row r="732" spans="3:4" ht="15.75" customHeight="1" x14ac:dyDescent="0.2">
      <c r="C732" s="2"/>
      <c r="D732" s="154"/>
    </row>
    <row r="733" spans="3:4" ht="15.75" customHeight="1" x14ac:dyDescent="0.2">
      <c r="C733" s="2"/>
      <c r="D733" s="154"/>
    </row>
    <row r="734" spans="3:4" ht="15.75" customHeight="1" x14ac:dyDescent="0.2">
      <c r="C734" s="2"/>
      <c r="D734" s="154"/>
    </row>
    <row r="735" spans="3:4" ht="15.75" customHeight="1" x14ac:dyDescent="0.2">
      <c r="C735" s="2"/>
      <c r="D735" s="154"/>
    </row>
    <row r="736" spans="3:4" ht="15.75" customHeight="1" x14ac:dyDescent="0.2">
      <c r="C736" s="2"/>
      <c r="D736" s="154"/>
    </row>
    <row r="737" spans="3:4" ht="15.75" customHeight="1" x14ac:dyDescent="0.2">
      <c r="C737" s="2"/>
      <c r="D737" s="154"/>
    </row>
    <row r="738" spans="3:4" ht="15.75" customHeight="1" x14ac:dyDescent="0.2">
      <c r="C738" s="2"/>
      <c r="D738" s="154"/>
    </row>
    <row r="739" spans="3:4" ht="15.75" customHeight="1" x14ac:dyDescent="0.2">
      <c r="C739" s="2"/>
      <c r="D739" s="154"/>
    </row>
    <row r="740" spans="3:4" ht="15.75" customHeight="1" x14ac:dyDescent="0.2">
      <c r="C740" s="2"/>
      <c r="D740" s="154"/>
    </row>
    <row r="741" spans="3:4" ht="15.75" customHeight="1" x14ac:dyDescent="0.2">
      <c r="C741" s="2"/>
      <c r="D741" s="154"/>
    </row>
    <row r="742" spans="3:4" ht="15.75" customHeight="1" x14ac:dyDescent="0.2">
      <c r="C742" s="2"/>
      <c r="D742" s="154"/>
    </row>
    <row r="743" spans="3:4" ht="15.75" customHeight="1" x14ac:dyDescent="0.2">
      <c r="C743" s="2"/>
      <c r="D743" s="154"/>
    </row>
    <row r="744" spans="3:4" ht="15.75" customHeight="1" x14ac:dyDescent="0.2">
      <c r="C744" s="2"/>
      <c r="D744" s="154"/>
    </row>
    <row r="745" spans="3:4" ht="15.75" customHeight="1" x14ac:dyDescent="0.2">
      <c r="C745" s="2"/>
      <c r="D745" s="154"/>
    </row>
    <row r="746" spans="3:4" ht="15.75" customHeight="1" x14ac:dyDescent="0.2">
      <c r="C746" s="2"/>
      <c r="D746" s="154"/>
    </row>
    <row r="747" spans="3:4" ht="15.75" customHeight="1" x14ac:dyDescent="0.2">
      <c r="C747" s="2"/>
      <c r="D747" s="154"/>
    </row>
    <row r="748" spans="3:4" ht="15.75" customHeight="1" x14ac:dyDescent="0.2">
      <c r="C748" s="2"/>
      <c r="D748" s="154"/>
    </row>
    <row r="749" spans="3:4" ht="15.75" customHeight="1" x14ac:dyDescent="0.2">
      <c r="C749" s="2"/>
      <c r="D749" s="154"/>
    </row>
    <row r="750" spans="3:4" ht="15.75" customHeight="1" x14ac:dyDescent="0.2">
      <c r="C750" s="2"/>
      <c r="D750" s="154"/>
    </row>
    <row r="751" spans="3:4" ht="15.75" customHeight="1" x14ac:dyDescent="0.2">
      <c r="C751" s="2"/>
      <c r="D751" s="154"/>
    </row>
    <row r="752" spans="3:4" ht="15.75" customHeight="1" x14ac:dyDescent="0.2">
      <c r="C752" s="2"/>
      <c r="D752" s="154"/>
    </row>
    <row r="753" spans="3:4" ht="15.75" customHeight="1" x14ac:dyDescent="0.2">
      <c r="C753" s="2"/>
      <c r="D753" s="154"/>
    </row>
    <row r="754" spans="3:4" ht="15.75" customHeight="1" x14ac:dyDescent="0.2">
      <c r="C754" s="2"/>
      <c r="D754" s="154"/>
    </row>
    <row r="755" spans="3:4" ht="15.75" customHeight="1" x14ac:dyDescent="0.2">
      <c r="C755" s="2"/>
      <c r="D755" s="154"/>
    </row>
    <row r="756" spans="3:4" ht="15.75" customHeight="1" x14ac:dyDescent="0.2">
      <c r="C756" s="2"/>
      <c r="D756" s="154"/>
    </row>
    <row r="757" spans="3:4" ht="15.75" customHeight="1" x14ac:dyDescent="0.2">
      <c r="C757" s="2"/>
      <c r="D757" s="154"/>
    </row>
    <row r="758" spans="3:4" ht="15.75" customHeight="1" x14ac:dyDescent="0.2">
      <c r="C758" s="2"/>
      <c r="D758" s="154"/>
    </row>
    <row r="759" spans="3:4" ht="15.75" customHeight="1" x14ac:dyDescent="0.2">
      <c r="C759" s="2"/>
      <c r="D759" s="154"/>
    </row>
    <row r="760" spans="3:4" ht="15.75" customHeight="1" x14ac:dyDescent="0.2">
      <c r="C760" s="2"/>
      <c r="D760" s="154"/>
    </row>
    <row r="761" spans="3:4" ht="15.75" customHeight="1" x14ac:dyDescent="0.2">
      <c r="C761" s="2"/>
      <c r="D761" s="154"/>
    </row>
    <row r="762" spans="3:4" ht="15.75" customHeight="1" x14ac:dyDescent="0.2">
      <c r="C762" s="2"/>
      <c r="D762" s="154"/>
    </row>
    <row r="763" spans="3:4" ht="15.75" customHeight="1" x14ac:dyDescent="0.2">
      <c r="C763" s="2"/>
      <c r="D763" s="154"/>
    </row>
    <row r="764" spans="3:4" ht="15.75" customHeight="1" x14ac:dyDescent="0.2">
      <c r="C764" s="2"/>
      <c r="D764" s="154"/>
    </row>
    <row r="765" spans="3:4" ht="15.75" customHeight="1" x14ac:dyDescent="0.2">
      <c r="C765" s="2"/>
      <c r="D765" s="154"/>
    </row>
    <row r="766" spans="3:4" ht="15.75" customHeight="1" x14ac:dyDescent="0.2">
      <c r="C766" s="2"/>
      <c r="D766" s="154"/>
    </row>
    <row r="767" spans="3:4" ht="15.75" customHeight="1" x14ac:dyDescent="0.2">
      <c r="C767" s="2"/>
      <c r="D767" s="154"/>
    </row>
    <row r="768" spans="3:4" ht="15.75" customHeight="1" x14ac:dyDescent="0.2">
      <c r="C768" s="2"/>
      <c r="D768" s="154"/>
    </row>
    <row r="769" spans="3:4" ht="15.75" customHeight="1" x14ac:dyDescent="0.2">
      <c r="C769" s="2"/>
      <c r="D769" s="154"/>
    </row>
    <row r="770" spans="3:4" ht="15.75" customHeight="1" x14ac:dyDescent="0.2">
      <c r="C770" s="2"/>
      <c r="D770" s="154"/>
    </row>
    <row r="771" spans="3:4" ht="15.75" customHeight="1" x14ac:dyDescent="0.2">
      <c r="C771" s="2"/>
      <c r="D771" s="154"/>
    </row>
    <row r="772" spans="3:4" ht="15.75" customHeight="1" x14ac:dyDescent="0.2">
      <c r="C772" s="2"/>
      <c r="D772" s="154"/>
    </row>
    <row r="773" spans="3:4" ht="15.75" customHeight="1" x14ac:dyDescent="0.2">
      <c r="C773" s="2"/>
      <c r="D773" s="154"/>
    </row>
    <row r="774" spans="3:4" ht="15.75" customHeight="1" x14ac:dyDescent="0.2">
      <c r="C774" s="2"/>
      <c r="D774" s="154"/>
    </row>
    <row r="775" spans="3:4" ht="15.75" customHeight="1" x14ac:dyDescent="0.2">
      <c r="C775" s="2"/>
      <c r="D775" s="154"/>
    </row>
    <row r="776" spans="3:4" ht="15.75" customHeight="1" x14ac:dyDescent="0.2">
      <c r="C776" s="2"/>
      <c r="D776" s="154"/>
    </row>
    <row r="777" spans="3:4" ht="15.75" customHeight="1" x14ac:dyDescent="0.2">
      <c r="C777" s="2"/>
      <c r="D777" s="154"/>
    </row>
    <row r="778" spans="3:4" ht="15.75" customHeight="1" x14ac:dyDescent="0.2">
      <c r="C778" s="2"/>
      <c r="D778" s="154"/>
    </row>
    <row r="779" spans="3:4" ht="15.75" customHeight="1" x14ac:dyDescent="0.2">
      <c r="C779" s="2"/>
      <c r="D779" s="154"/>
    </row>
    <row r="780" spans="3:4" ht="15.75" customHeight="1" x14ac:dyDescent="0.2">
      <c r="C780" s="2"/>
      <c r="D780" s="154"/>
    </row>
    <row r="781" spans="3:4" ht="15.75" customHeight="1" x14ac:dyDescent="0.2">
      <c r="C781" s="2"/>
      <c r="D781" s="154"/>
    </row>
    <row r="782" spans="3:4" ht="15.75" customHeight="1" x14ac:dyDescent="0.2">
      <c r="C782" s="2"/>
      <c r="D782" s="154"/>
    </row>
    <row r="783" spans="3:4" ht="15.75" customHeight="1" x14ac:dyDescent="0.2">
      <c r="C783" s="2"/>
      <c r="D783" s="154"/>
    </row>
    <row r="784" spans="3:4" ht="15.75" customHeight="1" x14ac:dyDescent="0.2">
      <c r="C784" s="2"/>
      <c r="D784" s="154"/>
    </row>
    <row r="785" spans="3:4" ht="15.75" customHeight="1" x14ac:dyDescent="0.2">
      <c r="C785" s="2"/>
      <c r="D785" s="154"/>
    </row>
    <row r="786" spans="3:4" ht="15.75" customHeight="1" x14ac:dyDescent="0.2">
      <c r="C786" s="2"/>
      <c r="D786" s="154"/>
    </row>
    <row r="787" spans="3:4" ht="15.75" customHeight="1" x14ac:dyDescent="0.2">
      <c r="C787" s="2"/>
      <c r="D787" s="154"/>
    </row>
    <row r="788" spans="3:4" ht="15.75" customHeight="1" x14ac:dyDescent="0.2">
      <c r="C788" s="2"/>
      <c r="D788" s="154"/>
    </row>
    <row r="789" spans="3:4" ht="15.75" customHeight="1" x14ac:dyDescent="0.2">
      <c r="C789" s="2"/>
      <c r="D789" s="154"/>
    </row>
    <row r="790" spans="3:4" ht="15.75" customHeight="1" x14ac:dyDescent="0.2">
      <c r="C790" s="2"/>
      <c r="D790" s="154"/>
    </row>
    <row r="791" spans="3:4" ht="15.75" customHeight="1" x14ac:dyDescent="0.2">
      <c r="C791" s="2"/>
      <c r="D791" s="154"/>
    </row>
    <row r="792" spans="3:4" ht="15.75" customHeight="1" x14ac:dyDescent="0.2">
      <c r="C792" s="2"/>
      <c r="D792" s="154"/>
    </row>
    <row r="793" spans="3:4" ht="15.75" customHeight="1" x14ac:dyDescent="0.2">
      <c r="C793" s="2"/>
      <c r="D793" s="154"/>
    </row>
    <row r="794" spans="3:4" ht="15.75" customHeight="1" x14ac:dyDescent="0.2">
      <c r="C794" s="2"/>
      <c r="D794" s="154"/>
    </row>
    <row r="795" spans="3:4" ht="15.75" customHeight="1" x14ac:dyDescent="0.2">
      <c r="C795" s="2"/>
      <c r="D795" s="154"/>
    </row>
    <row r="796" spans="3:4" ht="15.75" customHeight="1" x14ac:dyDescent="0.2">
      <c r="C796" s="2"/>
      <c r="D796" s="154"/>
    </row>
    <row r="797" spans="3:4" ht="15.75" customHeight="1" x14ac:dyDescent="0.2">
      <c r="C797" s="2"/>
      <c r="D797" s="154"/>
    </row>
    <row r="798" spans="3:4" ht="15.75" customHeight="1" x14ac:dyDescent="0.2">
      <c r="C798" s="2"/>
      <c r="D798" s="154"/>
    </row>
    <row r="799" spans="3:4" ht="15.75" customHeight="1" x14ac:dyDescent="0.2">
      <c r="C799" s="2"/>
      <c r="D799" s="154"/>
    </row>
    <row r="800" spans="3:4" ht="15.75" customHeight="1" x14ac:dyDescent="0.2">
      <c r="C800" s="2"/>
      <c r="D800" s="154"/>
    </row>
    <row r="801" spans="3:4" ht="15.75" customHeight="1" x14ac:dyDescent="0.2">
      <c r="C801" s="2"/>
      <c r="D801" s="154"/>
    </row>
    <row r="802" spans="3:4" ht="15.75" customHeight="1" x14ac:dyDescent="0.2">
      <c r="C802" s="2"/>
      <c r="D802" s="154"/>
    </row>
    <row r="803" spans="3:4" ht="15.75" customHeight="1" x14ac:dyDescent="0.2">
      <c r="C803" s="2"/>
      <c r="D803" s="154"/>
    </row>
    <row r="804" spans="3:4" ht="15.75" customHeight="1" x14ac:dyDescent="0.2">
      <c r="C804" s="2"/>
      <c r="D804" s="154"/>
    </row>
    <row r="805" spans="3:4" ht="15.75" customHeight="1" x14ac:dyDescent="0.2">
      <c r="C805" s="2"/>
      <c r="D805" s="154"/>
    </row>
    <row r="806" spans="3:4" ht="15.75" customHeight="1" x14ac:dyDescent="0.2">
      <c r="C806" s="2"/>
      <c r="D806" s="154"/>
    </row>
    <row r="807" spans="3:4" ht="15.75" customHeight="1" x14ac:dyDescent="0.2">
      <c r="C807" s="2"/>
      <c r="D807" s="154"/>
    </row>
    <row r="808" spans="3:4" ht="15.75" customHeight="1" x14ac:dyDescent="0.2">
      <c r="C808" s="2"/>
      <c r="D808" s="154"/>
    </row>
    <row r="809" spans="3:4" ht="15.75" customHeight="1" x14ac:dyDescent="0.2">
      <c r="C809" s="2"/>
      <c r="D809" s="154"/>
    </row>
    <row r="810" spans="3:4" ht="15.75" customHeight="1" x14ac:dyDescent="0.2">
      <c r="C810" s="2"/>
      <c r="D810" s="154"/>
    </row>
    <row r="811" spans="3:4" ht="15.75" customHeight="1" x14ac:dyDescent="0.2">
      <c r="C811" s="2"/>
      <c r="D811" s="154"/>
    </row>
    <row r="812" spans="3:4" ht="15.75" customHeight="1" x14ac:dyDescent="0.2">
      <c r="C812" s="2"/>
      <c r="D812" s="154"/>
    </row>
    <row r="813" spans="3:4" ht="15.75" customHeight="1" x14ac:dyDescent="0.2">
      <c r="C813" s="2"/>
      <c r="D813" s="154"/>
    </row>
    <row r="814" spans="3:4" ht="15.75" customHeight="1" x14ac:dyDescent="0.2">
      <c r="C814" s="2"/>
      <c r="D814" s="154"/>
    </row>
    <row r="815" spans="3:4" ht="15.75" customHeight="1" x14ac:dyDescent="0.2">
      <c r="C815" s="2"/>
      <c r="D815" s="154"/>
    </row>
    <row r="816" spans="3:4" ht="15.75" customHeight="1" x14ac:dyDescent="0.2">
      <c r="C816" s="2"/>
      <c r="D816" s="154"/>
    </row>
    <row r="817" spans="3:4" ht="15.75" customHeight="1" x14ac:dyDescent="0.2">
      <c r="C817" s="2"/>
      <c r="D817" s="154"/>
    </row>
    <row r="818" spans="3:4" ht="15.75" customHeight="1" x14ac:dyDescent="0.2">
      <c r="C818" s="2"/>
      <c r="D818" s="154"/>
    </row>
    <row r="819" spans="3:4" ht="15.75" customHeight="1" x14ac:dyDescent="0.2">
      <c r="C819" s="2"/>
      <c r="D819" s="154"/>
    </row>
    <row r="820" spans="3:4" ht="15.75" customHeight="1" x14ac:dyDescent="0.2">
      <c r="C820" s="2"/>
      <c r="D820" s="154"/>
    </row>
    <row r="821" spans="3:4" ht="15.75" customHeight="1" x14ac:dyDescent="0.2">
      <c r="C821" s="2"/>
      <c r="D821" s="154"/>
    </row>
    <row r="822" spans="3:4" ht="15.75" customHeight="1" x14ac:dyDescent="0.2">
      <c r="C822" s="2"/>
      <c r="D822" s="154"/>
    </row>
    <row r="823" spans="3:4" ht="15.75" customHeight="1" x14ac:dyDescent="0.2">
      <c r="C823" s="2"/>
      <c r="D823" s="154"/>
    </row>
    <row r="824" spans="3:4" ht="15.75" customHeight="1" x14ac:dyDescent="0.2">
      <c r="C824" s="2"/>
      <c r="D824" s="154"/>
    </row>
    <row r="825" spans="3:4" ht="15.75" customHeight="1" x14ac:dyDescent="0.2">
      <c r="C825" s="2"/>
      <c r="D825" s="154"/>
    </row>
    <row r="826" spans="3:4" ht="15.75" customHeight="1" x14ac:dyDescent="0.2">
      <c r="C826" s="2"/>
      <c r="D826" s="154"/>
    </row>
    <row r="827" spans="3:4" ht="15.75" customHeight="1" x14ac:dyDescent="0.2">
      <c r="C827" s="2"/>
      <c r="D827" s="154"/>
    </row>
    <row r="828" spans="3:4" ht="15.75" customHeight="1" x14ac:dyDescent="0.2">
      <c r="C828" s="2"/>
      <c r="D828" s="154"/>
    </row>
    <row r="829" spans="3:4" ht="15.75" customHeight="1" x14ac:dyDescent="0.2">
      <c r="C829" s="2"/>
      <c r="D829" s="154"/>
    </row>
    <row r="830" spans="3:4" ht="15.75" customHeight="1" x14ac:dyDescent="0.2">
      <c r="C830" s="2"/>
      <c r="D830" s="154"/>
    </row>
    <row r="831" spans="3:4" ht="15.75" customHeight="1" x14ac:dyDescent="0.2">
      <c r="C831" s="2"/>
      <c r="D831" s="154"/>
    </row>
    <row r="832" spans="3:4" ht="15.75" customHeight="1" x14ac:dyDescent="0.2">
      <c r="C832" s="2"/>
      <c r="D832" s="154"/>
    </row>
    <row r="833" spans="3:4" ht="15.75" customHeight="1" x14ac:dyDescent="0.2">
      <c r="C833" s="2"/>
      <c r="D833" s="154"/>
    </row>
    <row r="834" spans="3:4" ht="15.75" customHeight="1" x14ac:dyDescent="0.2">
      <c r="C834" s="2"/>
      <c r="D834" s="154"/>
    </row>
    <row r="835" spans="3:4" ht="15.75" customHeight="1" x14ac:dyDescent="0.2">
      <c r="C835" s="2"/>
      <c r="D835" s="154"/>
    </row>
    <row r="836" spans="3:4" ht="15.75" customHeight="1" x14ac:dyDescent="0.2">
      <c r="C836" s="2"/>
      <c r="D836" s="154"/>
    </row>
    <row r="837" spans="3:4" ht="15.75" customHeight="1" x14ac:dyDescent="0.2">
      <c r="C837" s="2"/>
      <c r="D837" s="154"/>
    </row>
    <row r="838" spans="3:4" ht="15.75" customHeight="1" x14ac:dyDescent="0.2">
      <c r="C838" s="2"/>
      <c r="D838" s="154"/>
    </row>
    <row r="839" spans="3:4" ht="15.75" customHeight="1" x14ac:dyDescent="0.2">
      <c r="C839" s="2"/>
      <c r="D839" s="154"/>
    </row>
    <row r="840" spans="3:4" ht="15.75" customHeight="1" x14ac:dyDescent="0.2">
      <c r="C840" s="2"/>
      <c r="D840" s="154"/>
    </row>
    <row r="841" spans="3:4" ht="15.75" customHeight="1" x14ac:dyDescent="0.2">
      <c r="C841" s="2"/>
      <c r="D841" s="154"/>
    </row>
    <row r="842" spans="3:4" ht="15.75" customHeight="1" x14ac:dyDescent="0.2">
      <c r="C842" s="2"/>
      <c r="D842" s="154"/>
    </row>
    <row r="843" spans="3:4" ht="15.75" customHeight="1" x14ac:dyDescent="0.2">
      <c r="C843" s="2"/>
      <c r="D843" s="154"/>
    </row>
    <row r="844" spans="3:4" ht="15.75" customHeight="1" x14ac:dyDescent="0.2">
      <c r="C844" s="2"/>
      <c r="D844" s="154"/>
    </row>
    <row r="845" spans="3:4" ht="15.75" customHeight="1" x14ac:dyDescent="0.2">
      <c r="C845" s="2"/>
      <c r="D845" s="154"/>
    </row>
    <row r="846" spans="3:4" ht="15.75" customHeight="1" x14ac:dyDescent="0.2">
      <c r="C846" s="2"/>
      <c r="D846" s="154"/>
    </row>
    <row r="847" spans="3:4" ht="15.75" customHeight="1" x14ac:dyDescent="0.2">
      <c r="C847" s="2"/>
      <c r="D847" s="154"/>
    </row>
    <row r="848" spans="3:4" ht="15.75" customHeight="1" x14ac:dyDescent="0.2">
      <c r="C848" s="2"/>
      <c r="D848" s="154"/>
    </row>
    <row r="849" spans="3:4" ht="15.75" customHeight="1" x14ac:dyDescent="0.2">
      <c r="C849" s="2"/>
      <c r="D849" s="154"/>
    </row>
    <row r="850" spans="3:4" ht="15.75" customHeight="1" x14ac:dyDescent="0.2">
      <c r="C850" s="2"/>
      <c r="D850" s="154"/>
    </row>
    <row r="851" spans="3:4" ht="15.75" customHeight="1" x14ac:dyDescent="0.2">
      <c r="C851" s="2"/>
      <c r="D851" s="154"/>
    </row>
    <row r="852" spans="3:4" ht="15.75" customHeight="1" x14ac:dyDescent="0.2">
      <c r="C852" s="2"/>
      <c r="D852" s="154"/>
    </row>
    <row r="853" spans="3:4" ht="15.75" customHeight="1" x14ac:dyDescent="0.2">
      <c r="C853" s="2"/>
      <c r="D853" s="154"/>
    </row>
    <row r="854" spans="3:4" ht="15.75" customHeight="1" x14ac:dyDescent="0.2">
      <c r="C854" s="2"/>
      <c r="D854" s="154"/>
    </row>
    <row r="855" spans="3:4" ht="15.75" customHeight="1" x14ac:dyDescent="0.2">
      <c r="C855" s="2"/>
      <c r="D855" s="154"/>
    </row>
    <row r="856" spans="3:4" ht="15.75" customHeight="1" x14ac:dyDescent="0.2">
      <c r="C856" s="2"/>
      <c r="D856" s="154"/>
    </row>
    <row r="857" spans="3:4" ht="15.75" customHeight="1" x14ac:dyDescent="0.2">
      <c r="C857" s="2"/>
      <c r="D857" s="154"/>
    </row>
    <row r="858" spans="3:4" ht="15.75" customHeight="1" x14ac:dyDescent="0.2">
      <c r="C858" s="2"/>
      <c r="D858" s="154"/>
    </row>
    <row r="859" spans="3:4" ht="15.75" customHeight="1" x14ac:dyDescent="0.2">
      <c r="C859" s="2"/>
      <c r="D859" s="154"/>
    </row>
    <row r="860" spans="3:4" ht="15.75" customHeight="1" x14ac:dyDescent="0.2">
      <c r="C860" s="2"/>
      <c r="D860" s="154"/>
    </row>
    <row r="861" spans="3:4" ht="15.75" customHeight="1" x14ac:dyDescent="0.2">
      <c r="C861" s="2"/>
      <c r="D861" s="154"/>
    </row>
    <row r="862" spans="3:4" ht="15.75" customHeight="1" x14ac:dyDescent="0.2">
      <c r="C862" s="2"/>
      <c r="D862" s="154"/>
    </row>
    <row r="863" spans="3:4" ht="15.75" customHeight="1" x14ac:dyDescent="0.2">
      <c r="C863" s="2"/>
      <c r="D863" s="154"/>
    </row>
    <row r="864" spans="3:4" ht="15.75" customHeight="1" x14ac:dyDescent="0.2">
      <c r="C864" s="2"/>
      <c r="D864" s="154"/>
    </row>
    <row r="865" spans="3:4" ht="15.75" customHeight="1" x14ac:dyDescent="0.2">
      <c r="C865" s="2"/>
      <c r="D865" s="154"/>
    </row>
    <row r="866" spans="3:4" ht="15.75" customHeight="1" x14ac:dyDescent="0.2">
      <c r="C866" s="2"/>
      <c r="D866" s="154"/>
    </row>
    <row r="867" spans="3:4" ht="15.75" customHeight="1" x14ac:dyDescent="0.2">
      <c r="C867" s="2"/>
      <c r="D867" s="154"/>
    </row>
    <row r="868" spans="3:4" ht="15.75" customHeight="1" x14ac:dyDescent="0.2">
      <c r="C868" s="2"/>
      <c r="D868" s="154"/>
    </row>
    <row r="869" spans="3:4" ht="15.75" customHeight="1" x14ac:dyDescent="0.2">
      <c r="C869" s="2"/>
      <c r="D869" s="154"/>
    </row>
    <row r="870" spans="3:4" ht="15.75" customHeight="1" x14ac:dyDescent="0.2">
      <c r="C870" s="2"/>
      <c r="D870" s="154"/>
    </row>
    <row r="871" spans="3:4" ht="15.75" customHeight="1" x14ac:dyDescent="0.2">
      <c r="C871" s="2"/>
      <c r="D871" s="154"/>
    </row>
    <row r="872" spans="3:4" ht="15.75" customHeight="1" x14ac:dyDescent="0.2">
      <c r="C872" s="2"/>
      <c r="D872" s="154"/>
    </row>
    <row r="873" spans="3:4" ht="15.75" customHeight="1" x14ac:dyDescent="0.2">
      <c r="C873" s="2"/>
      <c r="D873" s="154"/>
    </row>
    <row r="874" spans="3:4" ht="15.75" customHeight="1" x14ac:dyDescent="0.2">
      <c r="C874" s="2"/>
      <c r="D874" s="154"/>
    </row>
    <row r="875" spans="3:4" ht="15.75" customHeight="1" x14ac:dyDescent="0.2">
      <c r="C875" s="2"/>
      <c r="D875" s="154"/>
    </row>
    <row r="876" spans="3:4" ht="15.75" customHeight="1" x14ac:dyDescent="0.2">
      <c r="C876" s="2"/>
      <c r="D876" s="154"/>
    </row>
    <row r="877" spans="3:4" ht="15.75" customHeight="1" x14ac:dyDescent="0.2">
      <c r="C877" s="2"/>
      <c r="D877" s="154"/>
    </row>
    <row r="878" spans="3:4" ht="15.75" customHeight="1" x14ac:dyDescent="0.2">
      <c r="C878" s="2"/>
      <c r="D878" s="154"/>
    </row>
    <row r="879" spans="3:4" ht="15.75" customHeight="1" x14ac:dyDescent="0.2">
      <c r="C879" s="2"/>
      <c r="D879" s="154"/>
    </row>
    <row r="880" spans="3:4" ht="15.75" customHeight="1" x14ac:dyDescent="0.2">
      <c r="C880" s="2"/>
      <c r="D880" s="154"/>
    </row>
    <row r="881" spans="3:4" ht="15.75" customHeight="1" x14ac:dyDescent="0.2">
      <c r="C881" s="2"/>
      <c r="D881" s="154"/>
    </row>
    <row r="882" spans="3:4" ht="15.75" customHeight="1" x14ac:dyDescent="0.2">
      <c r="C882" s="2"/>
      <c r="D882" s="154"/>
    </row>
    <row r="883" spans="3:4" ht="15.75" customHeight="1" x14ac:dyDescent="0.2">
      <c r="C883" s="2"/>
      <c r="D883" s="154"/>
    </row>
    <row r="884" spans="3:4" ht="15.75" customHeight="1" x14ac:dyDescent="0.2">
      <c r="C884" s="2"/>
      <c r="D884" s="154"/>
    </row>
    <row r="885" spans="3:4" ht="15.75" customHeight="1" x14ac:dyDescent="0.2">
      <c r="C885" s="2"/>
      <c r="D885" s="154"/>
    </row>
    <row r="886" spans="3:4" ht="15.75" customHeight="1" x14ac:dyDescent="0.2">
      <c r="C886" s="2"/>
      <c r="D886" s="154"/>
    </row>
    <row r="887" spans="3:4" ht="15.75" customHeight="1" x14ac:dyDescent="0.2">
      <c r="C887" s="2"/>
      <c r="D887" s="154"/>
    </row>
    <row r="888" spans="3:4" ht="15.75" customHeight="1" x14ac:dyDescent="0.2">
      <c r="C888" s="2"/>
      <c r="D888" s="154"/>
    </row>
    <row r="889" spans="3:4" ht="15.75" customHeight="1" x14ac:dyDescent="0.2">
      <c r="C889" s="2"/>
      <c r="D889" s="154"/>
    </row>
    <row r="890" spans="3:4" ht="15.75" customHeight="1" x14ac:dyDescent="0.2">
      <c r="C890" s="2"/>
      <c r="D890" s="154"/>
    </row>
    <row r="891" spans="3:4" ht="15.75" customHeight="1" x14ac:dyDescent="0.2">
      <c r="C891" s="2"/>
      <c r="D891" s="154"/>
    </row>
    <row r="892" spans="3:4" ht="15.75" customHeight="1" x14ac:dyDescent="0.2">
      <c r="C892" s="2"/>
      <c r="D892" s="154"/>
    </row>
    <row r="893" spans="3:4" ht="15.75" customHeight="1" x14ac:dyDescent="0.2">
      <c r="C893" s="2"/>
      <c r="D893" s="154"/>
    </row>
    <row r="894" spans="3:4" ht="15.75" customHeight="1" x14ac:dyDescent="0.2">
      <c r="C894" s="2"/>
      <c r="D894" s="154"/>
    </row>
    <row r="895" spans="3:4" ht="15.75" customHeight="1" x14ac:dyDescent="0.2">
      <c r="C895" s="2"/>
      <c r="D895" s="154"/>
    </row>
    <row r="896" spans="3:4" ht="15.75" customHeight="1" x14ac:dyDescent="0.2">
      <c r="C896" s="2"/>
      <c r="D896" s="154"/>
    </row>
    <row r="897" spans="3:4" ht="15.75" customHeight="1" x14ac:dyDescent="0.2">
      <c r="C897" s="2"/>
      <c r="D897" s="154"/>
    </row>
    <row r="898" spans="3:4" ht="15.75" customHeight="1" x14ac:dyDescent="0.2">
      <c r="C898" s="2"/>
      <c r="D898" s="154"/>
    </row>
    <row r="899" spans="3:4" ht="15.75" customHeight="1" x14ac:dyDescent="0.2">
      <c r="C899" s="2"/>
      <c r="D899" s="154"/>
    </row>
    <row r="900" spans="3:4" ht="15.75" customHeight="1" x14ac:dyDescent="0.2">
      <c r="C900" s="2"/>
      <c r="D900" s="154"/>
    </row>
    <row r="901" spans="3:4" ht="15.75" customHeight="1" x14ac:dyDescent="0.2">
      <c r="C901" s="2"/>
      <c r="D901" s="154"/>
    </row>
    <row r="902" spans="3:4" ht="15.75" customHeight="1" x14ac:dyDescent="0.2">
      <c r="C902" s="2"/>
      <c r="D902" s="154"/>
    </row>
    <row r="903" spans="3:4" ht="15.75" customHeight="1" x14ac:dyDescent="0.2">
      <c r="C903" s="2"/>
      <c r="D903" s="154"/>
    </row>
    <row r="904" spans="3:4" ht="15.75" customHeight="1" x14ac:dyDescent="0.2">
      <c r="C904" s="2"/>
      <c r="D904" s="154"/>
    </row>
    <row r="905" spans="3:4" ht="15.75" customHeight="1" x14ac:dyDescent="0.2">
      <c r="C905" s="2"/>
      <c r="D905" s="154"/>
    </row>
    <row r="906" spans="3:4" ht="15.75" customHeight="1" x14ac:dyDescent="0.2">
      <c r="C906" s="2"/>
      <c r="D906" s="154"/>
    </row>
    <row r="907" spans="3:4" ht="15.75" customHeight="1" x14ac:dyDescent="0.2">
      <c r="C907" s="2"/>
      <c r="D907" s="154"/>
    </row>
    <row r="908" spans="3:4" ht="15.75" customHeight="1" x14ac:dyDescent="0.2">
      <c r="C908" s="2"/>
      <c r="D908" s="154"/>
    </row>
    <row r="909" spans="3:4" ht="15.75" customHeight="1" x14ac:dyDescent="0.2">
      <c r="C909" s="2"/>
      <c r="D909" s="154"/>
    </row>
    <row r="910" spans="3:4" ht="15.75" customHeight="1" x14ac:dyDescent="0.2">
      <c r="C910" s="2"/>
      <c r="D910" s="154"/>
    </row>
    <row r="911" spans="3:4" ht="15.75" customHeight="1" x14ac:dyDescent="0.2">
      <c r="C911" s="2"/>
      <c r="D911" s="154"/>
    </row>
    <row r="912" spans="3:4" ht="15.75" customHeight="1" x14ac:dyDescent="0.2">
      <c r="C912" s="2"/>
      <c r="D912" s="154"/>
    </row>
    <row r="913" spans="3:4" ht="15.75" customHeight="1" x14ac:dyDescent="0.2">
      <c r="C913" s="2"/>
      <c r="D913" s="154"/>
    </row>
    <row r="914" spans="3:4" ht="15.75" customHeight="1" x14ac:dyDescent="0.2">
      <c r="C914" s="2"/>
      <c r="D914" s="154"/>
    </row>
    <row r="915" spans="3:4" ht="15.75" customHeight="1" x14ac:dyDescent="0.2">
      <c r="C915" s="2"/>
      <c r="D915" s="154"/>
    </row>
    <row r="916" spans="3:4" ht="15.75" customHeight="1" x14ac:dyDescent="0.2">
      <c r="C916" s="2"/>
      <c r="D916" s="154"/>
    </row>
    <row r="917" spans="3:4" ht="15.75" customHeight="1" x14ac:dyDescent="0.2">
      <c r="C917" s="2"/>
      <c r="D917" s="154"/>
    </row>
    <row r="918" spans="3:4" ht="15.75" customHeight="1" x14ac:dyDescent="0.2">
      <c r="C918" s="2"/>
      <c r="D918" s="154"/>
    </row>
    <row r="919" spans="3:4" ht="15.75" customHeight="1" x14ac:dyDescent="0.2">
      <c r="C919" s="2"/>
      <c r="D919" s="154"/>
    </row>
    <row r="920" spans="3:4" ht="15.75" customHeight="1" x14ac:dyDescent="0.2">
      <c r="C920" s="2"/>
      <c r="D920" s="154"/>
    </row>
    <row r="921" spans="3:4" ht="15.75" customHeight="1" x14ac:dyDescent="0.2">
      <c r="C921" s="2"/>
      <c r="D921" s="154"/>
    </row>
    <row r="922" spans="3:4" ht="15.75" customHeight="1" x14ac:dyDescent="0.2">
      <c r="C922" s="2"/>
      <c r="D922" s="154"/>
    </row>
    <row r="923" spans="3:4" ht="15.75" customHeight="1" x14ac:dyDescent="0.2">
      <c r="C923" s="2"/>
      <c r="D923" s="154"/>
    </row>
    <row r="924" spans="3:4" ht="15.75" customHeight="1" x14ac:dyDescent="0.2">
      <c r="C924" s="2"/>
      <c r="D924" s="154"/>
    </row>
    <row r="925" spans="3:4" ht="15.75" customHeight="1" x14ac:dyDescent="0.2">
      <c r="C925" s="2"/>
      <c r="D925" s="154"/>
    </row>
    <row r="926" spans="3:4" ht="15.75" customHeight="1" x14ac:dyDescent="0.2">
      <c r="C926" s="2"/>
      <c r="D926" s="154"/>
    </row>
    <row r="927" spans="3:4" ht="15.75" customHeight="1" x14ac:dyDescent="0.2">
      <c r="C927" s="2"/>
      <c r="D927" s="154"/>
    </row>
    <row r="928" spans="3:4" ht="15.75" customHeight="1" x14ac:dyDescent="0.2">
      <c r="C928" s="2"/>
      <c r="D928" s="154"/>
    </row>
    <row r="929" spans="3:4" ht="15.75" customHeight="1" x14ac:dyDescent="0.2">
      <c r="C929" s="2"/>
      <c r="D929" s="154"/>
    </row>
    <row r="930" spans="3:4" ht="15.75" customHeight="1" x14ac:dyDescent="0.2">
      <c r="C930" s="2"/>
      <c r="D930" s="154"/>
    </row>
    <row r="931" spans="3:4" ht="15.75" customHeight="1" x14ac:dyDescent="0.2">
      <c r="C931" s="2"/>
      <c r="D931" s="154"/>
    </row>
    <row r="932" spans="3:4" ht="15.75" customHeight="1" x14ac:dyDescent="0.2">
      <c r="C932" s="2"/>
      <c r="D932" s="154"/>
    </row>
    <row r="933" spans="3:4" ht="15.75" customHeight="1" x14ac:dyDescent="0.2">
      <c r="C933" s="2"/>
      <c r="D933" s="154"/>
    </row>
    <row r="934" spans="3:4" ht="15.75" customHeight="1" x14ac:dyDescent="0.2">
      <c r="C934" s="2"/>
      <c r="D934" s="154"/>
    </row>
    <row r="935" spans="3:4" ht="15.75" customHeight="1" x14ac:dyDescent="0.2">
      <c r="C935" s="2"/>
      <c r="D935" s="154"/>
    </row>
    <row r="936" spans="3:4" ht="15.75" customHeight="1" x14ac:dyDescent="0.2">
      <c r="C936" s="2"/>
      <c r="D936" s="154"/>
    </row>
    <row r="937" spans="3:4" ht="15.75" customHeight="1" x14ac:dyDescent="0.2">
      <c r="C937" s="2"/>
      <c r="D937" s="154"/>
    </row>
    <row r="938" spans="3:4" ht="15.75" customHeight="1" x14ac:dyDescent="0.2">
      <c r="C938" s="2"/>
      <c r="D938" s="154"/>
    </row>
    <row r="939" spans="3:4" ht="15.75" customHeight="1" x14ac:dyDescent="0.2">
      <c r="C939" s="2"/>
      <c r="D939" s="154"/>
    </row>
    <row r="940" spans="3:4" ht="15.75" customHeight="1" x14ac:dyDescent="0.2">
      <c r="C940" s="2"/>
      <c r="D940" s="154"/>
    </row>
    <row r="941" spans="3:4" ht="15.75" customHeight="1" x14ac:dyDescent="0.2">
      <c r="C941" s="2"/>
      <c r="D941" s="154"/>
    </row>
    <row r="942" spans="3:4" ht="15.75" customHeight="1" x14ac:dyDescent="0.2">
      <c r="C942" s="2"/>
      <c r="D942" s="154"/>
    </row>
    <row r="943" spans="3:4" ht="15.75" customHeight="1" x14ac:dyDescent="0.2">
      <c r="C943" s="2"/>
      <c r="D943" s="154"/>
    </row>
    <row r="944" spans="3:4" ht="15.75" customHeight="1" x14ac:dyDescent="0.2">
      <c r="C944" s="2"/>
      <c r="D944" s="154"/>
    </row>
    <row r="945" spans="3:4" ht="15.75" customHeight="1" x14ac:dyDescent="0.2">
      <c r="C945" s="2"/>
      <c r="D945" s="154"/>
    </row>
    <row r="946" spans="3:4" ht="15.75" customHeight="1" x14ac:dyDescent="0.2">
      <c r="C946" s="2"/>
      <c r="D946" s="154"/>
    </row>
    <row r="947" spans="3:4" ht="15.75" customHeight="1" x14ac:dyDescent="0.2">
      <c r="C947" s="2"/>
      <c r="D947" s="154"/>
    </row>
    <row r="948" spans="3:4" ht="15.75" customHeight="1" x14ac:dyDescent="0.2">
      <c r="C948" s="2"/>
      <c r="D948" s="154"/>
    </row>
    <row r="949" spans="3:4" ht="15.75" customHeight="1" x14ac:dyDescent="0.2">
      <c r="C949" s="2"/>
      <c r="D949" s="154"/>
    </row>
    <row r="950" spans="3:4" ht="15.75" customHeight="1" x14ac:dyDescent="0.2">
      <c r="C950" s="2"/>
      <c r="D950" s="154"/>
    </row>
    <row r="951" spans="3:4" ht="15.75" customHeight="1" x14ac:dyDescent="0.2">
      <c r="C951" s="2"/>
      <c r="D951" s="154"/>
    </row>
    <row r="952" spans="3:4" ht="15.75" customHeight="1" x14ac:dyDescent="0.2">
      <c r="C952" s="2"/>
      <c r="D952" s="154"/>
    </row>
    <row r="953" spans="3:4" ht="15.75" customHeight="1" x14ac:dyDescent="0.2">
      <c r="C953" s="2"/>
      <c r="D953" s="154"/>
    </row>
    <row r="954" spans="3:4" ht="15.75" customHeight="1" x14ac:dyDescent="0.2">
      <c r="C954" s="2"/>
      <c r="D954" s="154"/>
    </row>
    <row r="955" spans="3:4" ht="15.75" customHeight="1" x14ac:dyDescent="0.2">
      <c r="C955" s="2"/>
      <c r="D955" s="154"/>
    </row>
    <row r="956" spans="3:4" ht="15.75" customHeight="1" x14ac:dyDescent="0.2">
      <c r="C956" s="2"/>
      <c r="D956" s="154"/>
    </row>
    <row r="957" spans="3:4" ht="15.75" customHeight="1" x14ac:dyDescent="0.2">
      <c r="C957" s="2"/>
      <c r="D957" s="154"/>
    </row>
    <row r="958" spans="3:4" ht="15.75" customHeight="1" x14ac:dyDescent="0.2">
      <c r="C958" s="2"/>
      <c r="D958" s="154"/>
    </row>
    <row r="959" spans="3:4" ht="15.75" customHeight="1" x14ac:dyDescent="0.2">
      <c r="C959" s="2"/>
      <c r="D959" s="154"/>
    </row>
    <row r="960" spans="3:4" ht="15.75" customHeight="1" x14ac:dyDescent="0.2">
      <c r="C960" s="2"/>
      <c r="D960" s="154"/>
    </row>
    <row r="961" spans="3:4" ht="15.75" customHeight="1" x14ac:dyDescent="0.2">
      <c r="C961" s="2"/>
      <c r="D961" s="154"/>
    </row>
    <row r="962" spans="3:4" ht="15.75" customHeight="1" x14ac:dyDescent="0.2">
      <c r="C962" s="2"/>
      <c r="D962" s="154"/>
    </row>
    <row r="963" spans="3:4" ht="15.75" customHeight="1" x14ac:dyDescent="0.2">
      <c r="C963" s="2"/>
      <c r="D963" s="154"/>
    </row>
    <row r="964" spans="3:4" ht="15.75" customHeight="1" x14ac:dyDescent="0.2">
      <c r="C964" s="2"/>
      <c r="D964" s="154"/>
    </row>
    <row r="965" spans="3:4" ht="15.75" customHeight="1" x14ac:dyDescent="0.2">
      <c r="C965" s="2"/>
      <c r="D965" s="154"/>
    </row>
    <row r="966" spans="3:4" ht="15.75" customHeight="1" x14ac:dyDescent="0.2">
      <c r="C966" s="2"/>
      <c r="D966" s="154"/>
    </row>
    <row r="967" spans="3:4" ht="15.75" customHeight="1" x14ac:dyDescent="0.2">
      <c r="C967" s="2"/>
      <c r="D967" s="154"/>
    </row>
    <row r="968" spans="3:4" ht="15.75" customHeight="1" x14ac:dyDescent="0.2">
      <c r="C968" s="2"/>
      <c r="D968" s="154"/>
    </row>
    <row r="969" spans="3:4" ht="15.75" customHeight="1" x14ac:dyDescent="0.2">
      <c r="C969" s="2"/>
      <c r="D969" s="154"/>
    </row>
    <row r="970" spans="3:4" ht="15.75" customHeight="1" x14ac:dyDescent="0.2">
      <c r="C970" s="2"/>
      <c r="D970" s="154"/>
    </row>
    <row r="971" spans="3:4" ht="15.75" customHeight="1" x14ac:dyDescent="0.2">
      <c r="C971" s="2"/>
      <c r="D971" s="154"/>
    </row>
    <row r="972" spans="3:4" ht="15.75" customHeight="1" x14ac:dyDescent="0.2">
      <c r="C972" s="2"/>
      <c r="D972" s="154"/>
    </row>
    <row r="973" spans="3:4" ht="15.75" customHeight="1" x14ac:dyDescent="0.2">
      <c r="C973" s="2"/>
      <c r="D973" s="154"/>
    </row>
    <row r="974" spans="3:4" ht="15.75" customHeight="1" x14ac:dyDescent="0.2">
      <c r="C974" s="2"/>
      <c r="D974" s="154"/>
    </row>
    <row r="975" spans="3:4" ht="15.75" customHeight="1" x14ac:dyDescent="0.2">
      <c r="C975" s="2"/>
      <c r="D975" s="154"/>
    </row>
    <row r="976" spans="3:4" ht="15.75" customHeight="1" x14ac:dyDescent="0.2">
      <c r="C976" s="2"/>
      <c r="D976" s="154"/>
    </row>
    <row r="977" spans="3:4" ht="15.75" customHeight="1" x14ac:dyDescent="0.2">
      <c r="C977" s="2"/>
      <c r="D977" s="154"/>
    </row>
    <row r="978" spans="3:4" ht="15.75" customHeight="1" x14ac:dyDescent="0.2">
      <c r="C978" s="2"/>
      <c r="D978" s="154"/>
    </row>
    <row r="979" spans="3:4" ht="15.75" customHeight="1" x14ac:dyDescent="0.2">
      <c r="C979" s="2"/>
      <c r="D979" s="154"/>
    </row>
    <row r="980" spans="3:4" ht="15.75" customHeight="1" x14ac:dyDescent="0.2">
      <c r="C980" s="2"/>
      <c r="D980" s="154"/>
    </row>
    <row r="981" spans="3:4" ht="15.75" customHeight="1" x14ac:dyDescent="0.2">
      <c r="C981" s="2"/>
      <c r="D981" s="154"/>
    </row>
    <row r="982" spans="3:4" ht="15.75" customHeight="1" x14ac:dyDescent="0.2">
      <c r="C982" s="2"/>
      <c r="D982" s="154"/>
    </row>
    <row r="983" spans="3:4" ht="15.75" customHeight="1" x14ac:dyDescent="0.2">
      <c r="C983" s="2"/>
      <c r="D983" s="154"/>
    </row>
    <row r="984" spans="3:4" ht="15.75" customHeight="1" x14ac:dyDescent="0.2">
      <c r="C984" s="2"/>
      <c r="D984" s="154"/>
    </row>
    <row r="985" spans="3:4" ht="15.75" customHeight="1" x14ac:dyDescent="0.2">
      <c r="C985" s="2"/>
      <c r="D985" s="154"/>
    </row>
    <row r="986" spans="3:4" ht="15.75" customHeight="1" x14ac:dyDescent="0.2">
      <c r="C986" s="2"/>
      <c r="D986" s="154"/>
    </row>
    <row r="987" spans="3:4" ht="15.75" customHeight="1" x14ac:dyDescent="0.2">
      <c r="C987" s="2"/>
      <c r="D987" s="154"/>
    </row>
    <row r="988" spans="3:4" ht="15.75" customHeight="1" x14ac:dyDescent="0.2">
      <c r="C988" s="2"/>
      <c r="D988" s="154"/>
    </row>
    <row r="989" spans="3:4" ht="15.75" customHeight="1" x14ac:dyDescent="0.2">
      <c r="C989" s="2"/>
      <c r="D989" s="154"/>
    </row>
    <row r="990" spans="3:4" ht="15.75" customHeight="1" x14ac:dyDescent="0.2">
      <c r="C990" s="2"/>
      <c r="D990" s="154"/>
    </row>
    <row r="991" spans="3:4" ht="15.75" customHeight="1" x14ac:dyDescent="0.2">
      <c r="C991" s="2"/>
      <c r="D991" s="154"/>
    </row>
    <row r="992" spans="3:4" ht="15.75" customHeight="1" x14ac:dyDescent="0.2">
      <c r="C992" s="2"/>
      <c r="D992" s="154"/>
    </row>
    <row r="993" spans="3:4" ht="15.75" customHeight="1" x14ac:dyDescent="0.2">
      <c r="C993" s="2"/>
      <c r="D993" s="154"/>
    </row>
    <row r="994" spans="3:4" ht="15.75" customHeight="1" x14ac:dyDescent="0.2">
      <c r="C994" s="2"/>
      <c r="D994" s="154"/>
    </row>
    <row r="995" spans="3:4" ht="15.75" customHeight="1" x14ac:dyDescent="0.2">
      <c r="C995" s="2"/>
      <c r="D995" s="154"/>
    </row>
    <row r="996" spans="3:4" ht="15.75" customHeight="1" x14ac:dyDescent="0.2">
      <c r="C996" s="2"/>
      <c r="D996" s="154"/>
    </row>
    <row r="997" spans="3:4" ht="15.75" customHeight="1" x14ac:dyDescent="0.2">
      <c r="C997" s="2"/>
      <c r="D997" s="154"/>
    </row>
    <row r="998" spans="3:4" ht="15.75" customHeight="1" x14ac:dyDescent="0.2">
      <c r="C998" s="2"/>
      <c r="D998" s="154"/>
    </row>
    <row r="999" spans="3:4" ht="15.75" customHeight="1" x14ac:dyDescent="0.2">
      <c r="C999" s="2"/>
      <c r="D999" s="154"/>
    </row>
    <row r="1000" spans="3:4" ht="15.75" customHeight="1" x14ac:dyDescent="0.2">
      <c r="C1000" s="2"/>
      <c r="D1000" s="154"/>
    </row>
    <row r="1001" spans="3:4" ht="15.75" customHeight="1" x14ac:dyDescent="0.2">
      <c r="C1001" s="2"/>
      <c r="D1001" s="154"/>
    </row>
    <row r="1002" spans="3:4" ht="15.75" customHeight="1" x14ac:dyDescent="0.2">
      <c r="C1002" s="2"/>
      <c r="D1002" s="154"/>
    </row>
    <row r="1003" spans="3:4" ht="15.75" customHeight="1" x14ac:dyDescent="0.2">
      <c r="C1003" s="2"/>
      <c r="D1003" s="154"/>
    </row>
    <row r="1004" spans="3:4" ht="15.75" customHeight="1" x14ac:dyDescent="0.2">
      <c r="C1004" s="2"/>
      <c r="D1004" s="154"/>
    </row>
    <row r="1005" spans="3:4" ht="15.75" customHeight="1" x14ac:dyDescent="0.2">
      <c r="C1005" s="2"/>
      <c r="D1005" s="154"/>
    </row>
    <row r="1006" spans="3:4" ht="15.75" customHeight="1" x14ac:dyDescent="0.2">
      <c r="C1006" s="2"/>
      <c r="D1006" s="154"/>
    </row>
    <row r="1007" spans="3:4" ht="15.75" customHeight="1" x14ac:dyDescent="0.2">
      <c r="C1007" s="2"/>
      <c r="D1007" s="154"/>
    </row>
    <row r="1008" spans="3:4" ht="15.75" customHeight="1" x14ac:dyDescent="0.2">
      <c r="C1008" s="2"/>
      <c r="D1008" s="154"/>
    </row>
    <row r="1009" spans="3:4" ht="15.75" customHeight="1" x14ac:dyDescent="0.2">
      <c r="C1009" s="2"/>
      <c r="D1009" s="154"/>
    </row>
    <row r="1010" spans="3:4" ht="15.75" customHeight="1" x14ac:dyDescent="0.2">
      <c r="C1010" s="2"/>
      <c r="D1010" s="154"/>
    </row>
    <row r="1011" spans="3:4" ht="15.75" customHeight="1" x14ac:dyDescent="0.2">
      <c r="C1011" s="2"/>
      <c r="D1011" s="154"/>
    </row>
    <row r="1012" spans="3:4" ht="15.75" customHeight="1" x14ac:dyDescent="0.2">
      <c r="C1012" s="2"/>
      <c r="D1012" s="154"/>
    </row>
    <row r="1013" spans="3:4" ht="15.75" customHeight="1" x14ac:dyDescent="0.2">
      <c r="C1013" s="2"/>
      <c r="D1013" s="154"/>
    </row>
    <row r="1014" spans="3:4" ht="15.75" customHeight="1" x14ac:dyDescent="0.2">
      <c r="C1014" s="2"/>
      <c r="D1014" s="154"/>
    </row>
    <row r="1015" spans="3:4" ht="15.75" customHeight="1" x14ac:dyDescent="0.2">
      <c r="C1015" s="2"/>
      <c r="D1015" s="154"/>
    </row>
    <row r="1016" spans="3:4" ht="15.75" customHeight="1" x14ac:dyDescent="0.2">
      <c r="C1016" s="2"/>
      <c r="D1016" s="154"/>
    </row>
    <row r="1017" spans="3:4" ht="15.75" customHeight="1" x14ac:dyDescent="0.2">
      <c r="C1017" s="2"/>
      <c r="D1017" s="154"/>
    </row>
    <row r="1018" spans="3:4" ht="15.75" customHeight="1" x14ac:dyDescent="0.2">
      <c r="C1018" s="2"/>
      <c r="D1018" s="154"/>
    </row>
    <row r="1019" spans="3:4" ht="15.75" customHeight="1" x14ac:dyDescent="0.2">
      <c r="C1019" s="2"/>
      <c r="D1019" s="154"/>
    </row>
    <row r="1020" spans="3:4" ht="15.75" customHeight="1" x14ac:dyDescent="0.2">
      <c r="C1020" s="2"/>
      <c r="D1020" s="154"/>
    </row>
    <row r="1021" spans="3:4" ht="15.75" customHeight="1" x14ac:dyDescent="0.2">
      <c r="C1021" s="2"/>
      <c r="D1021" s="154"/>
    </row>
    <row r="1022" spans="3:4" ht="15.75" customHeight="1" x14ac:dyDescent="0.2">
      <c r="C1022" s="2"/>
      <c r="D1022" s="154"/>
    </row>
    <row r="1023" spans="3:4" ht="15.75" customHeight="1" x14ac:dyDescent="0.2">
      <c r="C1023" s="2"/>
      <c r="D1023" s="154"/>
    </row>
    <row r="1024" spans="3:4" ht="15.75" customHeight="1" x14ac:dyDescent="0.2">
      <c r="C1024" s="2"/>
      <c r="D1024" s="154"/>
    </row>
    <row r="1025" spans="3:4" ht="15.75" customHeight="1" x14ac:dyDescent="0.2">
      <c r="C1025" s="2"/>
      <c r="D1025" s="154"/>
    </row>
    <row r="1026" spans="3:4" ht="15.75" customHeight="1" x14ac:dyDescent="0.2">
      <c r="C1026" s="2"/>
      <c r="D1026" s="154"/>
    </row>
    <row r="1027" spans="3:4" ht="15.75" customHeight="1" x14ac:dyDescent="0.2">
      <c r="C1027" s="2"/>
      <c r="D1027" s="154"/>
    </row>
    <row r="1028" spans="3:4" ht="15.75" customHeight="1" x14ac:dyDescent="0.2">
      <c r="C1028" s="2"/>
      <c r="D1028" s="154"/>
    </row>
    <row r="1029" spans="3:4" ht="15.75" customHeight="1" x14ac:dyDescent="0.2">
      <c r="C1029" s="2"/>
      <c r="D1029" s="154"/>
    </row>
  </sheetData>
  <autoFilter ref="A2:G460" xr:uid="{00000000-0009-0000-0000-000007000000}"/>
  <mergeCells count="2">
    <mergeCell ref="I2:L2"/>
    <mergeCell ref="I8:L9"/>
  </mergeCell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N1001"/>
  <sheetViews>
    <sheetView showGridLines="0" workbookViewId="0">
      <pane xSplit="2" topLeftCell="C1" activePane="topRight" state="frozen"/>
      <selection pane="topRight" activeCell="D2" sqref="D2"/>
    </sheetView>
  </sheetViews>
  <sheetFormatPr baseColWidth="10" defaultColWidth="12.6640625" defaultRowHeight="15" customHeight="1" x14ac:dyDescent="0.15"/>
  <cols>
    <col min="1" max="1" width="2.6640625" customWidth="1"/>
    <col min="2" max="2" width="24.1640625" customWidth="1"/>
    <col min="66" max="66" width="2.6640625" customWidth="1"/>
  </cols>
  <sheetData>
    <row r="1" spans="1:66" ht="15" customHeight="1" x14ac:dyDescent="0.25">
      <c r="A1" s="2"/>
      <c r="B1" s="193"/>
      <c r="C1" s="194"/>
      <c r="D1" s="194"/>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row>
    <row r="2" spans="1:66" ht="15" customHeight="1" x14ac:dyDescent="0.25">
      <c r="A2" s="2"/>
      <c r="B2" s="195" t="s">
        <v>947</v>
      </c>
      <c r="C2" s="194"/>
      <c r="D2" s="194"/>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row>
    <row r="3" spans="1:66" x14ac:dyDescent="0.2">
      <c r="A3" s="196"/>
      <c r="B3" s="197">
        <v>46113</v>
      </c>
      <c r="C3" s="198"/>
      <c r="D3" s="199" t="s">
        <v>948</v>
      </c>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0"/>
      <c r="AV3" s="200"/>
      <c r="AW3" s="200"/>
      <c r="AX3" s="200"/>
      <c r="AY3" s="200"/>
      <c r="AZ3" s="200"/>
      <c r="BA3" s="200"/>
      <c r="BB3" s="200"/>
      <c r="BC3" s="200"/>
      <c r="BD3" s="200"/>
      <c r="BE3" s="200"/>
      <c r="BF3" s="200"/>
      <c r="BG3" s="200"/>
      <c r="BH3" s="200"/>
      <c r="BI3" s="200"/>
      <c r="BJ3" s="200"/>
      <c r="BK3" s="200"/>
      <c r="BL3" s="200"/>
      <c r="BM3" s="201"/>
      <c r="BN3" s="2"/>
    </row>
    <row r="4" spans="1:66" x14ac:dyDescent="0.2">
      <c r="A4" s="202"/>
      <c r="B4" s="203" t="s">
        <v>949</v>
      </c>
      <c r="C4" s="204">
        <v>1</v>
      </c>
      <c r="D4" s="204" t="s">
        <v>950</v>
      </c>
      <c r="E4" s="204">
        <v>2</v>
      </c>
      <c r="F4" s="204" t="s">
        <v>950</v>
      </c>
      <c r="G4" s="204">
        <v>3</v>
      </c>
      <c r="H4" s="204" t="s">
        <v>950</v>
      </c>
      <c r="I4" s="204">
        <v>4</v>
      </c>
      <c r="J4" s="204" t="s">
        <v>950</v>
      </c>
      <c r="K4" s="204">
        <v>5</v>
      </c>
      <c r="L4" s="204" t="s">
        <v>950</v>
      </c>
      <c r="M4" s="204">
        <v>6</v>
      </c>
      <c r="N4" s="204" t="s">
        <v>950</v>
      </c>
      <c r="O4" s="204">
        <v>7</v>
      </c>
      <c r="P4" s="204" t="s">
        <v>950</v>
      </c>
      <c r="Q4" s="204">
        <v>8</v>
      </c>
      <c r="R4" s="204" t="s">
        <v>950</v>
      </c>
      <c r="S4" s="204">
        <v>9</v>
      </c>
      <c r="T4" s="204" t="s">
        <v>950</v>
      </c>
      <c r="U4" s="204">
        <v>10</v>
      </c>
      <c r="V4" s="204" t="s">
        <v>950</v>
      </c>
      <c r="W4" s="204">
        <v>11</v>
      </c>
      <c r="X4" s="204" t="s">
        <v>950</v>
      </c>
      <c r="Y4" s="204">
        <v>12</v>
      </c>
      <c r="Z4" s="204" t="s">
        <v>950</v>
      </c>
      <c r="AA4" s="204">
        <v>13</v>
      </c>
      <c r="AB4" s="204" t="s">
        <v>950</v>
      </c>
      <c r="AC4" s="204">
        <v>14</v>
      </c>
      <c r="AD4" s="204" t="s">
        <v>950</v>
      </c>
      <c r="AE4" s="204">
        <v>15</v>
      </c>
      <c r="AF4" s="204" t="s">
        <v>950</v>
      </c>
      <c r="AG4" s="204">
        <v>16</v>
      </c>
      <c r="AH4" s="204" t="s">
        <v>950</v>
      </c>
      <c r="AI4" s="204">
        <v>17</v>
      </c>
      <c r="AJ4" s="204" t="s">
        <v>950</v>
      </c>
      <c r="AK4" s="204">
        <v>18</v>
      </c>
      <c r="AL4" s="204" t="s">
        <v>950</v>
      </c>
      <c r="AM4" s="204">
        <v>19</v>
      </c>
      <c r="AN4" s="204" t="s">
        <v>950</v>
      </c>
      <c r="AO4" s="204">
        <v>20</v>
      </c>
      <c r="AP4" s="204" t="s">
        <v>950</v>
      </c>
      <c r="AQ4" s="204">
        <v>21</v>
      </c>
      <c r="AR4" s="204" t="s">
        <v>950</v>
      </c>
      <c r="AS4" s="204">
        <v>22</v>
      </c>
      <c r="AT4" s="204" t="s">
        <v>950</v>
      </c>
      <c r="AU4" s="204">
        <v>23</v>
      </c>
      <c r="AV4" s="204" t="s">
        <v>950</v>
      </c>
      <c r="AW4" s="204">
        <v>24</v>
      </c>
      <c r="AX4" s="204" t="s">
        <v>950</v>
      </c>
      <c r="AY4" s="204">
        <v>25</v>
      </c>
      <c r="AZ4" s="204" t="s">
        <v>950</v>
      </c>
      <c r="BA4" s="204">
        <v>26</v>
      </c>
      <c r="BB4" s="204" t="s">
        <v>950</v>
      </c>
      <c r="BC4" s="204">
        <v>27</v>
      </c>
      <c r="BD4" s="204" t="s">
        <v>950</v>
      </c>
      <c r="BE4" s="204">
        <v>28</v>
      </c>
      <c r="BF4" s="204" t="s">
        <v>950</v>
      </c>
      <c r="BG4" s="204">
        <v>29</v>
      </c>
      <c r="BH4" s="204" t="s">
        <v>950</v>
      </c>
      <c r="BI4" s="204">
        <v>30</v>
      </c>
      <c r="BJ4" s="204" t="s">
        <v>950</v>
      </c>
      <c r="BK4" s="204">
        <v>31</v>
      </c>
      <c r="BL4" s="204" t="s">
        <v>950</v>
      </c>
      <c r="BM4" s="204" t="s">
        <v>951</v>
      </c>
      <c r="BN4" s="205"/>
    </row>
    <row r="5" spans="1:66" x14ac:dyDescent="0.2">
      <c r="A5" s="206"/>
      <c r="B5" s="20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208">
        <f t="shared" ref="BM5:BM117" si="0">SUM(C5:BK5)</f>
        <v>0</v>
      </c>
      <c r="BN5" s="209"/>
    </row>
    <row r="6" spans="1:66" x14ac:dyDescent="0.2">
      <c r="A6" s="206"/>
      <c r="B6" s="207" t="s">
        <v>952</v>
      </c>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208">
        <f t="shared" si="0"/>
        <v>0</v>
      </c>
      <c r="BN6" s="209"/>
    </row>
    <row r="7" spans="1:66" x14ac:dyDescent="0.2">
      <c r="A7" s="206"/>
      <c r="B7" s="20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208">
        <f t="shared" si="0"/>
        <v>0</v>
      </c>
      <c r="BN7" s="209"/>
    </row>
    <row r="8" spans="1:66" x14ac:dyDescent="0.2">
      <c r="A8" s="206"/>
      <c r="B8" s="20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208">
        <f t="shared" si="0"/>
        <v>0</v>
      </c>
      <c r="BN8" s="209"/>
    </row>
    <row r="9" spans="1:66" x14ac:dyDescent="0.2">
      <c r="A9" s="206"/>
      <c r="B9" s="20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208">
        <f t="shared" si="0"/>
        <v>0</v>
      </c>
      <c r="BN9" s="209"/>
    </row>
    <row r="10" spans="1:66" x14ac:dyDescent="0.2">
      <c r="A10" s="206"/>
      <c r="B10" s="20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208">
        <f t="shared" si="0"/>
        <v>0</v>
      </c>
      <c r="BN10" s="209"/>
    </row>
    <row r="11" spans="1:66" x14ac:dyDescent="0.2">
      <c r="A11" s="206"/>
      <c r="B11" s="20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208">
        <f t="shared" si="0"/>
        <v>0</v>
      </c>
      <c r="BN11" s="209"/>
    </row>
    <row r="12" spans="1:66" x14ac:dyDescent="0.2">
      <c r="A12" s="206"/>
      <c r="B12" s="20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208">
        <f t="shared" si="0"/>
        <v>0</v>
      </c>
      <c r="BN12" s="209"/>
    </row>
    <row r="13" spans="1:66" x14ac:dyDescent="0.2">
      <c r="A13" s="206"/>
      <c r="B13" s="20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208">
        <f t="shared" si="0"/>
        <v>0</v>
      </c>
      <c r="BN13" s="209"/>
    </row>
    <row r="14" spans="1:66" x14ac:dyDescent="0.2">
      <c r="A14" s="206"/>
      <c r="B14" s="207"/>
      <c r="C14" s="7"/>
      <c r="D14" s="7"/>
      <c r="E14" s="7"/>
      <c r="F14" s="7"/>
      <c r="G14" s="7"/>
      <c r="H14" s="7"/>
      <c r="I14" s="7"/>
      <c r="J14" s="7"/>
      <c r="K14" s="210"/>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208">
        <f t="shared" si="0"/>
        <v>0</v>
      </c>
      <c r="BN14" s="209"/>
    </row>
    <row r="15" spans="1:66" x14ac:dyDescent="0.2">
      <c r="A15" s="206"/>
      <c r="B15" s="207"/>
      <c r="C15" s="7"/>
      <c r="D15" s="7"/>
      <c r="E15" s="7"/>
      <c r="F15" s="7"/>
      <c r="G15" s="7"/>
      <c r="H15" s="7"/>
      <c r="I15" s="7"/>
      <c r="J15" s="7"/>
      <c r="K15" s="210"/>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208">
        <f t="shared" si="0"/>
        <v>0</v>
      </c>
      <c r="BN15" s="209"/>
    </row>
    <row r="16" spans="1:66" x14ac:dyDescent="0.2">
      <c r="A16" s="206"/>
      <c r="B16" s="20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208">
        <f t="shared" si="0"/>
        <v>0</v>
      </c>
      <c r="BN16" s="209"/>
    </row>
    <row r="17" spans="1:66" x14ac:dyDescent="0.2">
      <c r="A17" s="206"/>
      <c r="B17" s="20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208">
        <f t="shared" si="0"/>
        <v>0</v>
      </c>
      <c r="BN17" s="209"/>
    </row>
    <row r="18" spans="1:66" x14ac:dyDescent="0.2">
      <c r="A18" s="206"/>
      <c r="B18" s="20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208">
        <f t="shared" si="0"/>
        <v>0</v>
      </c>
      <c r="BN18" s="209"/>
    </row>
    <row r="19" spans="1:66" x14ac:dyDescent="0.2">
      <c r="A19" s="206"/>
      <c r="B19" s="20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208">
        <f t="shared" si="0"/>
        <v>0</v>
      </c>
      <c r="BN19" s="209"/>
    </row>
    <row r="20" spans="1:66" x14ac:dyDescent="0.2">
      <c r="A20" s="206"/>
      <c r="B20" s="20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208">
        <f t="shared" si="0"/>
        <v>0</v>
      </c>
      <c r="BN20" s="209"/>
    </row>
    <row r="21" spans="1:66" x14ac:dyDescent="0.2">
      <c r="A21" s="206"/>
      <c r="B21" s="20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208">
        <f t="shared" si="0"/>
        <v>0</v>
      </c>
      <c r="BN21" s="209"/>
    </row>
    <row r="22" spans="1:66" x14ac:dyDescent="0.2">
      <c r="A22" s="206"/>
      <c r="B22" s="20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208">
        <f t="shared" si="0"/>
        <v>0</v>
      </c>
      <c r="BN22" s="209"/>
    </row>
    <row r="23" spans="1:66" x14ac:dyDescent="0.2">
      <c r="A23" s="206"/>
      <c r="B23" s="20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208">
        <f t="shared" si="0"/>
        <v>0</v>
      </c>
      <c r="BN23" s="209"/>
    </row>
    <row r="24" spans="1:66" x14ac:dyDescent="0.2">
      <c r="A24" s="206"/>
      <c r="B24" s="20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208">
        <f t="shared" si="0"/>
        <v>0</v>
      </c>
      <c r="BN24" s="209"/>
    </row>
    <row r="25" spans="1:66" x14ac:dyDescent="0.2">
      <c r="A25" s="206"/>
      <c r="B25" s="20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208">
        <f t="shared" si="0"/>
        <v>0</v>
      </c>
      <c r="BN25" s="209"/>
    </row>
    <row r="26" spans="1:66" x14ac:dyDescent="0.2">
      <c r="A26" s="206"/>
      <c r="B26" s="20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208">
        <f t="shared" si="0"/>
        <v>0</v>
      </c>
      <c r="BN26" s="209"/>
    </row>
    <row r="27" spans="1:66" x14ac:dyDescent="0.2">
      <c r="A27" s="206"/>
      <c r="B27" s="20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208">
        <f t="shared" si="0"/>
        <v>0</v>
      </c>
      <c r="BN27" s="209"/>
    </row>
    <row r="28" spans="1:66" x14ac:dyDescent="0.2">
      <c r="A28" s="206"/>
      <c r="B28" s="20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208">
        <f t="shared" si="0"/>
        <v>0</v>
      </c>
      <c r="BN28" s="209"/>
    </row>
    <row r="29" spans="1:66" x14ac:dyDescent="0.2">
      <c r="A29" s="206"/>
      <c r="B29" s="20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208">
        <f t="shared" si="0"/>
        <v>0</v>
      </c>
      <c r="BN29" s="209"/>
    </row>
    <row r="30" spans="1:66" x14ac:dyDescent="0.2">
      <c r="A30" s="206"/>
      <c r="B30" s="20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208">
        <f t="shared" si="0"/>
        <v>0</v>
      </c>
      <c r="BN30" s="209"/>
    </row>
    <row r="31" spans="1:66" x14ac:dyDescent="0.2">
      <c r="A31" s="206"/>
      <c r="B31" s="20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208">
        <f t="shared" si="0"/>
        <v>0</v>
      </c>
      <c r="BN31" s="209"/>
    </row>
    <row r="32" spans="1:66" x14ac:dyDescent="0.2">
      <c r="A32" s="206"/>
      <c r="B32" s="20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208">
        <f t="shared" si="0"/>
        <v>0</v>
      </c>
      <c r="BN32" s="209"/>
    </row>
    <row r="33" spans="1:66" x14ac:dyDescent="0.2">
      <c r="A33" s="206"/>
      <c r="B33" s="20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208">
        <f t="shared" si="0"/>
        <v>0</v>
      </c>
      <c r="BN33" s="209"/>
    </row>
    <row r="34" spans="1:66" x14ac:dyDescent="0.2">
      <c r="A34" s="2"/>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208">
        <f t="shared" si="0"/>
        <v>0</v>
      </c>
      <c r="BN34" s="209"/>
    </row>
    <row r="35" spans="1:66" x14ac:dyDescent="0.2">
      <c r="A35" s="2"/>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208">
        <f t="shared" si="0"/>
        <v>0</v>
      </c>
      <c r="BN35" s="209"/>
    </row>
    <row r="36" spans="1:66" x14ac:dyDescent="0.2">
      <c r="A36" s="2"/>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208">
        <f t="shared" si="0"/>
        <v>0</v>
      </c>
      <c r="BN36" s="209"/>
    </row>
    <row r="37" spans="1:66" x14ac:dyDescent="0.2">
      <c r="A37" s="2"/>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208">
        <f t="shared" si="0"/>
        <v>0</v>
      </c>
      <c r="BN37" s="209"/>
    </row>
    <row r="38" spans="1:66" x14ac:dyDescent="0.2">
      <c r="A38" s="2"/>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208">
        <f t="shared" si="0"/>
        <v>0</v>
      </c>
      <c r="BN38" s="209"/>
    </row>
    <row r="39" spans="1:66" x14ac:dyDescent="0.2">
      <c r="A39" s="2"/>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208">
        <f t="shared" si="0"/>
        <v>0</v>
      </c>
      <c r="BN39" s="209"/>
    </row>
    <row r="40" spans="1:66" x14ac:dyDescent="0.2">
      <c r="A40" s="2"/>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208">
        <f t="shared" si="0"/>
        <v>0</v>
      </c>
      <c r="BN40" s="209"/>
    </row>
    <row r="41" spans="1:66" x14ac:dyDescent="0.2">
      <c r="A41" s="2"/>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210"/>
      <c r="AT41" s="7"/>
      <c r="AU41" s="7"/>
      <c r="AV41" s="7"/>
      <c r="AW41" s="7"/>
      <c r="AX41" s="7"/>
      <c r="AY41" s="7"/>
      <c r="AZ41" s="7"/>
      <c r="BA41" s="7"/>
      <c r="BB41" s="7"/>
      <c r="BC41" s="7"/>
      <c r="BD41" s="7"/>
      <c r="BE41" s="7"/>
      <c r="BF41" s="7"/>
      <c r="BG41" s="7"/>
      <c r="BH41" s="7"/>
      <c r="BI41" s="7"/>
      <c r="BJ41" s="7"/>
      <c r="BK41" s="7"/>
      <c r="BL41" s="7"/>
      <c r="BM41" s="208">
        <f t="shared" si="0"/>
        <v>0</v>
      </c>
      <c r="BN41" s="209"/>
    </row>
    <row r="42" spans="1:66" x14ac:dyDescent="0.2">
      <c r="A42" s="2"/>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208">
        <f t="shared" si="0"/>
        <v>0</v>
      </c>
      <c r="BN42" s="209"/>
    </row>
    <row r="43" spans="1:66" x14ac:dyDescent="0.2">
      <c r="A43" s="2"/>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208">
        <f t="shared" si="0"/>
        <v>0</v>
      </c>
      <c r="BN43" s="209"/>
    </row>
    <row r="44" spans="1:66" x14ac:dyDescent="0.2">
      <c r="A44" s="2"/>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210"/>
      <c r="AY44" s="7"/>
      <c r="AZ44" s="7"/>
      <c r="BA44" s="7"/>
      <c r="BB44" s="7"/>
      <c r="BC44" s="7"/>
      <c r="BD44" s="7"/>
      <c r="BE44" s="7"/>
      <c r="BF44" s="7"/>
      <c r="BG44" s="7"/>
      <c r="BH44" s="7"/>
      <c r="BI44" s="7"/>
      <c r="BJ44" s="7"/>
      <c r="BK44" s="7"/>
      <c r="BL44" s="7"/>
      <c r="BM44" s="208">
        <f t="shared" si="0"/>
        <v>0</v>
      </c>
      <c r="BN44" s="209"/>
    </row>
    <row r="45" spans="1:66" x14ac:dyDescent="0.2">
      <c r="A45" s="2"/>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208">
        <f t="shared" si="0"/>
        <v>0</v>
      </c>
      <c r="BN45" s="209"/>
    </row>
    <row r="46" spans="1:66" x14ac:dyDescent="0.2">
      <c r="A46" s="2"/>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208">
        <f t="shared" si="0"/>
        <v>0</v>
      </c>
      <c r="BN46" s="209"/>
    </row>
    <row r="47" spans="1:66" x14ac:dyDescent="0.2">
      <c r="A47" s="2"/>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208">
        <f t="shared" si="0"/>
        <v>0</v>
      </c>
      <c r="BN47" s="209"/>
    </row>
    <row r="48" spans="1:66" x14ac:dyDescent="0.2">
      <c r="A48" s="2"/>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208">
        <f t="shared" si="0"/>
        <v>0</v>
      </c>
      <c r="BN48" s="209"/>
    </row>
    <row r="49" spans="1:66" x14ac:dyDescent="0.2">
      <c r="A49" s="2"/>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208">
        <f t="shared" si="0"/>
        <v>0</v>
      </c>
      <c r="BN49" s="209"/>
    </row>
    <row r="50" spans="1:66" x14ac:dyDescent="0.2">
      <c r="A50" s="2"/>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208">
        <f t="shared" si="0"/>
        <v>0</v>
      </c>
      <c r="BN50" s="209"/>
    </row>
    <row r="51" spans="1:66" x14ac:dyDescent="0.2">
      <c r="A51" s="2"/>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208">
        <f t="shared" si="0"/>
        <v>0</v>
      </c>
      <c r="BN51" s="209"/>
    </row>
    <row r="52" spans="1:66" x14ac:dyDescent="0.2">
      <c r="A52" s="2"/>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208">
        <f t="shared" si="0"/>
        <v>0</v>
      </c>
      <c r="BN52" s="209"/>
    </row>
    <row r="53" spans="1:66" x14ac:dyDescent="0.2">
      <c r="A53" s="2"/>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208">
        <f t="shared" si="0"/>
        <v>0</v>
      </c>
      <c r="BN53" s="209"/>
    </row>
    <row r="54" spans="1:66" x14ac:dyDescent="0.2">
      <c r="A54" s="2"/>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208">
        <f t="shared" si="0"/>
        <v>0</v>
      </c>
      <c r="BN54" s="209"/>
    </row>
    <row r="55" spans="1:66" x14ac:dyDescent="0.2">
      <c r="A55" s="2"/>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208">
        <f t="shared" si="0"/>
        <v>0</v>
      </c>
      <c r="BN55" s="209"/>
    </row>
    <row r="56" spans="1:66" x14ac:dyDescent="0.2">
      <c r="A56" s="2"/>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208">
        <f t="shared" si="0"/>
        <v>0</v>
      </c>
      <c r="BN56" s="209"/>
    </row>
    <row r="57" spans="1:66" x14ac:dyDescent="0.2">
      <c r="A57" s="2"/>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208">
        <f t="shared" si="0"/>
        <v>0</v>
      </c>
      <c r="BN57" s="209"/>
    </row>
    <row r="58" spans="1:66" x14ac:dyDescent="0.2">
      <c r="A58" s="2"/>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208">
        <f t="shared" si="0"/>
        <v>0</v>
      </c>
      <c r="BN58" s="209"/>
    </row>
    <row r="59" spans="1:66" x14ac:dyDescent="0.2">
      <c r="A59" s="2"/>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208">
        <f t="shared" si="0"/>
        <v>0</v>
      </c>
      <c r="BN59" s="209"/>
    </row>
    <row r="60" spans="1:66" x14ac:dyDescent="0.2">
      <c r="A60" s="2"/>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208">
        <f t="shared" si="0"/>
        <v>0</v>
      </c>
      <c r="BN60" s="209"/>
    </row>
    <row r="61" spans="1:66" x14ac:dyDescent="0.2">
      <c r="A61" s="2"/>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208">
        <f t="shared" si="0"/>
        <v>0</v>
      </c>
      <c r="BN61" s="209"/>
    </row>
    <row r="62" spans="1:66" x14ac:dyDescent="0.2">
      <c r="A62" s="2"/>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208">
        <f t="shared" si="0"/>
        <v>0</v>
      </c>
      <c r="BN62" s="209"/>
    </row>
    <row r="63" spans="1:66" x14ac:dyDescent="0.2">
      <c r="A63" s="2"/>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208">
        <f t="shared" si="0"/>
        <v>0</v>
      </c>
      <c r="BN63" s="209"/>
    </row>
    <row r="64" spans="1:66" x14ac:dyDescent="0.2">
      <c r="A64" s="2"/>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208">
        <f t="shared" si="0"/>
        <v>0</v>
      </c>
      <c r="BN64" s="209"/>
    </row>
    <row r="65" spans="1:66" x14ac:dyDescent="0.2">
      <c r="A65" s="2"/>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208">
        <f t="shared" si="0"/>
        <v>0</v>
      </c>
      <c r="BN65" s="209"/>
    </row>
    <row r="66" spans="1:66" x14ac:dyDescent="0.2">
      <c r="A66" s="2"/>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208">
        <f t="shared" si="0"/>
        <v>0</v>
      </c>
      <c r="BN66" s="209"/>
    </row>
    <row r="67" spans="1:66" x14ac:dyDescent="0.2">
      <c r="A67" s="2"/>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208">
        <f t="shared" si="0"/>
        <v>0</v>
      </c>
      <c r="BN67" s="209"/>
    </row>
    <row r="68" spans="1:66" x14ac:dyDescent="0.2">
      <c r="A68" s="2"/>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208">
        <f t="shared" si="0"/>
        <v>0</v>
      </c>
      <c r="BN68" s="209"/>
    </row>
    <row r="69" spans="1:66" x14ac:dyDescent="0.2">
      <c r="A69" s="2"/>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208">
        <f t="shared" si="0"/>
        <v>0</v>
      </c>
      <c r="BN69" s="209"/>
    </row>
    <row r="70" spans="1:66" x14ac:dyDescent="0.2">
      <c r="A70" s="2"/>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208">
        <f t="shared" si="0"/>
        <v>0</v>
      </c>
      <c r="BN70" s="209"/>
    </row>
    <row r="71" spans="1:66" x14ac:dyDescent="0.2">
      <c r="A71" s="2"/>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208">
        <f t="shared" si="0"/>
        <v>0</v>
      </c>
      <c r="BN71" s="209"/>
    </row>
    <row r="72" spans="1:66" x14ac:dyDescent="0.2">
      <c r="A72" s="2"/>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208">
        <f t="shared" si="0"/>
        <v>0</v>
      </c>
      <c r="BN72" s="209"/>
    </row>
    <row r="73" spans="1:66" x14ac:dyDescent="0.2">
      <c r="A73" s="2"/>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208">
        <f t="shared" si="0"/>
        <v>0</v>
      </c>
      <c r="BN73" s="209"/>
    </row>
    <row r="74" spans="1:66" x14ac:dyDescent="0.2">
      <c r="A74" s="2"/>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208">
        <f t="shared" si="0"/>
        <v>0</v>
      </c>
      <c r="BN74" s="209"/>
    </row>
    <row r="75" spans="1:66" x14ac:dyDescent="0.2">
      <c r="A75" s="2"/>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208">
        <f t="shared" si="0"/>
        <v>0</v>
      </c>
      <c r="BN75" s="209"/>
    </row>
    <row r="76" spans="1:66" x14ac:dyDescent="0.2">
      <c r="A76" s="2"/>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208">
        <f t="shared" si="0"/>
        <v>0</v>
      </c>
      <c r="BN76" s="209"/>
    </row>
    <row r="77" spans="1:66" x14ac:dyDescent="0.2">
      <c r="A77" s="2"/>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208">
        <f t="shared" si="0"/>
        <v>0</v>
      </c>
      <c r="BN77" s="209"/>
    </row>
    <row r="78" spans="1:66" x14ac:dyDescent="0.2">
      <c r="A78" s="2"/>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208">
        <f t="shared" si="0"/>
        <v>0</v>
      </c>
      <c r="BN78" s="209"/>
    </row>
    <row r="79" spans="1:66" x14ac:dyDescent="0.2">
      <c r="A79" s="2"/>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208">
        <f t="shared" si="0"/>
        <v>0</v>
      </c>
      <c r="BN79" s="209"/>
    </row>
    <row r="80" spans="1:66" x14ac:dyDescent="0.2">
      <c r="A80" s="2"/>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208">
        <f t="shared" si="0"/>
        <v>0</v>
      </c>
      <c r="BN80" s="209"/>
    </row>
    <row r="81" spans="1:66" x14ac:dyDescent="0.2">
      <c r="A81" s="2"/>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208">
        <f t="shared" si="0"/>
        <v>0</v>
      </c>
      <c r="BN81" s="209"/>
    </row>
    <row r="82" spans="1:66" x14ac:dyDescent="0.2">
      <c r="A82" s="2"/>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208">
        <f t="shared" si="0"/>
        <v>0</v>
      </c>
      <c r="BN82" s="209"/>
    </row>
    <row r="83" spans="1:66" x14ac:dyDescent="0.2">
      <c r="A83" s="2"/>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208">
        <f t="shared" si="0"/>
        <v>0</v>
      </c>
      <c r="BN83" s="209"/>
    </row>
    <row r="84" spans="1:66" x14ac:dyDescent="0.2">
      <c r="A84" s="2"/>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208">
        <f t="shared" si="0"/>
        <v>0</v>
      </c>
      <c r="BN84" s="209"/>
    </row>
    <row r="85" spans="1:66" x14ac:dyDescent="0.2">
      <c r="A85" s="2"/>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208">
        <f t="shared" si="0"/>
        <v>0</v>
      </c>
      <c r="BN85" s="209"/>
    </row>
    <row r="86" spans="1:66" x14ac:dyDescent="0.2">
      <c r="A86" s="2"/>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208">
        <f t="shared" si="0"/>
        <v>0</v>
      </c>
      <c r="BN86" s="209"/>
    </row>
    <row r="87" spans="1:66" x14ac:dyDescent="0.2">
      <c r="A87" s="2"/>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208">
        <f t="shared" si="0"/>
        <v>0</v>
      </c>
      <c r="BN87" s="209"/>
    </row>
    <row r="88" spans="1:66" x14ac:dyDescent="0.2">
      <c r="A88" s="2"/>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208">
        <f t="shared" si="0"/>
        <v>0</v>
      </c>
      <c r="BN88" s="209"/>
    </row>
    <row r="89" spans="1:66" x14ac:dyDescent="0.2">
      <c r="A89" s="2"/>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208">
        <f t="shared" si="0"/>
        <v>0</v>
      </c>
      <c r="BN89" s="209"/>
    </row>
    <row r="90" spans="1:66" x14ac:dyDescent="0.2">
      <c r="A90" s="2"/>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208">
        <f t="shared" si="0"/>
        <v>0</v>
      </c>
      <c r="BN90" s="209"/>
    </row>
    <row r="91" spans="1:66" x14ac:dyDescent="0.2">
      <c r="A91" s="2"/>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208">
        <f t="shared" si="0"/>
        <v>0</v>
      </c>
      <c r="BN91" s="209"/>
    </row>
    <row r="92" spans="1:66" x14ac:dyDescent="0.2">
      <c r="A92" s="2"/>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208">
        <f t="shared" si="0"/>
        <v>0</v>
      </c>
      <c r="BN92" s="209"/>
    </row>
    <row r="93" spans="1:66" x14ac:dyDescent="0.2">
      <c r="A93" s="2"/>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208">
        <f t="shared" si="0"/>
        <v>0</v>
      </c>
      <c r="BN93" s="209"/>
    </row>
    <row r="94" spans="1:66" x14ac:dyDescent="0.2">
      <c r="A94" s="2"/>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208">
        <f t="shared" si="0"/>
        <v>0</v>
      </c>
      <c r="BN94" s="209"/>
    </row>
    <row r="95" spans="1:66" x14ac:dyDescent="0.2">
      <c r="A95" s="2"/>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208">
        <f t="shared" si="0"/>
        <v>0</v>
      </c>
      <c r="BN95" s="209"/>
    </row>
    <row r="96" spans="1:66" x14ac:dyDescent="0.2">
      <c r="A96" s="2"/>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208">
        <f t="shared" si="0"/>
        <v>0</v>
      </c>
      <c r="BN96" s="209"/>
    </row>
    <row r="97" spans="1:66" x14ac:dyDescent="0.2">
      <c r="A97" s="2"/>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208">
        <f t="shared" si="0"/>
        <v>0</v>
      </c>
      <c r="BN97" s="209"/>
    </row>
    <row r="98" spans="1:66" x14ac:dyDescent="0.2">
      <c r="A98" s="2"/>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208">
        <f t="shared" si="0"/>
        <v>0</v>
      </c>
      <c r="BN98" s="209"/>
    </row>
    <row r="99" spans="1:66" x14ac:dyDescent="0.2">
      <c r="A99" s="2"/>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208">
        <f t="shared" si="0"/>
        <v>0</v>
      </c>
      <c r="BN99" s="209"/>
    </row>
    <row r="100" spans="1:66" x14ac:dyDescent="0.2">
      <c r="A100" s="2"/>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208">
        <f t="shared" si="0"/>
        <v>0</v>
      </c>
      <c r="BN100" s="209"/>
    </row>
    <row r="101" spans="1:66" x14ac:dyDescent="0.2">
      <c r="A101" s="2"/>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208">
        <f t="shared" si="0"/>
        <v>0</v>
      </c>
      <c r="BN101" s="209"/>
    </row>
    <row r="102" spans="1:66" x14ac:dyDescent="0.2">
      <c r="A102" s="2"/>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208">
        <f t="shared" si="0"/>
        <v>0</v>
      </c>
      <c r="BN102" s="209"/>
    </row>
    <row r="103" spans="1:66" x14ac:dyDescent="0.2">
      <c r="A103" s="2"/>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208">
        <f t="shared" si="0"/>
        <v>0</v>
      </c>
      <c r="BN103" s="209"/>
    </row>
    <row r="104" spans="1:66" x14ac:dyDescent="0.2">
      <c r="A104" s="2"/>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208">
        <f t="shared" si="0"/>
        <v>0</v>
      </c>
      <c r="BN104" s="209"/>
    </row>
    <row r="105" spans="1:66" x14ac:dyDescent="0.2">
      <c r="A105" s="2"/>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208">
        <f t="shared" si="0"/>
        <v>0</v>
      </c>
      <c r="BN105" s="209"/>
    </row>
    <row r="106" spans="1:66" x14ac:dyDescent="0.2">
      <c r="A106" s="2"/>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208">
        <f t="shared" si="0"/>
        <v>0</v>
      </c>
      <c r="BN106" s="209"/>
    </row>
    <row r="107" spans="1:66" x14ac:dyDescent="0.2">
      <c r="A107" s="2"/>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208">
        <f t="shared" si="0"/>
        <v>0</v>
      </c>
      <c r="BN107" s="209"/>
    </row>
    <row r="108" spans="1:66" x14ac:dyDescent="0.2">
      <c r="A108" s="2"/>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208">
        <f t="shared" si="0"/>
        <v>0</v>
      </c>
      <c r="BN108" s="209"/>
    </row>
    <row r="109" spans="1:66" x14ac:dyDescent="0.2">
      <c r="A109" s="2"/>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208">
        <f t="shared" si="0"/>
        <v>0</v>
      </c>
      <c r="BN109" s="209"/>
    </row>
    <row r="110" spans="1:66" x14ac:dyDescent="0.2">
      <c r="A110" s="2"/>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208">
        <f t="shared" si="0"/>
        <v>0</v>
      </c>
      <c r="BN110" s="209"/>
    </row>
    <row r="111" spans="1:66" x14ac:dyDescent="0.2">
      <c r="A111" s="2"/>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208">
        <f t="shared" si="0"/>
        <v>0</v>
      </c>
      <c r="BN111" s="209"/>
    </row>
    <row r="112" spans="1:66" x14ac:dyDescent="0.2">
      <c r="A112" s="2"/>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208">
        <f t="shared" si="0"/>
        <v>0</v>
      </c>
      <c r="BN112" s="209"/>
    </row>
    <row r="113" spans="1:66" x14ac:dyDescent="0.2">
      <c r="A113" s="2"/>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208">
        <f t="shared" si="0"/>
        <v>0</v>
      </c>
      <c r="BN113" s="209"/>
    </row>
    <row r="114" spans="1:66" x14ac:dyDescent="0.2">
      <c r="A114" s="2"/>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208">
        <f t="shared" si="0"/>
        <v>0</v>
      </c>
      <c r="BN114" s="209"/>
    </row>
    <row r="115" spans="1:66" x14ac:dyDescent="0.2">
      <c r="A115" s="2"/>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208">
        <f t="shared" si="0"/>
        <v>0</v>
      </c>
      <c r="BN115" s="209"/>
    </row>
    <row r="116" spans="1:66" x14ac:dyDescent="0.2">
      <c r="A116" s="2"/>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208">
        <f t="shared" si="0"/>
        <v>0</v>
      </c>
      <c r="BN116" s="209"/>
    </row>
    <row r="117" spans="1:66" x14ac:dyDescent="0.2">
      <c r="A117" s="2"/>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208">
        <f t="shared" si="0"/>
        <v>0</v>
      </c>
      <c r="BN117" s="209"/>
    </row>
    <row r="118" spans="1:6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row>
    <row r="119" spans="1:6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row>
    <row r="120" spans="1:6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row>
    <row r="121" spans="1:6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row>
    <row r="122" spans="1:6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row>
    <row r="123" spans="1:6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row>
    <row r="124" spans="1:6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row>
    <row r="125" spans="1:6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row>
    <row r="126" spans="1:6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row>
    <row r="127" spans="1:6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row>
    <row r="128" spans="1:6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row>
    <row r="129" spans="1:6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row>
    <row r="130" spans="1:6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row>
    <row r="131" spans="1:6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row>
    <row r="132" spans="1:6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row>
    <row r="133" spans="1:6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row>
    <row r="134" spans="1:6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row>
    <row r="135" spans="1:6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row>
    <row r="136" spans="1:6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row>
    <row r="137" spans="1:6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row>
    <row r="138" spans="1:6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row>
    <row r="139" spans="1:6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row>
    <row r="140" spans="1:6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row>
    <row r="141" spans="1:6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row>
    <row r="142" spans="1:6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row>
    <row r="143" spans="1:6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row>
    <row r="144" spans="1:6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row>
    <row r="145" spans="1:6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row>
    <row r="146" spans="1:6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row>
    <row r="147" spans="1:6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row>
    <row r="148" spans="1:6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row>
    <row r="149" spans="1:6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row>
    <row r="150" spans="1:6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row>
    <row r="151" spans="1:6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row>
    <row r="152" spans="1:6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row>
    <row r="153" spans="1:6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row>
    <row r="154" spans="1:6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row>
    <row r="155" spans="1:6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row>
    <row r="156" spans="1:6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row>
    <row r="157" spans="1:6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row>
    <row r="158" spans="1:6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row>
    <row r="159" spans="1:6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row>
    <row r="160" spans="1:6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row>
    <row r="161" spans="1:6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row>
    <row r="162" spans="1:6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row>
    <row r="163" spans="1:6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row>
    <row r="164" spans="1:6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row>
    <row r="165" spans="1:6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row>
    <row r="166" spans="1:6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row>
    <row r="167" spans="1:6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row>
    <row r="168" spans="1:6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row>
    <row r="169" spans="1:6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row>
    <row r="170" spans="1:6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row>
    <row r="171" spans="1:6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row>
    <row r="172" spans="1:6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row>
    <row r="173" spans="1:6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row>
    <row r="174" spans="1:6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row>
    <row r="175" spans="1:6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row>
    <row r="176" spans="1:6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row>
    <row r="177" spans="1:6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row>
    <row r="178" spans="1:6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row>
    <row r="179" spans="1:6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row>
    <row r="180" spans="1:6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row>
    <row r="181" spans="1:6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row>
    <row r="182" spans="1:6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row>
    <row r="183" spans="1:6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row>
    <row r="184" spans="1:6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row>
    <row r="185" spans="1:6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row>
    <row r="186" spans="1:6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row>
    <row r="187" spans="1:6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row>
    <row r="188" spans="1:6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row>
    <row r="189" spans="1:6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row>
    <row r="190" spans="1:6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row>
    <row r="191" spans="1:6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row>
    <row r="192" spans="1:6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row>
    <row r="193" spans="1:6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row>
    <row r="194" spans="1:6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row>
    <row r="195" spans="1:6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row>
    <row r="196" spans="1:6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row>
    <row r="197" spans="1:6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row>
    <row r="198" spans="1:6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row>
    <row r="199" spans="1:6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row>
    <row r="200" spans="1:6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row>
    <row r="201" spans="1:6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row>
    <row r="202" spans="1:6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row>
    <row r="203" spans="1:6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row>
    <row r="204" spans="1:6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row>
    <row r="205" spans="1:6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row>
    <row r="206" spans="1:6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row>
    <row r="207" spans="1:6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row>
    <row r="208" spans="1:6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row>
    <row r="209" spans="1:6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row>
    <row r="210" spans="1:6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row>
    <row r="211" spans="1:6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row>
    <row r="212" spans="1:6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row>
    <row r="213" spans="1:6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row>
    <row r="214" spans="1:6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row>
    <row r="215" spans="1:6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row>
    <row r="216" spans="1:6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row>
    <row r="217" spans="1:6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row>
    <row r="218" spans="1:6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row>
    <row r="219" spans="1:6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row>
    <row r="220" spans="1:6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row>
    <row r="221" spans="1:6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row>
    <row r="222" spans="1:6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row>
    <row r="223" spans="1:6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row>
    <row r="224" spans="1:6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row>
    <row r="225" spans="1:6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row>
    <row r="226" spans="1:6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row>
    <row r="227" spans="1:6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row>
    <row r="228" spans="1:6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row>
    <row r="229" spans="1:6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row>
    <row r="230" spans="1:6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row>
    <row r="231" spans="1:6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row>
    <row r="232" spans="1:6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row>
    <row r="233" spans="1:6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row>
    <row r="234" spans="1:6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row>
    <row r="235" spans="1:6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row>
    <row r="236" spans="1:6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row>
    <row r="237" spans="1:6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row>
    <row r="238" spans="1:6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row>
    <row r="239" spans="1:6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row>
    <row r="240" spans="1:6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row>
    <row r="241" spans="1:6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row>
    <row r="242" spans="1:6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row>
    <row r="243" spans="1:6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row>
    <row r="244" spans="1:6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row>
    <row r="245" spans="1:6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row>
    <row r="246" spans="1:6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row>
    <row r="247" spans="1:6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row>
    <row r="248" spans="1:6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row>
    <row r="249" spans="1:6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row>
    <row r="250" spans="1:6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row>
    <row r="251" spans="1:6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row>
    <row r="252" spans="1:6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row>
    <row r="253" spans="1:6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row>
    <row r="254" spans="1:6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row>
    <row r="255" spans="1:6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row>
    <row r="256" spans="1:6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row>
    <row r="257" spans="1:6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row>
    <row r="258" spans="1:6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row>
    <row r="259" spans="1:6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row>
    <row r="260" spans="1:6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row>
    <row r="261" spans="1:6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row>
    <row r="262" spans="1:6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row>
    <row r="263" spans="1:6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row>
    <row r="264" spans="1:6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row>
    <row r="265" spans="1:6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row>
    <row r="266" spans="1:6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row>
    <row r="267" spans="1:6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row>
    <row r="268" spans="1:6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row>
    <row r="269" spans="1:6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row>
    <row r="270" spans="1:6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row>
    <row r="271" spans="1:6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row>
    <row r="272" spans="1:6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row>
    <row r="273" spans="1:6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row>
    <row r="274" spans="1:6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row>
    <row r="275" spans="1:6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row>
    <row r="276" spans="1:6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row>
    <row r="277" spans="1:6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row>
    <row r="278" spans="1:6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row>
    <row r="279" spans="1:6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row>
    <row r="280" spans="1:6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row>
    <row r="281" spans="1:6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row>
    <row r="282" spans="1:6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row>
    <row r="283" spans="1:6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row>
    <row r="284" spans="1:6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row>
    <row r="285" spans="1:6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row>
    <row r="286" spans="1:6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row>
    <row r="287" spans="1:6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row>
    <row r="288" spans="1:6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row>
    <row r="289" spans="1:6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row>
    <row r="290" spans="1:6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row>
    <row r="291" spans="1:6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row>
    <row r="292" spans="1:6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row>
    <row r="293" spans="1:6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row>
    <row r="294" spans="1:6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row>
    <row r="295" spans="1:6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row>
    <row r="296" spans="1:6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row>
    <row r="297" spans="1:6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row>
    <row r="298" spans="1:6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row>
    <row r="299" spans="1:6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row>
    <row r="300" spans="1:6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row>
    <row r="301" spans="1:6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row>
    <row r="302" spans="1:6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row>
    <row r="303" spans="1:6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row>
    <row r="304" spans="1:6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row>
    <row r="305" spans="1:6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row>
    <row r="306" spans="1:6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row>
    <row r="307" spans="1:6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row>
    <row r="308" spans="1:6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row>
    <row r="309" spans="1:6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row>
    <row r="310" spans="1:6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row>
    <row r="311" spans="1:6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row>
    <row r="312" spans="1:6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row>
    <row r="313" spans="1:6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row>
    <row r="314" spans="1:6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row>
    <row r="315" spans="1:6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row>
    <row r="316" spans="1:6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row>
    <row r="317" spans="1:6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row>
    <row r="318" spans="1:6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row>
    <row r="319" spans="1:6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row>
    <row r="320" spans="1:6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row>
    <row r="321" spans="1:6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row>
    <row r="322" spans="1:6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row>
    <row r="323" spans="1:6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row>
    <row r="324" spans="1:6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row>
    <row r="325" spans="1:6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row>
    <row r="326" spans="1:6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row>
    <row r="327" spans="1:6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row>
    <row r="328" spans="1:6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row>
    <row r="329" spans="1:6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row>
    <row r="330" spans="1:6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row>
    <row r="331" spans="1:6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row>
    <row r="332" spans="1:6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row>
    <row r="333" spans="1:6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row>
    <row r="334" spans="1:6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row>
    <row r="335" spans="1:6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row>
    <row r="336" spans="1:6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row>
    <row r="337" spans="1:6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row>
    <row r="338" spans="1:6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row>
    <row r="339" spans="1:6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row>
    <row r="340" spans="1:6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row>
    <row r="341" spans="1:6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row>
    <row r="342" spans="1:6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row>
    <row r="343" spans="1:6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row>
    <row r="344" spans="1:6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row>
    <row r="345" spans="1:6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row>
    <row r="346" spans="1:6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row>
    <row r="347" spans="1:6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row>
    <row r="348" spans="1:6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row>
    <row r="349" spans="1:6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row>
    <row r="350" spans="1:6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row>
    <row r="351" spans="1:6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row>
    <row r="352" spans="1:6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row>
    <row r="353" spans="1:6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row>
    <row r="354" spans="1:6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row>
    <row r="355" spans="1:6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row>
    <row r="356" spans="1:6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row>
    <row r="357" spans="1:6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row>
    <row r="358" spans="1:6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row>
    <row r="359" spans="1:6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row>
    <row r="360" spans="1:6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row>
    <row r="361" spans="1:6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row>
    <row r="362" spans="1:6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row>
    <row r="363" spans="1:6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row>
    <row r="364" spans="1:6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row>
    <row r="365" spans="1:6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row>
    <row r="366" spans="1:6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row>
    <row r="367" spans="1:6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row>
    <row r="368" spans="1:6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row>
    <row r="369" spans="1:6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row>
    <row r="370" spans="1:6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row>
    <row r="371" spans="1:6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row>
    <row r="372" spans="1:6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row>
    <row r="373" spans="1:6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row>
    <row r="374" spans="1:6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row>
    <row r="375" spans="1:6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row>
    <row r="376" spans="1:6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row>
    <row r="377" spans="1:6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row>
    <row r="378" spans="1:6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row>
    <row r="379" spans="1:6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row>
    <row r="380" spans="1:6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row>
    <row r="381" spans="1:6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row>
    <row r="382" spans="1:6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row>
    <row r="383" spans="1:6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row>
    <row r="384" spans="1:6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row>
    <row r="385" spans="1:6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row>
    <row r="386" spans="1:6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row>
    <row r="387" spans="1:6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row>
    <row r="388" spans="1:6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row>
    <row r="389" spans="1:6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row>
    <row r="390" spans="1:6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row>
    <row r="391" spans="1:6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row>
    <row r="392" spans="1:6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row>
    <row r="393" spans="1:6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row>
    <row r="394" spans="1:6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row>
    <row r="395" spans="1:6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row>
    <row r="396" spans="1:6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row>
    <row r="397" spans="1:6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row>
    <row r="398" spans="1:6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row>
    <row r="399" spans="1:6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row>
    <row r="400" spans="1:6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row>
    <row r="401" spans="1:6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row>
    <row r="402" spans="1:6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row>
    <row r="403" spans="1:6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row>
    <row r="404" spans="1:6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row>
    <row r="405" spans="1:6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row>
    <row r="406" spans="1:6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row>
    <row r="407" spans="1:6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row>
    <row r="408" spans="1:6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row>
    <row r="409" spans="1:6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row>
    <row r="410" spans="1:6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row>
    <row r="411" spans="1:6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row>
    <row r="412" spans="1:6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row>
    <row r="413" spans="1:6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row>
    <row r="414" spans="1:6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row>
    <row r="415" spans="1:6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row>
    <row r="416" spans="1:6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row>
    <row r="417" spans="1:6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row>
    <row r="418" spans="1:6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row>
    <row r="419" spans="1:6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row>
    <row r="420" spans="1:6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row>
    <row r="421" spans="1:6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row>
    <row r="422" spans="1:6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row>
    <row r="423" spans="1:6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row>
    <row r="424" spans="1:6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row>
    <row r="425" spans="1:6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row>
    <row r="426" spans="1:6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row>
    <row r="427" spans="1:6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row>
    <row r="428" spans="1:6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row>
    <row r="429" spans="1:6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row>
    <row r="430" spans="1:6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row>
    <row r="431" spans="1:6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row>
    <row r="432" spans="1:6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row>
    <row r="433" spans="1:6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row>
    <row r="434" spans="1:6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row>
    <row r="435" spans="1:6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row>
    <row r="436" spans="1:6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row>
    <row r="437" spans="1:6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row>
    <row r="438" spans="1:6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row>
    <row r="439" spans="1:6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row>
    <row r="440" spans="1:6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row>
    <row r="441" spans="1:6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row>
    <row r="442" spans="1:6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row>
    <row r="443" spans="1:6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row>
    <row r="444" spans="1:6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row>
    <row r="445" spans="1:6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row>
    <row r="446" spans="1:6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row>
    <row r="447" spans="1:6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row>
    <row r="448" spans="1:6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row>
    <row r="449" spans="1:6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row>
    <row r="450" spans="1:6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row>
    <row r="451" spans="1:6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row>
    <row r="452" spans="1:6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row>
    <row r="453" spans="1:6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row>
    <row r="454" spans="1:6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row>
    <row r="455" spans="1:6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row>
    <row r="456" spans="1:6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row>
    <row r="457" spans="1:6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row>
    <row r="458" spans="1:6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row>
    <row r="459" spans="1:6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row>
    <row r="460" spans="1:6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row>
    <row r="461" spans="1:6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row>
    <row r="462" spans="1:6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row>
    <row r="463" spans="1:6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row>
    <row r="464" spans="1:6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row>
    <row r="465" spans="1:6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row>
    <row r="466" spans="1:6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row>
    <row r="467" spans="1:6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row>
    <row r="468" spans="1:6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row>
    <row r="469" spans="1:6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row>
    <row r="470" spans="1:6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row>
    <row r="471" spans="1:6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row>
    <row r="472" spans="1:6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row>
    <row r="473" spans="1:6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row>
    <row r="474" spans="1:6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row>
    <row r="475" spans="1:6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row>
    <row r="476" spans="1:6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row>
    <row r="477" spans="1:6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row>
    <row r="478" spans="1:6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row>
    <row r="479" spans="1:6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row>
    <row r="480" spans="1:6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row>
    <row r="481" spans="1:6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row>
    <row r="482" spans="1:6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row>
    <row r="483" spans="1:6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row>
    <row r="484" spans="1:6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row>
    <row r="485" spans="1:6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row>
    <row r="486" spans="1:6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row>
    <row r="487" spans="1:6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row>
    <row r="488" spans="1:6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row>
    <row r="489" spans="1:6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row>
    <row r="490" spans="1:6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row>
    <row r="491" spans="1:6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row>
    <row r="492" spans="1:6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row>
    <row r="493" spans="1:6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row>
    <row r="494" spans="1:6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row>
    <row r="495" spans="1:6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row>
    <row r="496" spans="1:6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row>
    <row r="497" spans="1:6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row>
    <row r="498" spans="1:6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row>
    <row r="499" spans="1:6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row>
    <row r="500" spans="1:6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row>
    <row r="501" spans="1:6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row>
    <row r="502" spans="1:6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row>
    <row r="503" spans="1:6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row>
    <row r="504" spans="1:6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row>
    <row r="505" spans="1:6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row>
    <row r="506" spans="1:6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row>
    <row r="507" spans="1:6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row>
    <row r="508" spans="1:6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row>
    <row r="509" spans="1:6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row>
    <row r="510" spans="1:6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row>
    <row r="511" spans="1:6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row>
    <row r="512" spans="1:6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row>
    <row r="513" spans="1:6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row>
    <row r="514" spans="1:6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row>
    <row r="515" spans="1:6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row>
    <row r="516" spans="1:6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row>
    <row r="517" spans="1:6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row>
    <row r="518" spans="1:6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row>
    <row r="519" spans="1:6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row>
    <row r="520" spans="1:6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row>
    <row r="521" spans="1:6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row>
    <row r="522" spans="1:6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row>
    <row r="523" spans="1:6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row>
    <row r="524" spans="1:6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row>
    <row r="525" spans="1:6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row>
    <row r="526" spans="1:6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row>
    <row r="527" spans="1:6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row>
    <row r="528" spans="1:6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row>
    <row r="529" spans="1:6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row>
    <row r="530" spans="1:6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row>
    <row r="531" spans="1:6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row>
    <row r="532" spans="1:6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row>
    <row r="533" spans="1:6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row>
    <row r="534" spans="1:6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row>
    <row r="535" spans="1:6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row>
    <row r="536" spans="1:6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row>
    <row r="537" spans="1:6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row>
    <row r="538" spans="1:6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row>
    <row r="539" spans="1:6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row>
    <row r="540" spans="1:6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row>
    <row r="541" spans="1:6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row>
    <row r="542" spans="1:6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row>
    <row r="543" spans="1:6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row>
    <row r="544" spans="1:6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row>
    <row r="545" spans="1:6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row>
    <row r="546" spans="1:6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row>
    <row r="547" spans="1:6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row>
    <row r="548" spans="1:6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row>
    <row r="549" spans="1:6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row>
    <row r="550" spans="1:6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row>
    <row r="551" spans="1:6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row>
    <row r="552" spans="1:6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row>
    <row r="553" spans="1:6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row>
    <row r="554" spans="1:6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row>
    <row r="555" spans="1:6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row>
    <row r="556" spans="1:6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row>
    <row r="557" spans="1:6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row>
    <row r="558" spans="1:6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row>
    <row r="559" spans="1:6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row>
    <row r="560" spans="1:6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row>
    <row r="561" spans="1:6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row>
    <row r="562" spans="1:6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row>
    <row r="563" spans="1:6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row>
    <row r="564" spans="1:6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row>
    <row r="565" spans="1:6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row>
    <row r="566" spans="1:6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row>
    <row r="567" spans="1:6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row>
    <row r="568" spans="1:6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row>
    <row r="569" spans="1:6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row>
    <row r="570" spans="1:6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row>
    <row r="571" spans="1:6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row>
    <row r="572" spans="1:6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row>
    <row r="573" spans="1:6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row>
    <row r="574" spans="1:6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row>
    <row r="575" spans="1:6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row>
    <row r="576" spans="1:6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row>
    <row r="577" spans="1:6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row>
    <row r="578" spans="1:6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row>
    <row r="579" spans="1:6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row>
    <row r="580" spans="1:6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row>
    <row r="581" spans="1:6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row>
    <row r="582" spans="1:6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row>
    <row r="583" spans="1:6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row>
    <row r="584" spans="1:6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row>
    <row r="585" spans="1:6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row>
    <row r="586" spans="1:6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row>
    <row r="587" spans="1:6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row>
    <row r="588" spans="1:6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row>
    <row r="589" spans="1:6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row>
    <row r="590" spans="1:6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row>
    <row r="591" spans="1:6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row>
    <row r="592" spans="1:6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row>
    <row r="593" spans="1:6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row>
    <row r="594" spans="1:6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row>
    <row r="595" spans="1:6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row>
    <row r="596" spans="1:6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row>
    <row r="597" spans="1:6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row>
    <row r="598" spans="1:6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row>
    <row r="599" spans="1:6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row>
    <row r="600" spans="1:6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row>
    <row r="601" spans="1:6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row>
    <row r="602" spans="1:6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row>
    <row r="603" spans="1:6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row>
    <row r="604" spans="1:6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row>
    <row r="605" spans="1:6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row>
    <row r="606" spans="1:6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row>
    <row r="607" spans="1:6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row>
    <row r="608" spans="1:6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row>
    <row r="609" spans="1:6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row>
    <row r="610" spans="1:6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row>
    <row r="611" spans="1:6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row>
    <row r="612" spans="1:6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row>
    <row r="613" spans="1:6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row>
    <row r="614" spans="1:6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row>
    <row r="615" spans="1:6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row>
    <row r="616" spans="1:6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row>
    <row r="617" spans="1:6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row>
    <row r="618" spans="1:6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row>
    <row r="619" spans="1:6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row>
    <row r="620" spans="1:6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row>
    <row r="621" spans="1:6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row>
    <row r="622" spans="1:6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row>
    <row r="623" spans="1:6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row>
    <row r="624" spans="1:6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row>
    <row r="625" spans="1:6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row>
    <row r="626" spans="1:6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row>
    <row r="627" spans="1:6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row>
    <row r="628" spans="1:6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row>
    <row r="629" spans="1:6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row>
    <row r="630" spans="1:6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row>
    <row r="631" spans="1:6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row>
    <row r="632" spans="1:6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row>
    <row r="633" spans="1:6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row>
    <row r="634" spans="1:6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row>
    <row r="635" spans="1:6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row>
    <row r="636" spans="1:6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row>
    <row r="637" spans="1:6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row>
    <row r="638" spans="1:6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row>
    <row r="639" spans="1:6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row>
    <row r="640" spans="1:6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row>
    <row r="641" spans="1:6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row>
    <row r="642" spans="1:6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row>
    <row r="643" spans="1:6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row>
    <row r="644" spans="1:6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row>
    <row r="645" spans="1:6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row>
    <row r="646" spans="1:6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row>
    <row r="647" spans="1:6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row>
    <row r="648" spans="1:6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row>
    <row r="649" spans="1:6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row>
    <row r="650" spans="1:6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row>
    <row r="651" spans="1:6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row>
    <row r="652" spans="1:6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row>
    <row r="653" spans="1:6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row>
    <row r="654" spans="1:6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row>
    <row r="655" spans="1:6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row>
    <row r="656" spans="1:6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row>
    <row r="657" spans="1:6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row>
    <row r="658" spans="1:6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row>
    <row r="659" spans="1:6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row>
    <row r="660" spans="1:6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row>
    <row r="661" spans="1:6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row>
    <row r="662" spans="1:6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row>
    <row r="663" spans="1:6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row>
    <row r="664" spans="1:6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row>
    <row r="665" spans="1:6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row>
    <row r="666" spans="1:6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row>
    <row r="667" spans="1:6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row>
    <row r="668" spans="1:6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row>
    <row r="669" spans="1:6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row>
    <row r="670" spans="1:6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row>
    <row r="671" spans="1:6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row>
    <row r="672" spans="1:6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row>
    <row r="673" spans="1:6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row>
    <row r="674" spans="1:6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row>
    <row r="675" spans="1:6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row>
    <row r="676" spans="1:6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row>
    <row r="677" spans="1:6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row>
    <row r="678" spans="1:6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row>
    <row r="679" spans="1:6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row>
    <row r="680" spans="1:6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row>
    <row r="681" spans="1:6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row>
    <row r="682" spans="1:6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row>
    <row r="683" spans="1:6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row>
    <row r="684" spans="1:6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row>
    <row r="685" spans="1:6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row>
    <row r="686" spans="1:6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row>
    <row r="687" spans="1:6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row>
    <row r="688" spans="1:6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row>
    <row r="689" spans="1:6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row>
    <row r="690" spans="1:6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row>
    <row r="691" spans="1:6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row>
    <row r="692" spans="1:6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row>
    <row r="693" spans="1:6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row>
    <row r="694" spans="1:6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row>
    <row r="695" spans="1:6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row>
    <row r="696" spans="1:6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row>
    <row r="697" spans="1:6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row>
    <row r="698" spans="1:6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row>
    <row r="699" spans="1:6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row>
    <row r="700" spans="1:6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row>
    <row r="701" spans="1:6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row>
    <row r="702" spans="1:6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row>
    <row r="703" spans="1:6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row>
    <row r="704" spans="1:6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row>
    <row r="705" spans="1:6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row>
    <row r="706" spans="1:6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row>
    <row r="707" spans="1:6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row>
    <row r="708" spans="1:6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row>
    <row r="709" spans="1:6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row>
    <row r="710" spans="1:6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row>
    <row r="711" spans="1:6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row>
    <row r="712" spans="1:6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row>
    <row r="713" spans="1:6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row>
    <row r="714" spans="1:6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row>
    <row r="715" spans="1:6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row>
    <row r="716" spans="1:6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row>
    <row r="717" spans="1:6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row>
    <row r="718" spans="1:6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row>
    <row r="719" spans="1:6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row>
    <row r="720" spans="1:6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row>
    <row r="721" spans="1:6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row>
    <row r="722" spans="1:6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row>
    <row r="723" spans="1:6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row>
    <row r="724" spans="1:6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row>
    <row r="725" spans="1:6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row>
    <row r="726" spans="1:6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row>
    <row r="727" spans="1:6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row>
    <row r="728" spans="1:6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row>
    <row r="729" spans="1:6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row>
    <row r="730" spans="1:6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row>
    <row r="731" spans="1:6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row>
    <row r="732" spans="1:6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row>
    <row r="733" spans="1:6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row>
    <row r="734" spans="1:6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row>
    <row r="735" spans="1:6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row>
    <row r="736" spans="1:6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row>
    <row r="737" spans="1:6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row>
    <row r="738" spans="1:6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row>
    <row r="739" spans="1:6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row>
    <row r="740" spans="1:6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row>
    <row r="741" spans="1:6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row>
    <row r="742" spans="1:6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row>
    <row r="743" spans="1:6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row>
    <row r="744" spans="1:6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row>
    <row r="745" spans="1:6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row>
    <row r="746" spans="1:6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row>
    <row r="747" spans="1:6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row>
    <row r="748" spans="1:6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row>
    <row r="749" spans="1:6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row>
    <row r="750" spans="1:6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row>
    <row r="751" spans="1:6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row>
    <row r="752" spans="1:6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row>
    <row r="753" spans="1:6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row>
    <row r="754" spans="1:6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row>
    <row r="755" spans="1:6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row>
    <row r="756" spans="1:6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row>
    <row r="757" spans="1:6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row>
    <row r="758" spans="1:6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row>
    <row r="759" spans="1:6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row>
    <row r="760" spans="1:6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row>
    <row r="761" spans="1:6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row>
    <row r="762" spans="1:6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row>
    <row r="763" spans="1:6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row>
    <row r="764" spans="1:6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row>
    <row r="765" spans="1:6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row>
    <row r="766" spans="1:6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row>
    <row r="767" spans="1:6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row>
    <row r="768" spans="1:6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row>
    <row r="769" spans="1:6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row>
    <row r="770" spans="1:6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row>
    <row r="771" spans="1:6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row>
    <row r="772" spans="1:6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row>
    <row r="773" spans="1:6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row>
    <row r="774" spans="1:6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row>
    <row r="775" spans="1:6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row>
    <row r="776" spans="1:6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row>
    <row r="777" spans="1:6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row>
    <row r="778" spans="1:6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row>
    <row r="779" spans="1:6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row>
    <row r="780" spans="1:6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row>
    <row r="781" spans="1:6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row>
    <row r="782" spans="1:6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row>
    <row r="783" spans="1:6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row>
    <row r="784" spans="1:6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row>
    <row r="785" spans="1:6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row>
    <row r="786" spans="1:6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row>
    <row r="787" spans="1:6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row>
    <row r="788" spans="1:6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row>
    <row r="789" spans="1:6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row>
    <row r="790" spans="1:6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row>
    <row r="791" spans="1:6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row>
    <row r="792" spans="1:6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row>
    <row r="793" spans="1:6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row>
    <row r="794" spans="1:6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row>
    <row r="795" spans="1:6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row>
    <row r="796" spans="1:6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row>
    <row r="797" spans="1:6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row>
    <row r="798" spans="1:6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row>
    <row r="799" spans="1:6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row>
    <row r="800" spans="1:6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row>
    <row r="801" spans="1:6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row>
    <row r="802" spans="1:6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row>
    <row r="803" spans="1:6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row>
    <row r="804" spans="1:6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row>
    <row r="805" spans="1:6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row>
    <row r="806" spans="1:6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row>
    <row r="807" spans="1:6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row>
    <row r="808" spans="1:6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row>
    <row r="809" spans="1:6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row>
    <row r="810" spans="1:6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row>
    <row r="811" spans="1:6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row>
    <row r="812" spans="1:6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row>
    <row r="813" spans="1:6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row>
    <row r="814" spans="1:6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row>
    <row r="815" spans="1:6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row>
    <row r="816" spans="1:6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row>
    <row r="817" spans="1:6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row>
    <row r="818" spans="1:6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row>
    <row r="819" spans="1:6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row>
    <row r="820" spans="1:6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row>
    <row r="821" spans="1:6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row>
    <row r="822" spans="1:6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row>
    <row r="823" spans="1:6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row>
    <row r="824" spans="1:6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row>
    <row r="825" spans="1:6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row>
    <row r="826" spans="1:6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row>
    <row r="827" spans="1:6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row>
    <row r="828" spans="1:6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row>
    <row r="829" spans="1:6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row>
    <row r="830" spans="1:6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row>
    <row r="831" spans="1:6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row>
    <row r="832" spans="1:6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row>
    <row r="833" spans="1:6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row>
    <row r="834" spans="1:6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row>
    <row r="835" spans="1:6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row>
    <row r="836" spans="1:6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row>
    <row r="837" spans="1:6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row>
    <row r="838" spans="1:6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row>
    <row r="839" spans="1:6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row>
    <row r="840" spans="1:6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row>
    <row r="841" spans="1:6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row>
    <row r="842" spans="1:6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row>
    <row r="843" spans="1:6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row>
    <row r="844" spans="1:6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row>
    <row r="845" spans="1:6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row>
    <row r="846" spans="1:6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row>
    <row r="847" spans="1:6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row>
    <row r="848" spans="1:6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row>
    <row r="849" spans="1:6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row>
    <row r="850" spans="1:6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row>
    <row r="851" spans="1:6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row>
    <row r="852" spans="1:6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row>
    <row r="853" spans="1:6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row>
    <row r="854" spans="1:6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row>
    <row r="855" spans="1:6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row>
    <row r="856" spans="1:6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row>
    <row r="857" spans="1:6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row>
    <row r="858" spans="1:6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row>
    <row r="859" spans="1:6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row>
    <row r="860" spans="1:6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row>
    <row r="861" spans="1:6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row>
    <row r="862" spans="1:6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row>
    <row r="863" spans="1:6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row>
    <row r="864" spans="1:6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row>
    <row r="865" spans="1:6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row>
    <row r="866" spans="1:6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row>
    <row r="867" spans="1:6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row>
    <row r="868" spans="1:6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row>
    <row r="869" spans="1:6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row>
    <row r="870" spans="1:6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row>
    <row r="871" spans="1:6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row>
    <row r="872" spans="1:6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row>
    <row r="873" spans="1:6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row>
    <row r="874" spans="1:6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row>
    <row r="875" spans="1:6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row>
    <row r="876" spans="1:6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row>
    <row r="877" spans="1:6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row>
    <row r="878" spans="1:6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row>
    <row r="879" spans="1:6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row>
    <row r="880" spans="1:6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row>
    <row r="881" spans="1:6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row>
    <row r="882" spans="1:6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row>
    <row r="883" spans="1:6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row>
    <row r="884" spans="1:6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row>
    <row r="885" spans="1:6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row>
    <row r="886" spans="1:6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row>
    <row r="887" spans="1:6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row>
    <row r="888" spans="1:6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row>
    <row r="889" spans="1:6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row>
    <row r="890" spans="1:6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row>
    <row r="891" spans="1:6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row>
    <row r="892" spans="1:6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row>
    <row r="893" spans="1:6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row>
    <row r="894" spans="1:6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row>
    <row r="895" spans="1:6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row>
    <row r="896" spans="1:6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row>
    <row r="897" spans="1:6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row>
    <row r="898" spans="1:6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row>
    <row r="899" spans="1:6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row>
    <row r="900" spans="1:6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row>
    <row r="901" spans="1:6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row>
    <row r="902" spans="1:6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row>
    <row r="903" spans="1:6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row>
    <row r="904" spans="1:6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row>
    <row r="905" spans="1:6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row>
    <row r="906" spans="1:6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row>
    <row r="907" spans="1:6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row>
    <row r="908" spans="1:6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row>
    <row r="909" spans="1:6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row>
    <row r="910" spans="1:6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row>
    <row r="911" spans="1:6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row>
    <row r="912" spans="1:6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row>
    <row r="913" spans="1:6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row>
    <row r="914" spans="1:6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row>
    <row r="915" spans="1:6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row>
    <row r="916" spans="1:6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row>
    <row r="917" spans="1:6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row>
    <row r="918" spans="1:6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row>
    <row r="919" spans="1:6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row>
    <row r="920" spans="1:6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row>
    <row r="921" spans="1:6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row>
    <row r="922" spans="1:6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row>
    <row r="923" spans="1:6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row>
    <row r="924" spans="1:6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row>
    <row r="925" spans="1:6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row>
    <row r="926" spans="1:6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row>
    <row r="927" spans="1:6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row>
    <row r="928" spans="1:6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row>
    <row r="929" spans="1:6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row>
    <row r="930" spans="1:6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row>
    <row r="931" spans="1:6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row>
    <row r="932" spans="1:6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row>
    <row r="933" spans="1:6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row>
    <row r="934" spans="1:6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row>
    <row r="935" spans="1:6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row>
    <row r="936" spans="1:6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row>
    <row r="937" spans="1:6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row>
    <row r="938" spans="1:6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row>
    <row r="939" spans="1:6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row>
    <row r="940" spans="1:6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row>
    <row r="941" spans="1:6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row>
    <row r="942" spans="1:6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row>
    <row r="943" spans="1:6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row>
    <row r="944" spans="1:6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row>
    <row r="945" spans="1:6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row>
    <row r="946" spans="1:6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row>
    <row r="947" spans="1:6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row>
    <row r="948" spans="1:6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row>
    <row r="949" spans="1:6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row>
    <row r="950" spans="1:6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row>
    <row r="951" spans="1:6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row>
    <row r="952" spans="1:6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row>
    <row r="953" spans="1:6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row>
    <row r="954" spans="1:6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row>
    <row r="955" spans="1:6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row>
    <row r="956" spans="1:6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row>
    <row r="957" spans="1:6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row>
    <row r="958" spans="1:6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row>
    <row r="959" spans="1:6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row>
    <row r="960" spans="1:6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row>
    <row r="961" spans="1:6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row>
    <row r="962" spans="1:6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row>
    <row r="963" spans="1:6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row>
    <row r="964" spans="1:6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row>
    <row r="965" spans="1:6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row>
    <row r="966" spans="1:6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row>
    <row r="967" spans="1:6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row>
    <row r="968" spans="1:6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row>
    <row r="969" spans="1:6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row>
    <row r="970" spans="1:6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row>
    <row r="971" spans="1:6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row>
    <row r="972" spans="1:6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row>
    <row r="973" spans="1:6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row>
    <row r="974" spans="1:6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row>
    <row r="975" spans="1:6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row>
    <row r="976" spans="1:6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row>
    <row r="977" spans="1:6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row>
    <row r="978" spans="1:6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row>
    <row r="979" spans="1:6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row>
    <row r="980" spans="1:6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row>
    <row r="981" spans="1:6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row>
    <row r="982" spans="1:6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row>
    <row r="983" spans="1:6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row>
    <row r="984" spans="1:6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row>
    <row r="985" spans="1:6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row>
    <row r="986" spans="1:6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row>
    <row r="987" spans="1:6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row>
    <row r="988" spans="1:6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row>
    <row r="989" spans="1:6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row>
    <row r="990" spans="1:6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row>
    <row r="991" spans="1:6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row>
    <row r="992" spans="1:6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row>
    <row r="993" spans="1:6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row>
    <row r="994" spans="1:6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row>
    <row r="995" spans="1:6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row>
    <row r="996" spans="1:6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row>
    <row r="997" spans="1:6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row>
    <row r="998" spans="1:6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row>
    <row r="999" spans="1:6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row>
    <row r="1000" spans="1:6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row>
    <row r="1001" spans="1:66"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N1001"/>
  <sheetViews>
    <sheetView workbookViewId="0">
      <pane xSplit="2" topLeftCell="C1" activePane="topRight" state="frozen"/>
      <selection pane="topRight" activeCell="D2" sqref="D2"/>
    </sheetView>
  </sheetViews>
  <sheetFormatPr baseColWidth="10" defaultColWidth="12.6640625" defaultRowHeight="15" customHeight="1" x14ac:dyDescent="0.15"/>
  <cols>
    <col min="1" max="1" width="2.6640625" customWidth="1"/>
    <col min="2" max="2" width="24.1640625" customWidth="1"/>
    <col min="66" max="66" width="2.6640625" customWidth="1"/>
  </cols>
  <sheetData>
    <row r="1" spans="1:66" x14ac:dyDescent="0.2">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row>
    <row r="2" spans="1:66" ht="15" customHeight="1" x14ac:dyDescent="0.25">
      <c r="A2" s="2"/>
      <c r="B2" s="195" t="s">
        <v>947</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row>
    <row r="3" spans="1:66" x14ac:dyDescent="0.2">
      <c r="A3" s="196"/>
      <c r="B3" s="197">
        <v>46143</v>
      </c>
      <c r="C3" s="211"/>
      <c r="D3" s="199" t="s">
        <v>948</v>
      </c>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0"/>
      <c r="AV3" s="200"/>
      <c r="AW3" s="200"/>
      <c r="AX3" s="200"/>
      <c r="AY3" s="200"/>
      <c r="AZ3" s="200"/>
      <c r="BA3" s="200"/>
      <c r="BB3" s="200"/>
      <c r="BC3" s="200"/>
      <c r="BD3" s="200"/>
      <c r="BE3" s="200"/>
      <c r="BF3" s="200"/>
      <c r="BG3" s="200"/>
      <c r="BH3" s="200"/>
      <c r="BI3" s="200"/>
      <c r="BJ3" s="200"/>
      <c r="BK3" s="200"/>
      <c r="BL3" s="200"/>
      <c r="BM3" s="201"/>
      <c r="BN3" s="2"/>
    </row>
    <row r="4" spans="1:66" x14ac:dyDescent="0.2">
      <c r="A4" s="202"/>
      <c r="B4" s="203" t="s">
        <v>949</v>
      </c>
      <c r="C4" s="204">
        <v>1</v>
      </c>
      <c r="D4" s="204" t="s">
        <v>950</v>
      </c>
      <c r="E4" s="204">
        <v>2</v>
      </c>
      <c r="F4" s="204" t="s">
        <v>950</v>
      </c>
      <c r="G4" s="204">
        <v>3</v>
      </c>
      <c r="H4" s="204" t="s">
        <v>950</v>
      </c>
      <c r="I4" s="204">
        <v>4</v>
      </c>
      <c r="J4" s="204" t="s">
        <v>950</v>
      </c>
      <c r="K4" s="204">
        <v>5</v>
      </c>
      <c r="L4" s="204" t="s">
        <v>950</v>
      </c>
      <c r="M4" s="204">
        <v>6</v>
      </c>
      <c r="N4" s="204" t="s">
        <v>950</v>
      </c>
      <c r="O4" s="204">
        <v>7</v>
      </c>
      <c r="P4" s="204" t="s">
        <v>950</v>
      </c>
      <c r="Q4" s="204">
        <v>8</v>
      </c>
      <c r="R4" s="204" t="s">
        <v>950</v>
      </c>
      <c r="S4" s="204">
        <v>9</v>
      </c>
      <c r="T4" s="204" t="s">
        <v>950</v>
      </c>
      <c r="U4" s="204">
        <v>10</v>
      </c>
      <c r="V4" s="204" t="s">
        <v>950</v>
      </c>
      <c r="W4" s="204">
        <v>11</v>
      </c>
      <c r="X4" s="204" t="s">
        <v>950</v>
      </c>
      <c r="Y4" s="204">
        <v>12</v>
      </c>
      <c r="Z4" s="204" t="s">
        <v>950</v>
      </c>
      <c r="AA4" s="204">
        <v>13</v>
      </c>
      <c r="AB4" s="204" t="s">
        <v>950</v>
      </c>
      <c r="AC4" s="204">
        <v>14</v>
      </c>
      <c r="AD4" s="204" t="s">
        <v>950</v>
      </c>
      <c r="AE4" s="204">
        <v>15</v>
      </c>
      <c r="AF4" s="204" t="s">
        <v>950</v>
      </c>
      <c r="AG4" s="204">
        <v>16</v>
      </c>
      <c r="AH4" s="204" t="s">
        <v>950</v>
      </c>
      <c r="AI4" s="204">
        <v>17</v>
      </c>
      <c r="AJ4" s="204" t="s">
        <v>950</v>
      </c>
      <c r="AK4" s="204">
        <v>18</v>
      </c>
      <c r="AL4" s="204" t="s">
        <v>950</v>
      </c>
      <c r="AM4" s="204">
        <v>19</v>
      </c>
      <c r="AN4" s="204" t="s">
        <v>950</v>
      </c>
      <c r="AO4" s="204">
        <v>20</v>
      </c>
      <c r="AP4" s="204" t="s">
        <v>950</v>
      </c>
      <c r="AQ4" s="204">
        <v>21</v>
      </c>
      <c r="AR4" s="204" t="s">
        <v>950</v>
      </c>
      <c r="AS4" s="204">
        <v>22</v>
      </c>
      <c r="AT4" s="204" t="s">
        <v>950</v>
      </c>
      <c r="AU4" s="204">
        <v>23</v>
      </c>
      <c r="AV4" s="204" t="s">
        <v>950</v>
      </c>
      <c r="AW4" s="204">
        <v>24</v>
      </c>
      <c r="AX4" s="204" t="s">
        <v>950</v>
      </c>
      <c r="AY4" s="204">
        <v>25</v>
      </c>
      <c r="AZ4" s="204" t="s">
        <v>950</v>
      </c>
      <c r="BA4" s="204">
        <v>26</v>
      </c>
      <c r="BB4" s="204" t="s">
        <v>950</v>
      </c>
      <c r="BC4" s="204">
        <v>27</v>
      </c>
      <c r="BD4" s="204" t="s">
        <v>950</v>
      </c>
      <c r="BE4" s="204">
        <v>28</v>
      </c>
      <c r="BF4" s="204" t="s">
        <v>950</v>
      </c>
      <c r="BG4" s="204">
        <v>29</v>
      </c>
      <c r="BH4" s="204" t="s">
        <v>950</v>
      </c>
      <c r="BI4" s="204">
        <v>30</v>
      </c>
      <c r="BJ4" s="204" t="s">
        <v>950</v>
      </c>
      <c r="BK4" s="204">
        <v>31</v>
      </c>
      <c r="BL4" s="204" t="s">
        <v>950</v>
      </c>
      <c r="BM4" s="204" t="s">
        <v>951</v>
      </c>
      <c r="BN4" s="205"/>
    </row>
    <row r="5" spans="1:66" x14ac:dyDescent="0.2">
      <c r="A5" s="206"/>
      <c r="B5" s="20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208">
        <f t="shared" ref="BM5:BM117" si="0">SUM(C5:BK5)</f>
        <v>0</v>
      </c>
      <c r="BN5" s="209"/>
    </row>
    <row r="6" spans="1:66" x14ac:dyDescent="0.2">
      <c r="A6" s="206"/>
      <c r="B6" s="20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208">
        <f t="shared" si="0"/>
        <v>0</v>
      </c>
      <c r="BN6" s="209"/>
    </row>
    <row r="7" spans="1:66" x14ac:dyDescent="0.2">
      <c r="A7" s="206"/>
      <c r="B7" s="20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208">
        <f t="shared" si="0"/>
        <v>0</v>
      </c>
      <c r="BN7" s="209"/>
    </row>
    <row r="8" spans="1:66" x14ac:dyDescent="0.2">
      <c r="A8" s="206"/>
      <c r="B8" s="20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208">
        <f t="shared" si="0"/>
        <v>0</v>
      </c>
      <c r="BN8" s="209"/>
    </row>
    <row r="9" spans="1:66" x14ac:dyDescent="0.2">
      <c r="A9" s="206"/>
      <c r="B9" s="20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208">
        <f t="shared" si="0"/>
        <v>0</v>
      </c>
      <c r="BN9" s="209"/>
    </row>
    <row r="10" spans="1:66" x14ac:dyDescent="0.2">
      <c r="A10" s="206"/>
      <c r="B10" s="20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208">
        <f t="shared" si="0"/>
        <v>0</v>
      </c>
      <c r="BN10" s="209"/>
    </row>
    <row r="11" spans="1:66" x14ac:dyDescent="0.2">
      <c r="A11" s="206"/>
      <c r="B11" s="20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208">
        <f t="shared" si="0"/>
        <v>0</v>
      </c>
      <c r="BN11" s="209"/>
    </row>
    <row r="12" spans="1:66" x14ac:dyDescent="0.2">
      <c r="A12" s="206"/>
      <c r="B12" s="20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208">
        <f t="shared" si="0"/>
        <v>0</v>
      </c>
      <c r="BN12" s="209"/>
    </row>
    <row r="13" spans="1:66" x14ac:dyDescent="0.2">
      <c r="A13" s="206"/>
      <c r="B13" s="20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208">
        <f t="shared" si="0"/>
        <v>0</v>
      </c>
      <c r="BN13" s="209"/>
    </row>
    <row r="14" spans="1:66" x14ac:dyDescent="0.2">
      <c r="A14" s="206"/>
      <c r="B14" s="207"/>
      <c r="C14" s="7"/>
      <c r="D14" s="7"/>
      <c r="E14" s="7"/>
      <c r="F14" s="7"/>
      <c r="G14" s="7"/>
      <c r="H14" s="7"/>
      <c r="I14" s="7"/>
      <c r="J14" s="7"/>
      <c r="K14" s="210"/>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208">
        <f t="shared" si="0"/>
        <v>0</v>
      </c>
      <c r="BN14" s="209"/>
    </row>
    <row r="15" spans="1:66" x14ac:dyDescent="0.2">
      <c r="A15" s="206"/>
      <c r="B15" s="207"/>
      <c r="C15" s="7"/>
      <c r="D15" s="7"/>
      <c r="E15" s="7"/>
      <c r="F15" s="7"/>
      <c r="G15" s="7"/>
      <c r="H15" s="7"/>
      <c r="I15" s="7"/>
      <c r="J15" s="7"/>
      <c r="K15" s="210"/>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208">
        <f t="shared" si="0"/>
        <v>0</v>
      </c>
      <c r="BN15" s="209"/>
    </row>
    <row r="16" spans="1:66" x14ac:dyDescent="0.2">
      <c r="A16" s="206"/>
      <c r="B16" s="20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208">
        <f t="shared" si="0"/>
        <v>0</v>
      </c>
      <c r="BN16" s="209"/>
    </row>
    <row r="17" spans="1:66" x14ac:dyDescent="0.2">
      <c r="A17" s="206"/>
      <c r="B17" s="20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208">
        <f t="shared" si="0"/>
        <v>0</v>
      </c>
      <c r="BN17" s="209"/>
    </row>
    <row r="18" spans="1:66" x14ac:dyDescent="0.2">
      <c r="A18" s="206"/>
      <c r="B18" s="20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208">
        <f t="shared" si="0"/>
        <v>0</v>
      </c>
      <c r="BN18" s="209"/>
    </row>
    <row r="19" spans="1:66" x14ac:dyDescent="0.2">
      <c r="A19" s="206"/>
      <c r="B19" s="20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208">
        <f t="shared" si="0"/>
        <v>0</v>
      </c>
      <c r="BN19" s="209"/>
    </row>
    <row r="20" spans="1:66" x14ac:dyDescent="0.2">
      <c r="A20" s="206"/>
      <c r="B20" s="20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208">
        <f t="shared" si="0"/>
        <v>0</v>
      </c>
      <c r="BN20" s="209"/>
    </row>
    <row r="21" spans="1:66" x14ac:dyDescent="0.2">
      <c r="A21" s="206"/>
      <c r="B21" s="20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208">
        <f t="shared" si="0"/>
        <v>0</v>
      </c>
      <c r="BN21" s="209"/>
    </row>
    <row r="22" spans="1:66" x14ac:dyDescent="0.2">
      <c r="A22" s="206"/>
      <c r="B22" s="20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208">
        <f t="shared" si="0"/>
        <v>0</v>
      </c>
      <c r="BN22" s="209"/>
    </row>
    <row r="23" spans="1:66" x14ac:dyDescent="0.2">
      <c r="A23" s="206"/>
      <c r="B23" s="20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208">
        <f t="shared" si="0"/>
        <v>0</v>
      </c>
      <c r="BN23" s="209"/>
    </row>
    <row r="24" spans="1:66" x14ac:dyDescent="0.2">
      <c r="A24" s="206"/>
      <c r="B24" s="20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208">
        <f t="shared" si="0"/>
        <v>0</v>
      </c>
      <c r="BN24" s="209"/>
    </row>
    <row r="25" spans="1:66" x14ac:dyDescent="0.2">
      <c r="A25" s="206"/>
      <c r="B25" s="20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208">
        <f t="shared" si="0"/>
        <v>0</v>
      </c>
      <c r="BN25" s="209"/>
    </row>
    <row r="26" spans="1:66" x14ac:dyDescent="0.2">
      <c r="A26" s="206"/>
      <c r="B26" s="20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208">
        <f t="shared" si="0"/>
        <v>0</v>
      </c>
      <c r="BN26" s="209"/>
    </row>
    <row r="27" spans="1:66" x14ac:dyDescent="0.2">
      <c r="A27" s="206"/>
      <c r="B27" s="20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208">
        <f t="shared" si="0"/>
        <v>0</v>
      </c>
      <c r="BN27" s="209"/>
    </row>
    <row r="28" spans="1:66" x14ac:dyDescent="0.2">
      <c r="A28" s="206"/>
      <c r="B28" s="20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208">
        <f t="shared" si="0"/>
        <v>0</v>
      </c>
      <c r="BN28" s="209"/>
    </row>
    <row r="29" spans="1:66" x14ac:dyDescent="0.2">
      <c r="A29" s="206"/>
      <c r="B29" s="20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208">
        <f t="shared" si="0"/>
        <v>0</v>
      </c>
      <c r="BN29" s="209"/>
    </row>
    <row r="30" spans="1:66" x14ac:dyDescent="0.2">
      <c r="A30" s="206"/>
      <c r="B30" s="20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208">
        <f t="shared" si="0"/>
        <v>0</v>
      </c>
      <c r="BN30" s="209"/>
    </row>
    <row r="31" spans="1:66" x14ac:dyDescent="0.2">
      <c r="A31" s="206"/>
      <c r="B31" s="20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208">
        <f t="shared" si="0"/>
        <v>0</v>
      </c>
      <c r="BN31" s="209"/>
    </row>
    <row r="32" spans="1:66" x14ac:dyDescent="0.2">
      <c r="A32" s="206"/>
      <c r="B32" s="20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208">
        <f t="shared" si="0"/>
        <v>0</v>
      </c>
      <c r="BN32" s="209"/>
    </row>
    <row r="33" spans="1:66" x14ac:dyDescent="0.2">
      <c r="A33" s="206"/>
      <c r="B33" s="20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208">
        <f t="shared" si="0"/>
        <v>0</v>
      </c>
      <c r="BN33" s="209"/>
    </row>
    <row r="34" spans="1:66" x14ac:dyDescent="0.2">
      <c r="A34" s="2"/>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208">
        <f t="shared" si="0"/>
        <v>0</v>
      </c>
      <c r="BN34" s="209"/>
    </row>
    <row r="35" spans="1:66" x14ac:dyDescent="0.2">
      <c r="A35" s="2"/>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208">
        <f t="shared" si="0"/>
        <v>0</v>
      </c>
      <c r="BN35" s="209"/>
    </row>
    <row r="36" spans="1:66" x14ac:dyDescent="0.2">
      <c r="A36" s="2"/>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208">
        <f t="shared" si="0"/>
        <v>0</v>
      </c>
      <c r="BN36" s="209"/>
    </row>
    <row r="37" spans="1:66" x14ac:dyDescent="0.2">
      <c r="A37" s="2"/>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208">
        <f t="shared" si="0"/>
        <v>0</v>
      </c>
      <c r="BN37" s="209"/>
    </row>
    <row r="38" spans="1:66" x14ac:dyDescent="0.2">
      <c r="A38" s="2"/>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208">
        <f t="shared" si="0"/>
        <v>0</v>
      </c>
      <c r="BN38" s="209"/>
    </row>
    <row r="39" spans="1:66" x14ac:dyDescent="0.2">
      <c r="A39" s="2"/>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208">
        <f t="shared" si="0"/>
        <v>0</v>
      </c>
      <c r="BN39" s="209"/>
    </row>
    <row r="40" spans="1:66" x14ac:dyDescent="0.2">
      <c r="A40" s="2"/>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208">
        <f t="shared" si="0"/>
        <v>0</v>
      </c>
      <c r="BN40" s="209"/>
    </row>
    <row r="41" spans="1:66" x14ac:dyDescent="0.2">
      <c r="A41" s="2"/>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210"/>
      <c r="AT41" s="7"/>
      <c r="AU41" s="7"/>
      <c r="AV41" s="7"/>
      <c r="AW41" s="7"/>
      <c r="AX41" s="7"/>
      <c r="AY41" s="7"/>
      <c r="AZ41" s="7"/>
      <c r="BA41" s="7"/>
      <c r="BB41" s="7"/>
      <c r="BC41" s="7"/>
      <c r="BD41" s="7"/>
      <c r="BE41" s="7"/>
      <c r="BF41" s="7"/>
      <c r="BG41" s="7"/>
      <c r="BH41" s="7"/>
      <c r="BI41" s="7"/>
      <c r="BJ41" s="7"/>
      <c r="BK41" s="7"/>
      <c r="BL41" s="7"/>
      <c r="BM41" s="208">
        <f t="shared" si="0"/>
        <v>0</v>
      </c>
      <c r="BN41" s="209"/>
    </row>
    <row r="42" spans="1:66" x14ac:dyDescent="0.2">
      <c r="A42" s="2"/>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208">
        <f t="shared" si="0"/>
        <v>0</v>
      </c>
      <c r="BN42" s="209"/>
    </row>
    <row r="43" spans="1:66" x14ac:dyDescent="0.2">
      <c r="A43" s="2"/>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208">
        <f t="shared" si="0"/>
        <v>0</v>
      </c>
      <c r="BN43" s="209"/>
    </row>
    <row r="44" spans="1:66" x14ac:dyDescent="0.2">
      <c r="A44" s="2"/>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210"/>
      <c r="AY44" s="7"/>
      <c r="AZ44" s="7"/>
      <c r="BA44" s="7"/>
      <c r="BB44" s="7"/>
      <c r="BC44" s="7"/>
      <c r="BD44" s="7"/>
      <c r="BE44" s="7"/>
      <c r="BF44" s="7"/>
      <c r="BG44" s="7"/>
      <c r="BH44" s="7"/>
      <c r="BI44" s="7"/>
      <c r="BJ44" s="7"/>
      <c r="BK44" s="7"/>
      <c r="BL44" s="7"/>
      <c r="BM44" s="208">
        <f t="shared" si="0"/>
        <v>0</v>
      </c>
      <c r="BN44" s="209"/>
    </row>
    <row r="45" spans="1:66" x14ac:dyDescent="0.2">
      <c r="A45" s="2"/>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208">
        <f t="shared" si="0"/>
        <v>0</v>
      </c>
      <c r="BN45" s="209"/>
    </row>
    <row r="46" spans="1:66" x14ac:dyDescent="0.2">
      <c r="A46" s="2"/>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208">
        <f t="shared" si="0"/>
        <v>0</v>
      </c>
      <c r="BN46" s="209"/>
    </row>
    <row r="47" spans="1:66" x14ac:dyDescent="0.2">
      <c r="A47" s="2"/>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208">
        <f t="shared" si="0"/>
        <v>0</v>
      </c>
      <c r="BN47" s="209"/>
    </row>
    <row r="48" spans="1:66" x14ac:dyDescent="0.2">
      <c r="A48" s="2"/>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208">
        <f t="shared" si="0"/>
        <v>0</v>
      </c>
      <c r="BN48" s="209"/>
    </row>
    <row r="49" spans="1:66" x14ac:dyDescent="0.2">
      <c r="A49" s="2"/>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208">
        <f t="shared" si="0"/>
        <v>0</v>
      </c>
      <c r="BN49" s="209"/>
    </row>
    <row r="50" spans="1:66" x14ac:dyDescent="0.2">
      <c r="A50" s="2"/>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208">
        <f t="shared" si="0"/>
        <v>0</v>
      </c>
      <c r="BN50" s="209"/>
    </row>
    <row r="51" spans="1:66" x14ac:dyDescent="0.2">
      <c r="A51" s="2"/>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208">
        <f t="shared" si="0"/>
        <v>0</v>
      </c>
      <c r="BN51" s="209"/>
    </row>
    <row r="52" spans="1:66" x14ac:dyDescent="0.2">
      <c r="A52" s="2"/>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208">
        <f t="shared" si="0"/>
        <v>0</v>
      </c>
      <c r="BN52" s="209"/>
    </row>
    <row r="53" spans="1:66" x14ac:dyDescent="0.2">
      <c r="A53" s="2"/>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208">
        <f t="shared" si="0"/>
        <v>0</v>
      </c>
      <c r="BN53" s="209"/>
    </row>
    <row r="54" spans="1:66" x14ac:dyDescent="0.2">
      <c r="A54" s="2"/>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208">
        <f t="shared" si="0"/>
        <v>0</v>
      </c>
      <c r="BN54" s="209"/>
    </row>
    <row r="55" spans="1:66" x14ac:dyDescent="0.2">
      <c r="A55" s="2"/>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208">
        <f t="shared" si="0"/>
        <v>0</v>
      </c>
      <c r="BN55" s="209"/>
    </row>
    <row r="56" spans="1:66" x14ac:dyDescent="0.2">
      <c r="A56" s="2"/>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208">
        <f t="shared" si="0"/>
        <v>0</v>
      </c>
      <c r="BN56" s="209"/>
    </row>
    <row r="57" spans="1:66" x14ac:dyDescent="0.2">
      <c r="A57" s="2"/>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208">
        <f t="shared" si="0"/>
        <v>0</v>
      </c>
      <c r="BN57" s="209"/>
    </row>
    <row r="58" spans="1:66" x14ac:dyDescent="0.2">
      <c r="A58" s="2"/>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208">
        <f t="shared" si="0"/>
        <v>0</v>
      </c>
      <c r="BN58" s="209"/>
    </row>
    <row r="59" spans="1:66" x14ac:dyDescent="0.2">
      <c r="A59" s="2"/>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208">
        <f t="shared" si="0"/>
        <v>0</v>
      </c>
      <c r="BN59" s="209"/>
    </row>
    <row r="60" spans="1:66" x14ac:dyDescent="0.2">
      <c r="A60" s="2"/>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208">
        <f t="shared" si="0"/>
        <v>0</v>
      </c>
      <c r="BN60" s="209"/>
    </row>
    <row r="61" spans="1:66" x14ac:dyDescent="0.2">
      <c r="A61" s="2"/>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208">
        <f t="shared" si="0"/>
        <v>0</v>
      </c>
      <c r="BN61" s="209"/>
    </row>
    <row r="62" spans="1:66" x14ac:dyDescent="0.2">
      <c r="A62" s="2"/>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208">
        <f t="shared" si="0"/>
        <v>0</v>
      </c>
      <c r="BN62" s="209"/>
    </row>
    <row r="63" spans="1:66" x14ac:dyDescent="0.2">
      <c r="A63" s="2"/>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208">
        <f t="shared" si="0"/>
        <v>0</v>
      </c>
      <c r="BN63" s="209"/>
    </row>
    <row r="64" spans="1:66" x14ac:dyDescent="0.2">
      <c r="A64" s="2"/>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208">
        <f t="shared" si="0"/>
        <v>0</v>
      </c>
      <c r="BN64" s="209"/>
    </row>
    <row r="65" spans="1:66" x14ac:dyDescent="0.2">
      <c r="A65" s="2"/>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208">
        <f t="shared" si="0"/>
        <v>0</v>
      </c>
      <c r="BN65" s="209"/>
    </row>
    <row r="66" spans="1:66" x14ac:dyDescent="0.2">
      <c r="A66" s="2"/>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208">
        <f t="shared" si="0"/>
        <v>0</v>
      </c>
      <c r="BN66" s="209"/>
    </row>
    <row r="67" spans="1:66" x14ac:dyDescent="0.2">
      <c r="A67" s="2"/>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208">
        <f t="shared" si="0"/>
        <v>0</v>
      </c>
      <c r="BN67" s="209"/>
    </row>
    <row r="68" spans="1:66" x14ac:dyDescent="0.2">
      <c r="A68" s="2"/>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208">
        <f t="shared" si="0"/>
        <v>0</v>
      </c>
      <c r="BN68" s="209"/>
    </row>
    <row r="69" spans="1:66" x14ac:dyDescent="0.2">
      <c r="A69" s="2"/>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208">
        <f t="shared" si="0"/>
        <v>0</v>
      </c>
      <c r="BN69" s="209"/>
    </row>
    <row r="70" spans="1:66" x14ac:dyDescent="0.2">
      <c r="A70" s="2"/>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208">
        <f t="shared" si="0"/>
        <v>0</v>
      </c>
      <c r="BN70" s="209"/>
    </row>
    <row r="71" spans="1:66" x14ac:dyDescent="0.2">
      <c r="A71" s="2"/>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208">
        <f t="shared" si="0"/>
        <v>0</v>
      </c>
      <c r="BN71" s="209"/>
    </row>
    <row r="72" spans="1:66" x14ac:dyDescent="0.2">
      <c r="A72" s="2"/>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208">
        <f t="shared" si="0"/>
        <v>0</v>
      </c>
      <c r="BN72" s="209"/>
    </row>
    <row r="73" spans="1:66" x14ac:dyDescent="0.2">
      <c r="A73" s="2"/>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208">
        <f t="shared" si="0"/>
        <v>0</v>
      </c>
      <c r="BN73" s="209"/>
    </row>
    <row r="74" spans="1:66" x14ac:dyDescent="0.2">
      <c r="A74" s="2"/>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208">
        <f t="shared" si="0"/>
        <v>0</v>
      </c>
      <c r="BN74" s="209"/>
    </row>
    <row r="75" spans="1:66" x14ac:dyDescent="0.2">
      <c r="A75" s="2"/>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208">
        <f t="shared" si="0"/>
        <v>0</v>
      </c>
      <c r="BN75" s="209"/>
    </row>
    <row r="76" spans="1:66" x14ac:dyDescent="0.2">
      <c r="A76" s="2"/>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208">
        <f t="shared" si="0"/>
        <v>0</v>
      </c>
      <c r="BN76" s="209"/>
    </row>
    <row r="77" spans="1:66" x14ac:dyDescent="0.2">
      <c r="A77" s="2"/>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208">
        <f t="shared" si="0"/>
        <v>0</v>
      </c>
      <c r="BN77" s="209"/>
    </row>
    <row r="78" spans="1:66" x14ac:dyDescent="0.2">
      <c r="A78" s="2"/>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208">
        <f t="shared" si="0"/>
        <v>0</v>
      </c>
      <c r="BN78" s="209"/>
    </row>
    <row r="79" spans="1:66" x14ac:dyDescent="0.2">
      <c r="A79" s="2"/>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208">
        <f t="shared" si="0"/>
        <v>0</v>
      </c>
      <c r="BN79" s="209"/>
    </row>
    <row r="80" spans="1:66" x14ac:dyDescent="0.2">
      <c r="A80" s="2"/>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208">
        <f t="shared" si="0"/>
        <v>0</v>
      </c>
      <c r="BN80" s="209"/>
    </row>
    <row r="81" spans="1:66" x14ac:dyDescent="0.2">
      <c r="A81" s="2"/>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208">
        <f t="shared" si="0"/>
        <v>0</v>
      </c>
      <c r="BN81" s="209"/>
    </row>
    <row r="82" spans="1:66" x14ac:dyDescent="0.2">
      <c r="A82" s="2"/>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208">
        <f t="shared" si="0"/>
        <v>0</v>
      </c>
      <c r="BN82" s="209"/>
    </row>
    <row r="83" spans="1:66" x14ac:dyDescent="0.2">
      <c r="A83" s="2"/>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208">
        <f t="shared" si="0"/>
        <v>0</v>
      </c>
      <c r="BN83" s="209"/>
    </row>
    <row r="84" spans="1:66" x14ac:dyDescent="0.2">
      <c r="A84" s="2"/>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208">
        <f t="shared" si="0"/>
        <v>0</v>
      </c>
      <c r="BN84" s="209"/>
    </row>
    <row r="85" spans="1:66" x14ac:dyDescent="0.2">
      <c r="A85" s="2"/>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208">
        <f t="shared" si="0"/>
        <v>0</v>
      </c>
      <c r="BN85" s="209"/>
    </row>
    <row r="86" spans="1:66" x14ac:dyDescent="0.2">
      <c r="A86" s="2"/>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208">
        <f t="shared" si="0"/>
        <v>0</v>
      </c>
      <c r="BN86" s="209"/>
    </row>
    <row r="87" spans="1:66" x14ac:dyDescent="0.2">
      <c r="A87" s="2"/>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208">
        <f t="shared" si="0"/>
        <v>0</v>
      </c>
      <c r="BN87" s="209"/>
    </row>
    <row r="88" spans="1:66" x14ac:dyDescent="0.2">
      <c r="A88" s="2"/>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208">
        <f t="shared" si="0"/>
        <v>0</v>
      </c>
      <c r="BN88" s="209"/>
    </row>
    <row r="89" spans="1:66" x14ac:dyDescent="0.2">
      <c r="A89" s="2"/>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208">
        <f t="shared" si="0"/>
        <v>0</v>
      </c>
      <c r="BN89" s="209"/>
    </row>
    <row r="90" spans="1:66" x14ac:dyDescent="0.2">
      <c r="A90" s="2"/>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208">
        <f t="shared" si="0"/>
        <v>0</v>
      </c>
      <c r="BN90" s="209"/>
    </row>
    <row r="91" spans="1:66" x14ac:dyDescent="0.2">
      <c r="A91" s="2"/>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208">
        <f t="shared" si="0"/>
        <v>0</v>
      </c>
      <c r="BN91" s="209"/>
    </row>
    <row r="92" spans="1:66" x14ac:dyDescent="0.2">
      <c r="A92" s="2"/>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208">
        <f t="shared" si="0"/>
        <v>0</v>
      </c>
      <c r="BN92" s="209"/>
    </row>
    <row r="93" spans="1:66" x14ac:dyDescent="0.2">
      <c r="A93" s="2"/>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208">
        <f t="shared" si="0"/>
        <v>0</v>
      </c>
      <c r="BN93" s="209"/>
    </row>
    <row r="94" spans="1:66" x14ac:dyDescent="0.2">
      <c r="A94" s="2"/>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208">
        <f t="shared" si="0"/>
        <v>0</v>
      </c>
      <c r="BN94" s="209"/>
    </row>
    <row r="95" spans="1:66" x14ac:dyDescent="0.2">
      <c r="A95" s="2"/>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208">
        <f t="shared" si="0"/>
        <v>0</v>
      </c>
      <c r="BN95" s="209"/>
    </row>
    <row r="96" spans="1:66" x14ac:dyDescent="0.2">
      <c r="A96" s="2"/>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208">
        <f t="shared" si="0"/>
        <v>0</v>
      </c>
      <c r="BN96" s="209"/>
    </row>
    <row r="97" spans="1:66" x14ac:dyDescent="0.2">
      <c r="A97" s="2"/>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208">
        <f t="shared" si="0"/>
        <v>0</v>
      </c>
      <c r="BN97" s="209"/>
    </row>
    <row r="98" spans="1:66" x14ac:dyDescent="0.2">
      <c r="A98" s="2"/>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208">
        <f t="shared" si="0"/>
        <v>0</v>
      </c>
      <c r="BN98" s="209"/>
    </row>
    <row r="99" spans="1:66" x14ac:dyDescent="0.2">
      <c r="A99" s="2"/>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208">
        <f t="shared" si="0"/>
        <v>0</v>
      </c>
      <c r="BN99" s="209"/>
    </row>
    <row r="100" spans="1:66" x14ac:dyDescent="0.2">
      <c r="A100" s="2"/>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208">
        <f t="shared" si="0"/>
        <v>0</v>
      </c>
      <c r="BN100" s="209"/>
    </row>
    <row r="101" spans="1:66" x14ac:dyDescent="0.2">
      <c r="A101" s="2"/>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208">
        <f t="shared" si="0"/>
        <v>0</v>
      </c>
      <c r="BN101" s="209"/>
    </row>
    <row r="102" spans="1:66" x14ac:dyDescent="0.2">
      <c r="A102" s="2"/>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208">
        <f t="shared" si="0"/>
        <v>0</v>
      </c>
      <c r="BN102" s="209"/>
    </row>
    <row r="103" spans="1:66" x14ac:dyDescent="0.2">
      <c r="A103" s="2"/>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208">
        <f t="shared" si="0"/>
        <v>0</v>
      </c>
      <c r="BN103" s="209"/>
    </row>
    <row r="104" spans="1:66" x14ac:dyDescent="0.2">
      <c r="A104" s="2"/>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208">
        <f t="shared" si="0"/>
        <v>0</v>
      </c>
      <c r="BN104" s="209"/>
    </row>
    <row r="105" spans="1:66" x14ac:dyDescent="0.2">
      <c r="A105" s="2"/>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208">
        <f t="shared" si="0"/>
        <v>0</v>
      </c>
      <c r="BN105" s="209"/>
    </row>
    <row r="106" spans="1:66" x14ac:dyDescent="0.2">
      <c r="A106" s="2"/>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208">
        <f t="shared" si="0"/>
        <v>0</v>
      </c>
      <c r="BN106" s="209"/>
    </row>
    <row r="107" spans="1:66" x14ac:dyDescent="0.2">
      <c r="A107" s="2"/>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208">
        <f t="shared" si="0"/>
        <v>0</v>
      </c>
      <c r="BN107" s="209"/>
    </row>
    <row r="108" spans="1:66" x14ac:dyDescent="0.2">
      <c r="A108" s="2"/>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208">
        <f t="shared" si="0"/>
        <v>0</v>
      </c>
      <c r="BN108" s="209"/>
    </row>
    <row r="109" spans="1:66" x14ac:dyDescent="0.2">
      <c r="A109" s="2"/>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208">
        <f t="shared" si="0"/>
        <v>0</v>
      </c>
      <c r="BN109" s="209"/>
    </row>
    <row r="110" spans="1:66" x14ac:dyDescent="0.2">
      <c r="A110" s="2"/>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208">
        <f t="shared" si="0"/>
        <v>0</v>
      </c>
      <c r="BN110" s="209"/>
    </row>
    <row r="111" spans="1:66" x14ac:dyDescent="0.2">
      <c r="A111" s="2"/>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208">
        <f t="shared" si="0"/>
        <v>0</v>
      </c>
      <c r="BN111" s="209"/>
    </row>
    <row r="112" spans="1:66" x14ac:dyDescent="0.2">
      <c r="A112" s="2"/>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208">
        <f t="shared" si="0"/>
        <v>0</v>
      </c>
      <c r="BN112" s="209"/>
    </row>
    <row r="113" spans="1:66" x14ac:dyDescent="0.2">
      <c r="A113" s="2"/>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208">
        <f t="shared" si="0"/>
        <v>0</v>
      </c>
      <c r="BN113" s="209"/>
    </row>
    <row r="114" spans="1:66" x14ac:dyDescent="0.2">
      <c r="A114" s="2"/>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208">
        <f t="shared" si="0"/>
        <v>0</v>
      </c>
      <c r="BN114" s="209"/>
    </row>
    <row r="115" spans="1:66" x14ac:dyDescent="0.2">
      <c r="A115" s="2"/>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208">
        <f t="shared" si="0"/>
        <v>0</v>
      </c>
      <c r="BN115" s="209"/>
    </row>
    <row r="116" spans="1:66" x14ac:dyDescent="0.2">
      <c r="A116" s="2"/>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208">
        <f t="shared" si="0"/>
        <v>0</v>
      </c>
      <c r="BN116" s="209"/>
    </row>
    <row r="117" spans="1:66" x14ac:dyDescent="0.2">
      <c r="A117" s="2"/>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208">
        <f t="shared" si="0"/>
        <v>0</v>
      </c>
      <c r="BN117" s="209"/>
    </row>
    <row r="118" spans="1:6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row>
    <row r="119" spans="1:6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row>
    <row r="120" spans="1:6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row>
    <row r="121" spans="1:6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row>
    <row r="122" spans="1:6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row>
    <row r="123" spans="1:6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row>
    <row r="124" spans="1:6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row>
    <row r="125" spans="1:6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row>
    <row r="126" spans="1:6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row>
    <row r="127" spans="1:6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row>
    <row r="128" spans="1:6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row>
    <row r="129" spans="1:6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row>
    <row r="130" spans="1:6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row>
    <row r="131" spans="1:6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row>
    <row r="132" spans="1:6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row>
    <row r="133" spans="1:6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row>
    <row r="134" spans="1:6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row>
    <row r="135" spans="1:6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row>
    <row r="136" spans="1:6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row>
    <row r="137" spans="1:6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row>
    <row r="138" spans="1:6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row>
    <row r="139" spans="1:6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row>
    <row r="140" spans="1:6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row>
    <row r="141" spans="1:6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row>
    <row r="142" spans="1:6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row>
    <row r="143" spans="1:6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row>
    <row r="144" spans="1:6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row>
    <row r="145" spans="1:6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row>
    <row r="146" spans="1:6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row>
    <row r="147" spans="1:6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row>
    <row r="148" spans="1:6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row>
    <row r="149" spans="1:6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row>
    <row r="150" spans="1:6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row>
    <row r="151" spans="1:6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row>
    <row r="152" spans="1:6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row>
    <row r="153" spans="1:6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row>
    <row r="154" spans="1:6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row>
    <row r="155" spans="1:6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row>
    <row r="156" spans="1:6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row>
    <row r="157" spans="1:6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row>
    <row r="158" spans="1:6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row>
    <row r="159" spans="1:6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row>
    <row r="160" spans="1:6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row>
    <row r="161" spans="1:6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row>
    <row r="162" spans="1:6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row>
    <row r="163" spans="1:6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row>
    <row r="164" spans="1:6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row>
    <row r="165" spans="1:6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row>
    <row r="166" spans="1:6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row>
    <row r="167" spans="1:6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row>
    <row r="168" spans="1:6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row>
    <row r="169" spans="1:6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row>
    <row r="170" spans="1:6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row>
    <row r="171" spans="1:6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row>
    <row r="172" spans="1:6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row>
    <row r="173" spans="1:6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row>
    <row r="174" spans="1:6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row>
    <row r="175" spans="1:6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row>
    <row r="176" spans="1:6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row>
    <row r="177" spans="1:6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row>
    <row r="178" spans="1:6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row>
    <row r="179" spans="1:6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row>
    <row r="180" spans="1:6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row>
    <row r="181" spans="1:6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row>
    <row r="182" spans="1:6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row>
    <row r="183" spans="1:6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row>
    <row r="184" spans="1:6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row>
    <row r="185" spans="1:6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row>
    <row r="186" spans="1:6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row>
    <row r="187" spans="1:6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row>
    <row r="188" spans="1:6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row>
    <row r="189" spans="1:6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row>
    <row r="190" spans="1:6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row>
    <row r="191" spans="1:6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row>
    <row r="192" spans="1:6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row>
    <row r="193" spans="1:6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row>
    <row r="194" spans="1:6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row>
    <row r="195" spans="1:6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row>
    <row r="196" spans="1:6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row>
    <row r="197" spans="1:6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row>
    <row r="198" spans="1:6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row>
    <row r="199" spans="1:6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row>
    <row r="200" spans="1:6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row>
    <row r="201" spans="1:6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row>
    <row r="202" spans="1:6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row>
    <row r="203" spans="1:6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row>
    <row r="204" spans="1:6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row>
    <row r="205" spans="1:6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row>
    <row r="206" spans="1:6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row>
    <row r="207" spans="1:6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row>
    <row r="208" spans="1:6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row>
    <row r="209" spans="1:6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row>
    <row r="210" spans="1:6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row>
    <row r="211" spans="1:6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row>
    <row r="212" spans="1:6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row>
    <row r="213" spans="1:6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row>
    <row r="214" spans="1:6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row>
    <row r="215" spans="1:6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row>
    <row r="216" spans="1:6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row>
    <row r="217" spans="1:6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row>
    <row r="218" spans="1:6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row>
    <row r="219" spans="1:6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row>
    <row r="220" spans="1:6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row>
    <row r="221" spans="1:6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row>
    <row r="222" spans="1:6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row>
    <row r="223" spans="1:6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row>
    <row r="224" spans="1:6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row>
    <row r="225" spans="1:6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row>
    <row r="226" spans="1:6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row>
    <row r="227" spans="1:6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row>
    <row r="228" spans="1:6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row>
    <row r="229" spans="1:6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row>
    <row r="230" spans="1:6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row>
    <row r="231" spans="1:6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row>
    <row r="232" spans="1:6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row>
    <row r="233" spans="1:6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row>
    <row r="234" spans="1:6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row>
    <row r="235" spans="1:6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row>
    <row r="236" spans="1:6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row>
    <row r="237" spans="1:6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row>
    <row r="238" spans="1:6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row>
    <row r="239" spans="1:6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row>
    <row r="240" spans="1:6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row>
    <row r="241" spans="1:6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row>
    <row r="242" spans="1:6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row>
    <row r="243" spans="1:6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row>
    <row r="244" spans="1:6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row>
    <row r="245" spans="1:6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row>
    <row r="246" spans="1:6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row>
    <row r="247" spans="1:6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row>
    <row r="248" spans="1:6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row>
    <row r="249" spans="1:6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row>
    <row r="250" spans="1:6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row>
    <row r="251" spans="1:6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row>
    <row r="252" spans="1:6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row>
    <row r="253" spans="1:6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row>
    <row r="254" spans="1:6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row>
    <row r="255" spans="1:6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row>
    <row r="256" spans="1:6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row>
    <row r="257" spans="1:6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row>
    <row r="258" spans="1:6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row>
    <row r="259" spans="1:6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row>
    <row r="260" spans="1:6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row>
    <row r="261" spans="1:6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row>
    <row r="262" spans="1:6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row>
    <row r="263" spans="1:6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row>
    <row r="264" spans="1:6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row>
    <row r="265" spans="1:6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row>
    <row r="266" spans="1:6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row>
    <row r="267" spans="1:6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row>
    <row r="268" spans="1:6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row>
    <row r="269" spans="1:6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row>
    <row r="270" spans="1:6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row>
    <row r="271" spans="1:6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row>
    <row r="272" spans="1:6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row>
    <row r="273" spans="1:6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row>
    <row r="274" spans="1:6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row>
    <row r="275" spans="1:6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row>
    <row r="276" spans="1:6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row>
    <row r="277" spans="1:6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row>
    <row r="278" spans="1:6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row>
    <row r="279" spans="1:6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row>
    <row r="280" spans="1:6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row>
    <row r="281" spans="1:6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row>
    <row r="282" spans="1:6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row>
    <row r="283" spans="1:6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row>
    <row r="284" spans="1:6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row>
    <row r="285" spans="1:6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row>
    <row r="286" spans="1:6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row>
    <row r="287" spans="1:6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row>
    <row r="288" spans="1:6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row>
    <row r="289" spans="1:6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row>
    <row r="290" spans="1:6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row>
    <row r="291" spans="1:6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row>
    <row r="292" spans="1:6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row>
    <row r="293" spans="1:6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row>
    <row r="294" spans="1:6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row>
    <row r="295" spans="1:6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row>
    <row r="296" spans="1:6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row>
    <row r="297" spans="1:6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row>
    <row r="298" spans="1:6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row>
    <row r="299" spans="1:6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row>
    <row r="300" spans="1:6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row>
    <row r="301" spans="1:6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row>
    <row r="302" spans="1:6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row>
    <row r="303" spans="1:6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row>
    <row r="304" spans="1:6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row>
    <row r="305" spans="1:6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row>
    <row r="306" spans="1:6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row>
    <row r="307" spans="1:6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row>
    <row r="308" spans="1:6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row>
    <row r="309" spans="1:6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row>
    <row r="310" spans="1:6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row>
    <row r="311" spans="1:6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row>
    <row r="312" spans="1:6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row>
    <row r="313" spans="1:6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row>
    <row r="314" spans="1:6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row>
    <row r="315" spans="1:6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row>
    <row r="316" spans="1:6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row>
    <row r="317" spans="1:6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row>
    <row r="318" spans="1:6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row>
    <row r="319" spans="1:6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row>
    <row r="320" spans="1:6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row>
    <row r="321" spans="1:6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row>
    <row r="322" spans="1:6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row>
    <row r="323" spans="1:6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row>
    <row r="324" spans="1:6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row>
    <row r="325" spans="1:6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row>
    <row r="326" spans="1:6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row>
    <row r="327" spans="1:6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row>
    <row r="328" spans="1:6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row>
    <row r="329" spans="1:6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row>
    <row r="330" spans="1:6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row>
    <row r="331" spans="1:6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row>
    <row r="332" spans="1:6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row>
    <row r="333" spans="1:6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row>
    <row r="334" spans="1:6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row>
    <row r="335" spans="1:6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row>
    <row r="336" spans="1:6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row>
    <row r="337" spans="1:6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row>
    <row r="338" spans="1:6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row>
    <row r="339" spans="1:6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row>
    <row r="340" spans="1:6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row>
    <row r="341" spans="1:6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row>
    <row r="342" spans="1:6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row>
    <row r="343" spans="1:6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row>
    <row r="344" spans="1:6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row>
    <row r="345" spans="1:6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row>
    <row r="346" spans="1:6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row>
    <row r="347" spans="1:6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row>
    <row r="348" spans="1:6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row>
    <row r="349" spans="1:6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row>
    <row r="350" spans="1:6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row>
    <row r="351" spans="1:6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row>
    <row r="352" spans="1:6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row>
    <row r="353" spans="1:6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row>
    <row r="354" spans="1:6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row>
    <row r="355" spans="1:6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row>
    <row r="356" spans="1:6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row>
    <row r="357" spans="1:6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row>
    <row r="358" spans="1:6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row>
    <row r="359" spans="1:6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row>
    <row r="360" spans="1:6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row>
    <row r="361" spans="1:6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row>
    <row r="362" spans="1:6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row>
    <row r="363" spans="1:6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row>
    <row r="364" spans="1:6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row>
    <row r="365" spans="1:6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row>
    <row r="366" spans="1:6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row>
    <row r="367" spans="1:6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row>
    <row r="368" spans="1:6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row>
    <row r="369" spans="1:6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row>
    <row r="370" spans="1:6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row>
    <row r="371" spans="1:6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row>
    <row r="372" spans="1:6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row>
    <row r="373" spans="1:6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row>
    <row r="374" spans="1:6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row>
    <row r="375" spans="1:6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row>
    <row r="376" spans="1:6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row>
    <row r="377" spans="1:6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row>
    <row r="378" spans="1:6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row>
    <row r="379" spans="1:6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row>
    <row r="380" spans="1:6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row>
    <row r="381" spans="1:6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row>
    <row r="382" spans="1:6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row>
    <row r="383" spans="1:6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row>
    <row r="384" spans="1:6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row>
    <row r="385" spans="1:6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row>
    <row r="386" spans="1:6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row>
    <row r="387" spans="1:6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row>
    <row r="388" spans="1:6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row>
    <row r="389" spans="1:6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row>
    <row r="390" spans="1:6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row>
    <row r="391" spans="1:6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row>
    <row r="392" spans="1:6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row>
    <row r="393" spans="1:6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row>
    <row r="394" spans="1:6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row>
    <row r="395" spans="1:6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row>
    <row r="396" spans="1:6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row>
    <row r="397" spans="1:6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row>
    <row r="398" spans="1:6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row>
    <row r="399" spans="1:6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row>
    <row r="400" spans="1:6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row>
    <row r="401" spans="1:6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row>
    <row r="402" spans="1:6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row>
    <row r="403" spans="1:6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row>
    <row r="404" spans="1:6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row>
    <row r="405" spans="1:6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row>
    <row r="406" spans="1:6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row>
    <row r="407" spans="1:6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row>
    <row r="408" spans="1:6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row>
    <row r="409" spans="1:6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row>
    <row r="410" spans="1:6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row>
    <row r="411" spans="1:6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row>
    <row r="412" spans="1:6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row>
    <row r="413" spans="1:6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row>
    <row r="414" spans="1:6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row>
    <row r="415" spans="1:6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row>
    <row r="416" spans="1:6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row>
    <row r="417" spans="1:6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row>
    <row r="418" spans="1:6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row>
    <row r="419" spans="1:6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row>
    <row r="420" spans="1:6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row>
    <row r="421" spans="1:6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row>
    <row r="422" spans="1:6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row>
    <row r="423" spans="1:6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row>
    <row r="424" spans="1:6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row>
    <row r="425" spans="1:6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row>
    <row r="426" spans="1:6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row>
    <row r="427" spans="1:6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row>
    <row r="428" spans="1:6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row>
    <row r="429" spans="1:6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row>
    <row r="430" spans="1:6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row>
    <row r="431" spans="1:6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row>
    <row r="432" spans="1:6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row>
    <row r="433" spans="1:6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row>
    <row r="434" spans="1:6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row>
    <row r="435" spans="1:6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row>
    <row r="436" spans="1:6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row>
    <row r="437" spans="1:6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row>
    <row r="438" spans="1:6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row>
    <row r="439" spans="1:6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row>
    <row r="440" spans="1:6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row>
    <row r="441" spans="1:6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row>
    <row r="442" spans="1:6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row>
    <row r="443" spans="1:6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row>
    <row r="444" spans="1:6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row>
    <row r="445" spans="1:6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row>
    <row r="446" spans="1:6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row>
    <row r="447" spans="1:6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row>
    <row r="448" spans="1:6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row>
    <row r="449" spans="1:6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row>
    <row r="450" spans="1:6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row>
    <row r="451" spans="1:6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row>
    <row r="452" spans="1:6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row>
    <row r="453" spans="1:6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row>
    <row r="454" spans="1:6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row>
    <row r="455" spans="1:6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row>
    <row r="456" spans="1:6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row>
    <row r="457" spans="1:6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row>
    <row r="458" spans="1:6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row>
    <row r="459" spans="1:6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row>
    <row r="460" spans="1:6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row>
    <row r="461" spans="1:6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row>
    <row r="462" spans="1:6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row>
    <row r="463" spans="1:6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row>
    <row r="464" spans="1:6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row>
    <row r="465" spans="1:6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row>
    <row r="466" spans="1:6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row>
    <row r="467" spans="1:6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row>
    <row r="468" spans="1:6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row>
    <row r="469" spans="1:6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row>
    <row r="470" spans="1:6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row>
    <row r="471" spans="1:6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row>
    <row r="472" spans="1:6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row>
    <row r="473" spans="1:6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row>
    <row r="474" spans="1:6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row>
    <row r="475" spans="1:6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row>
    <row r="476" spans="1:6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row>
    <row r="477" spans="1:6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row>
    <row r="478" spans="1:6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row>
    <row r="479" spans="1:6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row>
    <row r="480" spans="1:6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row>
    <row r="481" spans="1:6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row>
    <row r="482" spans="1:6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row>
    <row r="483" spans="1:6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row>
    <row r="484" spans="1:6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row>
    <row r="485" spans="1:6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row>
    <row r="486" spans="1:6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row>
    <row r="487" spans="1:6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row>
    <row r="488" spans="1:6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row>
    <row r="489" spans="1:6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row>
    <row r="490" spans="1:6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row>
    <row r="491" spans="1:6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row>
    <row r="492" spans="1:6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row>
    <row r="493" spans="1:6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row>
    <row r="494" spans="1:6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row>
    <row r="495" spans="1:6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row>
    <row r="496" spans="1:6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row>
    <row r="497" spans="1:6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row>
    <row r="498" spans="1:6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row>
    <row r="499" spans="1:6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row>
    <row r="500" spans="1:6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row>
    <row r="501" spans="1:6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row>
    <row r="502" spans="1:6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row>
    <row r="503" spans="1:6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row>
    <row r="504" spans="1:6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row>
    <row r="505" spans="1:6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row>
    <row r="506" spans="1:6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row>
    <row r="507" spans="1:6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row>
    <row r="508" spans="1:6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row>
    <row r="509" spans="1:6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row>
    <row r="510" spans="1:6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row>
    <row r="511" spans="1:6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row>
    <row r="512" spans="1:6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row>
    <row r="513" spans="1:6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row>
    <row r="514" spans="1:6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row>
    <row r="515" spans="1:6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row>
    <row r="516" spans="1:6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row>
    <row r="517" spans="1:6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row>
    <row r="518" spans="1:6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row>
    <row r="519" spans="1:6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row>
    <row r="520" spans="1:6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row>
    <row r="521" spans="1:6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row>
    <row r="522" spans="1:6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row>
    <row r="523" spans="1:6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row>
    <row r="524" spans="1:6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row>
    <row r="525" spans="1:6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row>
    <row r="526" spans="1:6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row>
    <row r="527" spans="1:6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row>
    <row r="528" spans="1:6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row>
    <row r="529" spans="1:6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row>
    <row r="530" spans="1:6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row>
    <row r="531" spans="1:6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row>
    <row r="532" spans="1:6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row>
    <row r="533" spans="1:6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row>
    <row r="534" spans="1:6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row>
    <row r="535" spans="1:6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row>
    <row r="536" spans="1:6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row>
    <row r="537" spans="1:6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row>
    <row r="538" spans="1:6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row>
    <row r="539" spans="1:6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row>
    <row r="540" spans="1:6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row>
    <row r="541" spans="1:6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row>
    <row r="542" spans="1:6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row>
    <row r="543" spans="1:6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row>
    <row r="544" spans="1:6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row>
    <row r="545" spans="1:6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row>
    <row r="546" spans="1:6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row>
    <row r="547" spans="1:6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row>
    <row r="548" spans="1:6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row>
    <row r="549" spans="1:6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row>
    <row r="550" spans="1:6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row>
    <row r="551" spans="1:6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row>
    <row r="552" spans="1:6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row>
    <row r="553" spans="1:6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row>
    <row r="554" spans="1:6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row>
    <row r="555" spans="1:6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row>
    <row r="556" spans="1:6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row>
    <row r="557" spans="1:6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row>
    <row r="558" spans="1:6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row>
    <row r="559" spans="1:6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row>
    <row r="560" spans="1:6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row>
    <row r="561" spans="1:6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row>
    <row r="562" spans="1:6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row>
    <row r="563" spans="1:6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row>
    <row r="564" spans="1:6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row>
    <row r="565" spans="1:6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row>
    <row r="566" spans="1:6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row>
    <row r="567" spans="1:6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row>
    <row r="568" spans="1:6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row>
    <row r="569" spans="1:6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row>
    <row r="570" spans="1:6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row>
    <row r="571" spans="1:6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row>
    <row r="572" spans="1:6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row>
    <row r="573" spans="1:6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row>
    <row r="574" spans="1:6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row>
    <row r="575" spans="1:6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row>
    <row r="576" spans="1:6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row>
    <row r="577" spans="1:6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row>
    <row r="578" spans="1:6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row>
    <row r="579" spans="1:6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row>
    <row r="580" spans="1:6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row>
    <row r="581" spans="1:6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row>
    <row r="582" spans="1:6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row>
    <row r="583" spans="1:6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row>
    <row r="584" spans="1:6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row>
    <row r="585" spans="1:6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row>
    <row r="586" spans="1:6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row>
    <row r="587" spans="1:6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row>
    <row r="588" spans="1:6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row>
    <row r="589" spans="1:6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row>
    <row r="590" spans="1:6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row>
    <row r="591" spans="1:6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row>
    <row r="592" spans="1:6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row>
    <row r="593" spans="1:6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row>
    <row r="594" spans="1:6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row>
    <row r="595" spans="1:6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row>
    <row r="596" spans="1:6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row>
    <row r="597" spans="1:6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row>
    <row r="598" spans="1:6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row>
    <row r="599" spans="1:6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row>
    <row r="600" spans="1:6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row>
    <row r="601" spans="1:6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row>
    <row r="602" spans="1:6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row>
    <row r="603" spans="1:6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row>
    <row r="604" spans="1:6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row>
    <row r="605" spans="1:6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row>
    <row r="606" spans="1:6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row>
    <row r="607" spans="1:6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row>
    <row r="608" spans="1:6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row>
    <row r="609" spans="1:6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row>
    <row r="610" spans="1:6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row>
    <row r="611" spans="1:6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row>
    <row r="612" spans="1:6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row>
    <row r="613" spans="1:6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row>
    <row r="614" spans="1:6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row>
    <row r="615" spans="1:6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row>
    <row r="616" spans="1:6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row>
    <row r="617" spans="1:6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row>
    <row r="618" spans="1:6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row>
    <row r="619" spans="1:6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row>
    <row r="620" spans="1:6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row>
    <row r="621" spans="1:6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row>
    <row r="622" spans="1:6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row>
    <row r="623" spans="1:6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row>
    <row r="624" spans="1:6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row>
    <row r="625" spans="1:6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row>
    <row r="626" spans="1:6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row>
    <row r="627" spans="1:6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row>
    <row r="628" spans="1:6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row>
    <row r="629" spans="1:6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row>
    <row r="630" spans="1:6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row>
    <row r="631" spans="1:6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row>
    <row r="632" spans="1:6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row>
    <row r="633" spans="1:6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row>
    <row r="634" spans="1:6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row>
    <row r="635" spans="1:6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row>
    <row r="636" spans="1:6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row>
    <row r="637" spans="1:6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row>
    <row r="638" spans="1:6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row>
    <row r="639" spans="1:6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row>
    <row r="640" spans="1:6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row>
    <row r="641" spans="1:6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row>
    <row r="642" spans="1:6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row>
    <row r="643" spans="1:6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row>
    <row r="644" spans="1:6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row>
    <row r="645" spans="1:6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row>
    <row r="646" spans="1:6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row>
    <row r="647" spans="1:6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row>
    <row r="648" spans="1:6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row>
    <row r="649" spans="1:6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row>
    <row r="650" spans="1:6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row>
    <row r="651" spans="1:6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row>
    <row r="652" spans="1:6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row>
    <row r="653" spans="1:6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row>
    <row r="654" spans="1:6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row>
    <row r="655" spans="1:6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row>
    <row r="656" spans="1:6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row>
    <row r="657" spans="1:6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row>
    <row r="658" spans="1:6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row>
    <row r="659" spans="1:6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row>
    <row r="660" spans="1:6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row>
    <row r="661" spans="1:6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row>
    <row r="662" spans="1:6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row>
    <row r="663" spans="1:6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row>
    <row r="664" spans="1:6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row>
    <row r="665" spans="1:6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row>
    <row r="666" spans="1:6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row>
    <row r="667" spans="1:6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row>
    <row r="668" spans="1:6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row>
    <row r="669" spans="1:6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row>
    <row r="670" spans="1:6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row>
    <row r="671" spans="1:6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row>
    <row r="672" spans="1:6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row>
    <row r="673" spans="1:6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row>
    <row r="674" spans="1:6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row>
    <row r="675" spans="1:6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row>
    <row r="676" spans="1:6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row>
    <row r="677" spans="1:6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row>
    <row r="678" spans="1:6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row>
    <row r="679" spans="1:6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row>
    <row r="680" spans="1:6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row>
    <row r="681" spans="1:6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row>
    <row r="682" spans="1:6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row>
    <row r="683" spans="1:6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row>
    <row r="684" spans="1:6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row>
    <row r="685" spans="1:6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row>
    <row r="686" spans="1:6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row>
    <row r="687" spans="1:6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row>
    <row r="688" spans="1:6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row>
    <row r="689" spans="1:6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row>
    <row r="690" spans="1:6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row>
    <row r="691" spans="1:6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row>
    <row r="692" spans="1:6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row>
    <row r="693" spans="1:6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row>
    <row r="694" spans="1:6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row>
    <row r="695" spans="1:6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row>
    <row r="696" spans="1:6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row>
    <row r="697" spans="1:6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row>
    <row r="698" spans="1:6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row>
    <row r="699" spans="1:6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row>
    <row r="700" spans="1:6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row>
    <row r="701" spans="1:6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row>
    <row r="702" spans="1:6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row>
    <row r="703" spans="1:6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row>
    <row r="704" spans="1:6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row>
    <row r="705" spans="1:6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row>
    <row r="706" spans="1:6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row>
    <row r="707" spans="1:6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row>
    <row r="708" spans="1:6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row>
    <row r="709" spans="1:6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row>
    <row r="710" spans="1:6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row>
    <row r="711" spans="1:6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row>
    <row r="712" spans="1:6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row>
    <row r="713" spans="1:6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row>
    <row r="714" spans="1:6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row>
    <row r="715" spans="1:6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row>
    <row r="716" spans="1:6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row>
    <row r="717" spans="1:6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row>
    <row r="718" spans="1:6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row>
    <row r="719" spans="1:6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row>
    <row r="720" spans="1:6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row>
    <row r="721" spans="1:6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row>
    <row r="722" spans="1:6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row>
    <row r="723" spans="1:6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row>
    <row r="724" spans="1:6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row>
    <row r="725" spans="1:6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row>
    <row r="726" spans="1:6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row>
    <row r="727" spans="1:6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row>
    <row r="728" spans="1:6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row>
    <row r="729" spans="1:6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row>
    <row r="730" spans="1:6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row>
    <row r="731" spans="1:6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row>
    <row r="732" spans="1:6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row>
    <row r="733" spans="1:6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row>
    <row r="734" spans="1:6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row>
    <row r="735" spans="1:6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row>
    <row r="736" spans="1:6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row>
    <row r="737" spans="1:6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row>
    <row r="738" spans="1:6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row>
    <row r="739" spans="1:6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row>
    <row r="740" spans="1:6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row>
    <row r="741" spans="1:6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row>
    <row r="742" spans="1:6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row>
    <row r="743" spans="1:6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row>
    <row r="744" spans="1:6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row>
    <row r="745" spans="1:6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row>
    <row r="746" spans="1:6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row>
    <row r="747" spans="1:6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row>
    <row r="748" spans="1:6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row>
    <row r="749" spans="1:6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row>
    <row r="750" spans="1:6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row>
    <row r="751" spans="1:6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row>
    <row r="752" spans="1:6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row>
    <row r="753" spans="1:6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row>
    <row r="754" spans="1:6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row>
    <row r="755" spans="1:6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row>
    <row r="756" spans="1:6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row>
    <row r="757" spans="1:6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row>
    <row r="758" spans="1:6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row>
    <row r="759" spans="1:6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row>
    <row r="760" spans="1:6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row>
    <row r="761" spans="1:6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row>
    <row r="762" spans="1:6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row>
    <row r="763" spans="1:6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row>
    <row r="764" spans="1:6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row>
    <row r="765" spans="1:6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row>
    <row r="766" spans="1:6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row>
    <row r="767" spans="1:6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row>
    <row r="768" spans="1:6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row>
    <row r="769" spans="1:6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row>
    <row r="770" spans="1:6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row>
    <row r="771" spans="1:6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row>
    <row r="772" spans="1:6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row>
    <row r="773" spans="1:6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row>
    <row r="774" spans="1:6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row>
    <row r="775" spans="1:6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row>
    <row r="776" spans="1:6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row>
    <row r="777" spans="1:6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row>
    <row r="778" spans="1:6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row>
    <row r="779" spans="1:6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row>
    <row r="780" spans="1:6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row>
    <row r="781" spans="1:6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row>
    <row r="782" spans="1:6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row>
    <row r="783" spans="1:6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row>
    <row r="784" spans="1:6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row>
    <row r="785" spans="1:6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row>
    <row r="786" spans="1:6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row>
    <row r="787" spans="1:6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row>
    <row r="788" spans="1:6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row>
    <row r="789" spans="1:6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row>
    <row r="790" spans="1:6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row>
    <row r="791" spans="1:6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row>
    <row r="792" spans="1:6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row>
    <row r="793" spans="1:6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row>
    <row r="794" spans="1:6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row>
    <row r="795" spans="1:6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row>
    <row r="796" spans="1:6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row>
    <row r="797" spans="1:6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row>
    <row r="798" spans="1:6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row>
    <row r="799" spans="1:6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row>
    <row r="800" spans="1:6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row>
    <row r="801" spans="1:6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row>
    <row r="802" spans="1:6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row>
    <row r="803" spans="1:6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row>
    <row r="804" spans="1:6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row>
    <row r="805" spans="1:6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row>
    <row r="806" spans="1:6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row>
    <row r="807" spans="1:6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row>
    <row r="808" spans="1:6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row>
    <row r="809" spans="1:6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row>
    <row r="810" spans="1:6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row>
    <row r="811" spans="1:6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row>
    <row r="812" spans="1:6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row>
    <row r="813" spans="1:6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row>
    <row r="814" spans="1:6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row>
    <row r="815" spans="1:6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row>
    <row r="816" spans="1:6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row>
    <row r="817" spans="1:6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row>
    <row r="818" spans="1:6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row>
    <row r="819" spans="1:6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row>
    <row r="820" spans="1:6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row>
    <row r="821" spans="1:6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row>
    <row r="822" spans="1:6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row>
    <row r="823" spans="1:6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row>
    <row r="824" spans="1:6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row>
    <row r="825" spans="1:6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row>
    <row r="826" spans="1:6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row>
    <row r="827" spans="1:6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row>
    <row r="828" spans="1:6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row>
    <row r="829" spans="1:6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row>
    <row r="830" spans="1:6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row>
    <row r="831" spans="1:6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row>
    <row r="832" spans="1:6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row>
    <row r="833" spans="1:6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row>
    <row r="834" spans="1:6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row>
    <row r="835" spans="1:6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row>
    <row r="836" spans="1:6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row>
    <row r="837" spans="1:6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row>
    <row r="838" spans="1:6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row>
    <row r="839" spans="1:6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row>
    <row r="840" spans="1:6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row>
    <row r="841" spans="1:6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row>
    <row r="842" spans="1:6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row>
    <row r="843" spans="1:6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row>
    <row r="844" spans="1:6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row>
    <row r="845" spans="1:6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row>
    <row r="846" spans="1:6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row>
    <row r="847" spans="1:6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row>
    <row r="848" spans="1:6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row>
    <row r="849" spans="1:6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row>
    <row r="850" spans="1:6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row>
    <row r="851" spans="1:6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row>
    <row r="852" spans="1:6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row>
    <row r="853" spans="1:6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row>
    <row r="854" spans="1:6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row>
    <row r="855" spans="1:6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row>
    <row r="856" spans="1:6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row>
    <row r="857" spans="1:6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row>
    <row r="858" spans="1:6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row>
    <row r="859" spans="1:6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row>
    <row r="860" spans="1:6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row>
    <row r="861" spans="1:6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row>
    <row r="862" spans="1:6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row>
    <row r="863" spans="1:6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row>
    <row r="864" spans="1:6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row>
    <row r="865" spans="1:6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row>
    <row r="866" spans="1:6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row>
    <row r="867" spans="1:6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row>
    <row r="868" spans="1:6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row>
    <row r="869" spans="1:6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row>
    <row r="870" spans="1:6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row>
    <row r="871" spans="1:6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row>
    <row r="872" spans="1:6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row>
    <row r="873" spans="1:6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row>
    <row r="874" spans="1:6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row>
    <row r="875" spans="1:6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row>
    <row r="876" spans="1:6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row>
    <row r="877" spans="1:6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row>
    <row r="878" spans="1:6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row>
    <row r="879" spans="1:6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row>
    <row r="880" spans="1:6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row>
    <row r="881" spans="1:6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row>
    <row r="882" spans="1:6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row>
    <row r="883" spans="1:6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row>
    <row r="884" spans="1:6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row>
    <row r="885" spans="1:6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row>
    <row r="886" spans="1:6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row>
    <row r="887" spans="1:6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row>
    <row r="888" spans="1:6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row>
    <row r="889" spans="1:6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row>
    <row r="890" spans="1:6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row>
    <row r="891" spans="1:6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row>
    <row r="892" spans="1:6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row>
    <row r="893" spans="1:6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row>
    <row r="894" spans="1:6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row>
    <row r="895" spans="1:6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row>
    <row r="896" spans="1:6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row>
    <row r="897" spans="1:6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row>
    <row r="898" spans="1:6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row>
    <row r="899" spans="1:6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row>
    <row r="900" spans="1:6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row>
    <row r="901" spans="1:6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row>
    <row r="902" spans="1:6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row>
    <row r="903" spans="1:6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row>
    <row r="904" spans="1:6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row>
    <row r="905" spans="1:6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row>
    <row r="906" spans="1:6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row>
    <row r="907" spans="1:6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row>
    <row r="908" spans="1:6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row>
    <row r="909" spans="1:6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row>
    <row r="910" spans="1:6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row>
    <row r="911" spans="1:6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row>
    <row r="912" spans="1:6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row>
    <row r="913" spans="1:6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row>
    <row r="914" spans="1:6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row>
    <row r="915" spans="1:6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row>
    <row r="916" spans="1:6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row>
    <row r="917" spans="1:6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row>
    <row r="918" spans="1:6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row>
    <row r="919" spans="1:6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row>
    <row r="920" spans="1:6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row>
    <row r="921" spans="1:6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row>
    <row r="922" spans="1:6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row>
    <row r="923" spans="1:6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row>
    <row r="924" spans="1:6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row>
    <row r="925" spans="1:6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row>
    <row r="926" spans="1:6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row>
    <row r="927" spans="1:6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row>
    <row r="928" spans="1:6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row>
    <row r="929" spans="1:6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row>
    <row r="930" spans="1:6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row>
    <row r="931" spans="1:6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row>
    <row r="932" spans="1:6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row>
    <row r="933" spans="1:6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row>
    <row r="934" spans="1:6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row>
    <row r="935" spans="1:6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row>
    <row r="936" spans="1:6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row>
    <row r="937" spans="1:6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row>
    <row r="938" spans="1:6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row>
    <row r="939" spans="1:6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row>
    <row r="940" spans="1:6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row>
    <row r="941" spans="1:6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row>
    <row r="942" spans="1:6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row>
    <row r="943" spans="1:6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row>
    <row r="944" spans="1:6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row>
    <row r="945" spans="1:6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row>
    <row r="946" spans="1:6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row>
    <row r="947" spans="1:6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row>
    <row r="948" spans="1:6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row>
    <row r="949" spans="1:6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row>
    <row r="950" spans="1:6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row>
    <row r="951" spans="1:6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row>
    <row r="952" spans="1:6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row>
    <row r="953" spans="1:6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row>
    <row r="954" spans="1:6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row>
    <row r="955" spans="1:6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row>
    <row r="956" spans="1:6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row>
    <row r="957" spans="1:6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row>
    <row r="958" spans="1:6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row>
    <row r="959" spans="1:6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row>
    <row r="960" spans="1:6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row>
    <row r="961" spans="1:6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row>
    <row r="962" spans="1:6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row>
    <row r="963" spans="1:6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row>
    <row r="964" spans="1:6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row>
    <row r="965" spans="1:6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row>
    <row r="966" spans="1:6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row>
    <row r="967" spans="1:6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row>
    <row r="968" spans="1:6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row>
    <row r="969" spans="1:6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row>
    <row r="970" spans="1:6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row>
    <row r="971" spans="1:6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row>
    <row r="972" spans="1:6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row>
    <row r="973" spans="1:6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row>
    <row r="974" spans="1:6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row>
    <row r="975" spans="1:6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row>
    <row r="976" spans="1:6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row>
    <row r="977" spans="1:6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row>
    <row r="978" spans="1:6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row>
    <row r="979" spans="1:6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row>
    <row r="980" spans="1:6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row>
    <row r="981" spans="1:6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row>
    <row r="982" spans="1:6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row>
    <row r="983" spans="1:6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row>
    <row r="984" spans="1:6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row>
    <row r="985" spans="1:6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row>
    <row r="986" spans="1:6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row>
    <row r="987" spans="1:6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row>
    <row r="988" spans="1:6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row>
    <row r="989" spans="1:6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row>
    <row r="990" spans="1:6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row>
    <row r="991" spans="1:6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row>
    <row r="992" spans="1:6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row>
    <row r="993" spans="1:6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row>
    <row r="994" spans="1:6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row>
    <row r="995" spans="1:6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row>
    <row r="996" spans="1:6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row>
    <row r="997" spans="1:6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row>
    <row r="998" spans="1:6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row>
    <row r="999" spans="1:6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row>
    <row r="1000" spans="1:6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row>
    <row r="1001" spans="1:66"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10</vt:i4>
      </vt:variant>
      <vt:variant>
        <vt:lpstr>Rangos con nombre</vt:lpstr>
      </vt:variant>
      <vt:variant>
        <vt:i4>1</vt:i4>
      </vt:variant>
    </vt:vector>
  </HeadingPairs>
  <TitlesOfParts>
    <vt:vector size="11" baseType="lpstr">
      <vt:lpstr>COCINA TUESTE</vt:lpstr>
      <vt:lpstr>PRECIOS RAPPI</vt:lpstr>
      <vt:lpstr>CAFETERIA TUESTE</vt:lpstr>
      <vt:lpstr>PASTELERIA PARA TUESTE</vt:lpstr>
      <vt:lpstr>SUBRECETAS TUESTE  CP</vt:lpstr>
      <vt:lpstr>PASTELERIA CP</vt:lpstr>
      <vt:lpstr>TUESTE AL PÚBLICO</vt:lpstr>
      <vt:lpstr>PRECIO PROVEEDORES</vt:lpstr>
      <vt:lpstr>DESPER. 04-26</vt:lpstr>
      <vt:lpstr>DESPER. 05-26</vt:lpstr>
      <vt:lpstr>NombreIntervalo1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Pianzola</dc:creator>
  <cp:lastModifiedBy>Vanesa Defey Sosa</cp:lastModifiedBy>
  <dcterms:created xsi:type="dcterms:W3CDTF">2014-02-07T22:55:58Z</dcterms:created>
  <dcterms:modified xsi:type="dcterms:W3CDTF">2026-06-30T15:09:28Z</dcterms:modified>
</cp:coreProperties>
</file>